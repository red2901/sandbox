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in\Documents\Work\Subversion\QMA\Clients\QMALib\"/>
    </mc:Choice>
  </mc:AlternateContent>
  <bookViews>
    <workbookView xWindow="0" yWindow="0" windowWidth="28800" windowHeight="12435" activeTab="5"/>
  </bookViews>
  <sheets>
    <sheet name="Bonds" sheetId="5" r:id="rId1"/>
    <sheet name="FittedCurve" sheetId="6" r:id="rId2"/>
    <sheet name="Bond Diagnostics" sheetId="3" r:id="rId3"/>
    <sheet name="Misc" sheetId="2" r:id="rId4"/>
    <sheet name="Numerics" sheetId="7" r:id="rId5"/>
    <sheet name="Autofit" sheetId="8" r:id="rId6"/>
  </sheets>
  <definedNames>
    <definedName name="AutoFitObject">Autofit!$R$2</definedName>
    <definedName name="BondObjs">Bonds!$D$9:$D$48</definedName>
    <definedName name="FitConvergenceError">FittedCurve!$E$35</definedName>
    <definedName name="FitCost">FittedCurve!$M$44</definedName>
    <definedName name="FitOutput">FittedCurve!$K$42</definedName>
    <definedName name="FitParamChangeError">FittedCurve!$E$36</definedName>
    <definedName name="FitterChoice">FittedCurve!$E$37</definedName>
    <definedName name="InitialVector">FittedCurve!$I$42:$I$57</definedName>
    <definedName name="LiveMarketData">Bonds!$B$6</definedName>
    <definedName name="LowerBound">FittedCurve!$H$42:$H$57</definedName>
    <definedName name="MaxIterations">FittedCurve!$E$34</definedName>
    <definedName name="ShowFitterDetails">FittedCurve!$E$38</definedName>
    <definedName name="UpperBound">FittedCurve!$J$42:$J$57</definedName>
    <definedName name="YieldCrvObj">FittedCurve!$E$31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8" i="8" l="1"/>
  <c r="U17" i="8"/>
  <c r="U16" i="8"/>
  <c r="U15" i="8"/>
  <c r="U14" i="8"/>
  <c r="U13" i="8"/>
  <c r="U12" i="8"/>
  <c r="U11" i="8"/>
  <c r="U10" i="8"/>
  <c r="U9" i="8"/>
  <c r="U8" i="8"/>
  <c r="U7" i="8"/>
  <c r="U6" i="8"/>
  <c r="E11" i="2"/>
  <c r="D13" i="2"/>
  <c r="F9" i="8"/>
  <c r="B3" i="8" l="1"/>
  <c r="AE3" i="8" s="1"/>
  <c r="AD3" i="8" s="1"/>
  <c r="C3" i="8"/>
  <c r="F19" i="8"/>
  <c r="G27" i="8"/>
  <c r="G48" i="8"/>
  <c r="G23" i="8"/>
  <c r="F18" i="8"/>
  <c r="G30" i="8"/>
  <c r="F33" i="8"/>
  <c r="F45" i="8"/>
  <c r="G42" i="8"/>
  <c r="G40" i="8"/>
  <c r="G34" i="8"/>
  <c r="F36" i="8"/>
  <c r="F40" i="8"/>
  <c r="F38" i="8"/>
  <c r="F48" i="8"/>
  <c r="F43" i="8"/>
  <c r="F23" i="8"/>
  <c r="F34" i="8"/>
  <c r="G36" i="8"/>
  <c r="G33" i="8"/>
  <c r="G22" i="8"/>
  <c r="G38" i="8"/>
  <c r="G21" i="8"/>
  <c r="G15" i="8"/>
  <c r="G24" i="8"/>
  <c r="F15" i="8"/>
  <c r="G39" i="8"/>
  <c r="F25" i="8"/>
  <c r="G28" i="8"/>
  <c r="F16" i="8"/>
  <c r="F41" i="8"/>
  <c r="F47" i="8"/>
  <c r="G19" i="8"/>
  <c r="G32" i="8"/>
  <c r="G45" i="8"/>
  <c r="F13" i="8"/>
  <c r="G31" i="8"/>
  <c r="F21" i="8"/>
  <c r="F32" i="8"/>
  <c r="G20" i="8"/>
  <c r="F17" i="8"/>
  <c r="G11" i="8"/>
  <c r="G16" i="8"/>
  <c r="G25" i="8"/>
  <c r="G37" i="8"/>
  <c r="F28" i="8"/>
  <c r="G10" i="8"/>
  <c r="F12" i="8"/>
  <c r="F37" i="8"/>
  <c r="F46" i="8"/>
  <c r="F14" i="8"/>
  <c r="G46" i="8"/>
  <c r="G13" i="8"/>
  <c r="G17" i="8"/>
  <c r="F27" i="8"/>
  <c r="F10" i="8"/>
  <c r="G43" i="8"/>
  <c r="F39" i="8"/>
  <c r="G41" i="8"/>
  <c r="F44" i="8"/>
  <c r="F22" i="8"/>
  <c r="G14" i="8"/>
  <c r="F24" i="8"/>
  <c r="G12" i="8"/>
  <c r="F29" i="8"/>
  <c r="G35" i="8"/>
  <c r="G29" i="8"/>
  <c r="G9" i="8"/>
  <c r="F30" i="8"/>
  <c r="G47" i="8"/>
  <c r="F42" i="8"/>
  <c r="F35" i="8"/>
  <c r="F20" i="8"/>
  <c r="F26" i="8"/>
  <c r="G44" i="8"/>
  <c r="F11" i="8"/>
  <c r="F31" i="8"/>
  <c r="G18" i="8"/>
  <c r="G26" i="8"/>
  <c r="AE4" i="8" l="1"/>
  <c r="AD4" i="8" s="1"/>
  <c r="V3" i="8"/>
  <c r="V5" i="8" s="1"/>
  <c r="D30" i="7"/>
  <c r="B43" i="7"/>
  <c r="B106" i="7" a="1"/>
  <c r="B46" i="7" a="1"/>
  <c r="B74" i="7" a="1"/>
  <c r="B33" i="7" a="1"/>
  <c r="B70" i="7" a="1"/>
  <c r="B19" i="7" a="1"/>
  <c r="B87" i="7" a="1"/>
  <c r="B40" i="7"/>
  <c r="B56" i="7"/>
  <c r="B103" i="7"/>
  <c r="B81" i="7"/>
  <c r="B78" i="7" a="1"/>
  <c r="B84" i="7"/>
  <c r="B62" i="7" a="1"/>
  <c r="B95" i="7" a="1"/>
  <c r="B36" i="7" a="1"/>
  <c r="B50" i="7" a="1"/>
  <c r="B59" i="7"/>
  <c r="AE5" i="8" l="1"/>
  <c r="AD5" i="8" s="1"/>
  <c r="V14" i="8"/>
  <c r="V15" i="8"/>
  <c r="V11" i="8"/>
  <c r="V10" i="8"/>
  <c r="V16" i="8"/>
  <c r="V7" i="8"/>
  <c r="V6" i="8"/>
  <c r="V8" i="8"/>
  <c r="V18" i="8"/>
  <c r="V12" i="8"/>
  <c r="V17" i="8"/>
  <c r="V4" i="8"/>
  <c r="V13" i="8"/>
  <c r="V9" i="8"/>
  <c r="B96" i="7"/>
  <c r="B100" i="7"/>
  <c r="E98" i="7"/>
  <c r="C97" i="7"/>
  <c r="D95" i="7"/>
  <c r="E95" i="7"/>
  <c r="B97" i="7"/>
  <c r="D98" i="7"/>
  <c r="E100" i="7"/>
  <c r="C98" i="7"/>
  <c r="D96" i="7"/>
  <c r="E97" i="7"/>
  <c r="B98" i="7"/>
  <c r="D100" i="7"/>
  <c r="C95" i="7"/>
  <c r="C99" i="7"/>
  <c r="D97" i="7"/>
  <c r="E99" i="7"/>
  <c r="B95" i="7"/>
  <c r="B99" i="7"/>
  <c r="E96" i="7"/>
  <c r="C96" i="7"/>
  <c r="C100" i="7"/>
  <c r="D99" i="7"/>
  <c r="B88" i="7"/>
  <c r="B92" i="7"/>
  <c r="E90" i="7"/>
  <c r="C89" i="7"/>
  <c r="D87" i="7"/>
  <c r="E87" i="7"/>
  <c r="B89" i="7"/>
  <c r="D89" i="7"/>
  <c r="E92" i="7"/>
  <c r="C90" i="7"/>
  <c r="D88" i="7"/>
  <c r="E89" i="7"/>
  <c r="B90" i="7"/>
  <c r="D91" i="7"/>
  <c r="C87" i="7"/>
  <c r="C91" i="7"/>
  <c r="D90" i="7"/>
  <c r="E91" i="7"/>
  <c r="B87" i="7"/>
  <c r="B91" i="7"/>
  <c r="E88" i="7"/>
  <c r="C88" i="7"/>
  <c r="C92" i="7"/>
  <c r="D92" i="7"/>
  <c r="B106" i="7"/>
  <c r="B107" i="7"/>
  <c r="E107" i="7"/>
  <c r="C108" i="7"/>
  <c r="D109" i="7"/>
  <c r="B108" i="7"/>
  <c r="E109" i="7"/>
  <c r="C109" i="7"/>
  <c r="E106" i="7"/>
  <c r="B109" i="7"/>
  <c r="C106" i="7"/>
  <c r="D106" i="7"/>
  <c r="E108" i="7"/>
  <c r="D108" i="7"/>
  <c r="C107" i="7"/>
  <c r="D107" i="7"/>
  <c r="B78" i="7"/>
  <c r="C78" i="7"/>
  <c r="B74" i="7"/>
  <c r="C74" i="7"/>
  <c r="B75" i="7"/>
  <c r="C75" i="7"/>
  <c r="B70" i="7"/>
  <c r="B71" i="7"/>
  <c r="C71" i="7"/>
  <c r="C70" i="7"/>
  <c r="B62" i="7"/>
  <c r="B63" i="7"/>
  <c r="B64" i="7"/>
  <c r="B65" i="7"/>
  <c r="B66" i="7"/>
  <c r="B67" i="7"/>
  <c r="C63" i="7"/>
  <c r="C65" i="7"/>
  <c r="C66" i="7"/>
  <c r="C67" i="7"/>
  <c r="E65" i="7"/>
  <c r="C62" i="7"/>
  <c r="C64" i="7"/>
  <c r="E66" i="7"/>
  <c r="D62" i="7"/>
  <c r="D63" i="7"/>
  <c r="D64" i="7"/>
  <c r="D65" i="7"/>
  <c r="D66" i="7"/>
  <c r="D67" i="7"/>
  <c r="E62" i="7"/>
  <c r="E63" i="7"/>
  <c r="E64" i="7"/>
  <c r="E67" i="7"/>
  <c r="B19" i="7"/>
  <c r="B20" i="7"/>
  <c r="B21" i="7"/>
  <c r="B22" i="7"/>
  <c r="B23" i="7"/>
  <c r="B24" i="7"/>
  <c r="D20" i="7"/>
  <c r="D23" i="7"/>
  <c r="E20" i="7"/>
  <c r="E23" i="7"/>
  <c r="C19" i="7"/>
  <c r="C20" i="7"/>
  <c r="C21" i="7"/>
  <c r="C22" i="7"/>
  <c r="C23" i="7"/>
  <c r="C24" i="7"/>
  <c r="D19" i="7"/>
  <c r="D21" i="7"/>
  <c r="D22" i="7"/>
  <c r="D24" i="7"/>
  <c r="E19" i="7"/>
  <c r="E21" i="7"/>
  <c r="E22" i="7"/>
  <c r="E24" i="7"/>
  <c r="C50" i="7"/>
  <c r="C51" i="7"/>
  <c r="C52" i="7"/>
  <c r="C53" i="7"/>
  <c r="E50" i="7"/>
  <c r="E51" i="7"/>
  <c r="E52" i="7"/>
  <c r="E53" i="7"/>
  <c r="B50" i="7"/>
  <c r="B51" i="7"/>
  <c r="B52" i="7"/>
  <c r="B53" i="7"/>
  <c r="D50" i="7"/>
  <c r="D51" i="7"/>
  <c r="D52" i="7"/>
  <c r="D53" i="7"/>
  <c r="B46" i="7"/>
  <c r="C46" i="7"/>
  <c r="B47" i="7"/>
  <c r="C47" i="7"/>
  <c r="B36" i="7"/>
  <c r="C36" i="7"/>
  <c r="B37" i="7"/>
  <c r="C37" i="7"/>
  <c r="B33" i="7"/>
  <c r="C33" i="7"/>
  <c r="G4" i="7"/>
  <c r="H4" i="7"/>
  <c r="I4" i="7"/>
  <c r="J4" i="7"/>
  <c r="G5" i="7"/>
  <c r="H5" i="7"/>
  <c r="I5" i="7"/>
  <c r="J5" i="7"/>
  <c r="G6" i="7"/>
  <c r="H6" i="7"/>
  <c r="I6" i="7"/>
  <c r="J6" i="7"/>
  <c r="G7" i="7"/>
  <c r="H7" i="7"/>
  <c r="I7" i="7"/>
  <c r="J7" i="7"/>
  <c r="G8" i="7"/>
  <c r="H8" i="7"/>
  <c r="I8" i="7"/>
  <c r="J8" i="7"/>
  <c r="H3" i="7"/>
  <c r="I3" i="7"/>
  <c r="J3" i="7"/>
  <c r="G3" i="7"/>
  <c r="B11" i="7" a="1"/>
  <c r="B27" i="7"/>
  <c r="B30" i="7"/>
  <c r="L36" i="5"/>
  <c r="M14" i="5"/>
  <c r="L47" i="5"/>
  <c r="L29" i="5"/>
  <c r="L32" i="5"/>
  <c r="L28" i="5"/>
  <c r="M11" i="5"/>
  <c r="M47" i="5"/>
  <c r="M35" i="5"/>
  <c r="L44" i="5"/>
  <c r="M24" i="5"/>
  <c r="M23" i="5"/>
  <c r="L12" i="5"/>
  <c r="E33" i="6"/>
  <c r="L34" i="5"/>
  <c r="L19" i="5"/>
  <c r="M18" i="5"/>
  <c r="L45" i="5"/>
  <c r="M13" i="5"/>
  <c r="M45" i="5"/>
  <c r="L18" i="5"/>
  <c r="M26" i="5"/>
  <c r="L39" i="5"/>
  <c r="M40" i="5"/>
  <c r="M38" i="5"/>
  <c r="L25" i="5"/>
  <c r="L16" i="5"/>
  <c r="L48" i="5"/>
  <c r="M19" i="5"/>
  <c r="L15" i="5"/>
  <c r="M21" i="5"/>
  <c r="M48" i="5"/>
  <c r="L14" i="5"/>
  <c r="M34" i="5"/>
  <c r="M9" i="5"/>
  <c r="L13" i="5"/>
  <c r="M15" i="5"/>
  <c r="M27" i="5"/>
  <c r="L30" i="5"/>
  <c r="M44" i="5"/>
  <c r="L9" i="5"/>
  <c r="L40" i="5"/>
  <c r="L10" i="5"/>
  <c r="M33" i="5"/>
  <c r="M16" i="5"/>
  <c r="L41" i="5"/>
  <c r="M42" i="5"/>
  <c r="M39" i="5"/>
  <c r="L17" i="5"/>
  <c r="M46" i="5"/>
  <c r="M30" i="5"/>
  <c r="L11" i="5"/>
  <c r="M41" i="5"/>
  <c r="M22" i="5"/>
  <c r="M43" i="5"/>
  <c r="L26" i="5"/>
  <c r="L46" i="5"/>
  <c r="M25" i="5"/>
  <c r="M31" i="5"/>
  <c r="M17" i="5"/>
  <c r="L22" i="5"/>
  <c r="M29" i="5"/>
  <c r="L37" i="5"/>
  <c r="L33" i="5"/>
  <c r="L21" i="5"/>
  <c r="M32" i="5"/>
  <c r="M12" i="5"/>
  <c r="L23" i="5"/>
  <c r="L27" i="5"/>
  <c r="L35" i="5"/>
  <c r="L43" i="5"/>
  <c r="M36" i="5"/>
  <c r="L42" i="5"/>
  <c r="L38" i="5"/>
  <c r="L31" i="5"/>
  <c r="M37" i="5"/>
  <c r="M28" i="5"/>
  <c r="M10" i="5"/>
  <c r="L24" i="5"/>
  <c r="L20" i="5"/>
  <c r="M20" i="5"/>
  <c r="AE6" i="8" l="1"/>
  <c r="AD6" i="8" s="1"/>
  <c r="B11" i="7"/>
  <c r="B12" i="7"/>
  <c r="B13" i="7"/>
  <c r="B14" i="7"/>
  <c r="B15" i="7"/>
  <c r="B16" i="7"/>
  <c r="C11" i="7"/>
  <c r="C12" i="7"/>
  <c r="C13" i="7"/>
  <c r="C14" i="7"/>
  <c r="C15" i="7"/>
  <c r="C16" i="7"/>
  <c r="D11" i="7"/>
  <c r="D12" i="7"/>
  <c r="D13" i="7"/>
  <c r="D14" i="7"/>
  <c r="D15" i="7"/>
  <c r="D16" i="7"/>
  <c r="E11" i="7"/>
  <c r="E12" i="7"/>
  <c r="E13" i="7"/>
  <c r="E14" i="7"/>
  <c r="E15" i="7"/>
  <c r="E16" i="7"/>
  <c r="E29" i="6"/>
  <c r="E28" i="6"/>
  <c r="E27" i="6"/>
  <c r="E26" i="6"/>
  <c r="E25" i="6"/>
  <c r="E24" i="6"/>
  <c r="C24" i="6"/>
  <c r="E23" i="6"/>
  <c r="C23" i="6"/>
  <c r="E22" i="6"/>
  <c r="C22" i="6"/>
  <c r="E21" i="6"/>
  <c r="C21" i="6"/>
  <c r="E20" i="6"/>
  <c r="C20" i="6"/>
  <c r="E19" i="6"/>
  <c r="C19" i="6"/>
  <c r="E18" i="6"/>
  <c r="C18" i="6"/>
  <c r="E17" i="6"/>
  <c r="C17" i="6"/>
  <c r="E16" i="6"/>
  <c r="C16" i="6"/>
  <c r="E15" i="6"/>
  <c r="C15" i="6"/>
  <c r="E14" i="6"/>
  <c r="C14" i="6"/>
  <c r="E13" i="6"/>
  <c r="C13" i="6"/>
  <c r="E12" i="6"/>
  <c r="C12" i="6"/>
  <c r="E11" i="6"/>
  <c r="E10" i="6"/>
  <c r="E9" i="6"/>
  <c r="B11" i="2"/>
  <c r="D5" i="2"/>
  <c r="B12" i="2"/>
  <c r="D3" i="2"/>
  <c r="B13" i="2"/>
  <c r="D4" i="2"/>
  <c r="D6" i="2"/>
  <c r="G20" i="3"/>
  <c r="G3" i="3"/>
  <c r="AE7" i="8" l="1"/>
  <c r="AD7" i="8" s="1"/>
  <c r="O48" i="5"/>
  <c r="N48" i="5"/>
  <c r="O47" i="5"/>
  <c r="N47" i="5"/>
  <c r="O46" i="5"/>
  <c r="N46" i="5"/>
  <c r="O45" i="5"/>
  <c r="N45" i="5"/>
  <c r="O44" i="5"/>
  <c r="N44" i="5"/>
  <c r="O43" i="5"/>
  <c r="N43" i="5"/>
  <c r="O42" i="5"/>
  <c r="N42" i="5"/>
  <c r="O41" i="5"/>
  <c r="N41" i="5"/>
  <c r="O40" i="5"/>
  <c r="N40" i="5"/>
  <c r="O39" i="5"/>
  <c r="N39" i="5"/>
  <c r="O38" i="5"/>
  <c r="N38" i="5"/>
  <c r="O37" i="5"/>
  <c r="N37" i="5"/>
  <c r="O36" i="5"/>
  <c r="N36" i="5"/>
  <c r="O35" i="5"/>
  <c r="N35" i="5"/>
  <c r="O34" i="5"/>
  <c r="N34" i="5"/>
  <c r="O33" i="5"/>
  <c r="N33" i="5"/>
  <c r="O32" i="5"/>
  <c r="N32" i="5"/>
  <c r="O31" i="5"/>
  <c r="N31" i="5"/>
  <c r="O30" i="5"/>
  <c r="N30" i="5"/>
  <c r="O29" i="5"/>
  <c r="N29" i="5"/>
  <c r="O28" i="5"/>
  <c r="N28" i="5"/>
  <c r="O27" i="5"/>
  <c r="N27" i="5"/>
  <c r="O26" i="5"/>
  <c r="N26" i="5"/>
  <c r="O25" i="5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K3" i="5"/>
  <c r="J3" i="5"/>
  <c r="I3" i="5"/>
  <c r="H3" i="5"/>
  <c r="G3" i="5"/>
  <c r="D12" i="2"/>
  <c r="D11" i="2"/>
  <c r="C3" i="5"/>
  <c r="AE8" i="8" l="1"/>
  <c r="AD8" i="8" s="1"/>
  <c r="N9" i="5"/>
  <c r="B3" i="5"/>
  <c r="J13" i="3"/>
  <c r="J14" i="3"/>
  <c r="J4" i="3"/>
  <c r="J8" i="3"/>
  <c r="J15" i="3"/>
  <c r="J25" i="3"/>
  <c r="J12" i="3"/>
  <c r="J27" i="3"/>
  <c r="J3" i="3"/>
  <c r="J9" i="3"/>
  <c r="J26" i="3"/>
  <c r="J10" i="3"/>
  <c r="J7" i="3"/>
  <c r="J20" i="3"/>
  <c r="AE9" i="8" l="1"/>
  <c r="AD9" i="8" s="1"/>
  <c r="D9" i="6"/>
  <c r="E42" i="6" s="1"/>
  <c r="O22" i="3"/>
  <c r="J21" i="3"/>
  <c r="AE10" i="8" l="1"/>
  <c r="AD10" i="8" s="1"/>
  <c r="D24" i="6"/>
  <c r="D11" i="6"/>
  <c r="D17" i="6"/>
  <c r="D13" i="6"/>
  <c r="D23" i="6"/>
  <c r="D16" i="6"/>
  <c r="D10" i="6"/>
  <c r="D21" i="6"/>
  <c r="D14" i="6"/>
  <c r="D22" i="6"/>
  <c r="D19" i="6"/>
  <c r="D18" i="6"/>
  <c r="D20" i="6"/>
  <c r="D15" i="6"/>
  <c r="D12" i="6"/>
  <c r="E43" i="6"/>
  <c r="D42" i="6"/>
  <c r="L26" i="3"/>
  <c r="M26" i="3" s="1"/>
  <c r="L25" i="3"/>
  <c r="M25" i="3" s="1"/>
  <c r="L27" i="3"/>
  <c r="M27" i="3" s="1"/>
  <c r="L24" i="3"/>
  <c r="L23" i="3"/>
  <c r="L22" i="3"/>
  <c r="L4" i="3"/>
  <c r="M4" i="3" s="1"/>
  <c r="L7" i="3"/>
  <c r="M7" i="3" s="1"/>
  <c r="L8" i="3"/>
  <c r="M8" i="3" s="1"/>
  <c r="L12" i="3"/>
  <c r="M12" i="3" s="1"/>
  <c r="L20" i="3"/>
  <c r="M20" i="3" s="1"/>
  <c r="L28" i="3"/>
  <c r="M28" i="3" s="1"/>
  <c r="L32" i="3"/>
  <c r="M32" i="3" s="1"/>
  <c r="L36" i="3"/>
  <c r="M36" i="3" s="1"/>
  <c r="L39" i="3"/>
  <c r="M39" i="3" s="1"/>
  <c r="L5" i="3"/>
  <c r="M5" i="3" s="1"/>
  <c r="L9" i="3"/>
  <c r="M9" i="3" s="1"/>
  <c r="L13" i="3"/>
  <c r="M13" i="3" s="1"/>
  <c r="L21" i="3"/>
  <c r="M21" i="3" s="1"/>
  <c r="L29" i="3"/>
  <c r="M29" i="3" s="1"/>
  <c r="L33" i="3"/>
  <c r="M33" i="3" s="1"/>
  <c r="L37" i="3"/>
  <c r="M37" i="3" s="1"/>
  <c r="L35" i="3"/>
  <c r="M35" i="3" s="1"/>
  <c r="L6" i="3"/>
  <c r="M6" i="3" s="1"/>
  <c r="L10" i="3"/>
  <c r="M10" i="3" s="1"/>
  <c r="L14" i="3"/>
  <c r="M14" i="3" s="1"/>
  <c r="L30" i="3"/>
  <c r="M30" i="3" s="1"/>
  <c r="L34" i="3"/>
  <c r="M34" i="3" s="1"/>
  <c r="L38" i="3"/>
  <c r="M38" i="3" s="1"/>
  <c r="L11" i="3"/>
  <c r="M11" i="3" s="1"/>
  <c r="L15" i="3"/>
  <c r="M15" i="3" s="1"/>
  <c r="L31" i="3"/>
  <c r="M31" i="3" s="1"/>
  <c r="L3" i="3"/>
  <c r="M3" i="3" s="1"/>
  <c r="O21" i="3"/>
  <c r="O20" i="3"/>
  <c r="J24" i="3"/>
  <c r="J23" i="3"/>
  <c r="J22" i="3"/>
  <c r="AE11" i="8" l="1"/>
  <c r="AD11" i="8" s="1"/>
  <c r="D43" i="6"/>
  <c r="E44" i="6"/>
  <c r="M24" i="3"/>
  <c r="N24" i="3" s="1"/>
  <c r="M22" i="3"/>
  <c r="N22" i="3" s="1"/>
  <c r="M23" i="3"/>
  <c r="N23" i="3" s="1"/>
  <c r="AE12" i="8" l="1"/>
  <c r="AD12" i="8" s="1"/>
  <c r="D44" i="6"/>
  <c r="E45" i="6"/>
  <c r="AE13" i="8" l="1"/>
  <c r="AD13" i="8" s="1"/>
  <c r="D45" i="6"/>
  <c r="E46" i="6"/>
  <c r="AE14" i="8" l="1"/>
  <c r="AD14" i="8" s="1"/>
  <c r="E47" i="6"/>
  <c r="D46" i="6"/>
  <c r="AE15" i="8" l="1"/>
  <c r="AD15" i="8" s="1"/>
  <c r="D47" i="6"/>
  <c r="E48" i="6"/>
  <c r="AE16" i="8" l="1"/>
  <c r="AD16" i="8" s="1"/>
  <c r="D48" i="6"/>
  <c r="E49" i="6"/>
  <c r="AE17" i="8" l="1"/>
  <c r="AD17" i="8" s="1"/>
  <c r="D49" i="6"/>
  <c r="E50" i="6"/>
  <c r="AE18" i="8" l="1"/>
  <c r="AD18" i="8" s="1"/>
  <c r="E51" i="6"/>
  <c r="D50" i="6"/>
  <c r="AE19" i="8" l="1"/>
  <c r="AD19" i="8" s="1"/>
  <c r="D51" i="6"/>
  <c r="E52" i="6"/>
  <c r="AE20" i="8" l="1"/>
  <c r="AD20" i="8" s="1"/>
  <c r="E53" i="6"/>
  <c r="D52" i="6"/>
  <c r="AE21" i="8" l="1"/>
  <c r="AD21" i="8" s="1"/>
  <c r="D53" i="6"/>
  <c r="E54" i="6"/>
  <c r="AE22" i="8" l="1"/>
  <c r="AD22" i="8" s="1"/>
  <c r="D54" i="6"/>
  <c r="E55" i="6"/>
  <c r="AE23" i="8" l="1"/>
  <c r="AD23" i="8" s="1"/>
  <c r="D55" i="6"/>
  <c r="E56" i="6"/>
  <c r="AE24" i="8" l="1"/>
  <c r="AD24" i="8" s="1"/>
  <c r="E57" i="6"/>
  <c r="D56" i="6"/>
  <c r="AE25" i="8" l="1"/>
  <c r="AD25" i="8" s="1"/>
  <c r="D57" i="6"/>
  <c r="E58" i="6"/>
  <c r="AE26" i="8" l="1"/>
  <c r="AD26" i="8" s="1"/>
  <c r="E59" i="6"/>
  <c r="D58" i="6"/>
  <c r="AE27" i="8" l="1"/>
  <c r="AD27" i="8" s="1"/>
  <c r="D59" i="6"/>
  <c r="E60" i="6"/>
  <c r="AE28" i="8" l="1"/>
  <c r="AD28" i="8" s="1"/>
  <c r="D60" i="6"/>
  <c r="E61" i="6"/>
  <c r="AE29" i="8" l="1"/>
  <c r="AD29" i="8" s="1"/>
  <c r="D61" i="6"/>
  <c r="E62" i="6"/>
  <c r="AE30" i="8" l="1"/>
  <c r="AD30" i="8" s="1"/>
  <c r="E63" i="6"/>
  <c r="D62" i="6"/>
  <c r="AE31" i="8" l="1"/>
  <c r="AD31" i="8" s="1"/>
  <c r="D63" i="6"/>
  <c r="E64" i="6"/>
  <c r="AE32" i="8" l="1"/>
  <c r="AD32" i="8" s="1"/>
  <c r="E65" i="6"/>
  <c r="D64" i="6"/>
  <c r="AE33" i="8" l="1"/>
  <c r="AD33" i="8" s="1"/>
  <c r="D65" i="6"/>
  <c r="E66" i="6"/>
  <c r="AE34" i="8" l="1"/>
  <c r="AD34" i="8" s="1"/>
  <c r="D66" i="6"/>
  <c r="E67" i="6"/>
  <c r="AE35" i="8" l="1"/>
  <c r="AD35" i="8" s="1"/>
  <c r="D67" i="6"/>
  <c r="E68" i="6"/>
  <c r="AE36" i="8" l="1"/>
  <c r="AD36" i="8" s="1"/>
  <c r="E69" i="6"/>
  <c r="D68" i="6"/>
  <c r="AE37" i="8" l="1"/>
  <c r="AD37" i="8" s="1"/>
  <c r="D69" i="6"/>
  <c r="E70" i="6"/>
  <c r="AE38" i="8" l="1"/>
  <c r="AD38" i="8" s="1"/>
  <c r="D70" i="6"/>
  <c r="E71" i="6"/>
  <c r="AE39" i="8" l="1"/>
  <c r="AD39" i="8" s="1"/>
  <c r="D71" i="6"/>
  <c r="E72" i="6"/>
  <c r="AE40" i="8" l="1"/>
  <c r="AD40" i="8" s="1"/>
  <c r="E73" i="6"/>
  <c r="D72" i="6"/>
  <c r="AE41" i="8" l="1"/>
  <c r="AD41" i="8" s="1"/>
  <c r="D73" i="6"/>
  <c r="E74" i="6"/>
  <c r="AE42" i="8" l="1"/>
  <c r="AD42" i="8" s="1"/>
  <c r="D74" i="6"/>
  <c r="E75" i="6"/>
  <c r="AE43" i="8" l="1"/>
  <c r="AD43" i="8" s="1"/>
  <c r="D75" i="6"/>
  <c r="E76" i="6"/>
  <c r="AE44" i="8" l="1"/>
  <c r="AD44" i="8" s="1"/>
  <c r="E77" i="6"/>
  <c r="D76" i="6"/>
  <c r="AE45" i="8" l="1"/>
  <c r="AD45" i="8" s="1"/>
  <c r="D77" i="6"/>
  <c r="E78" i="6"/>
  <c r="AE46" i="8" l="1"/>
  <c r="AD46" i="8" s="1"/>
  <c r="D78" i="6"/>
  <c r="E79" i="6"/>
  <c r="AE47" i="8" l="1"/>
  <c r="AD47" i="8" s="1"/>
  <c r="D79" i="6"/>
  <c r="E80" i="6"/>
  <c r="AE48" i="8" l="1"/>
  <c r="AD48" i="8" s="1"/>
  <c r="E81" i="6"/>
  <c r="D80" i="6"/>
  <c r="AE49" i="8" l="1"/>
  <c r="AD49" i="8" s="1"/>
  <c r="D81" i="6"/>
  <c r="E82" i="6"/>
  <c r="AE50" i="8" l="1"/>
  <c r="AD50" i="8" s="1"/>
  <c r="D82" i="6"/>
  <c r="E83" i="6"/>
  <c r="AE51" i="8" l="1"/>
  <c r="AD51" i="8" s="1"/>
  <c r="D83" i="6"/>
  <c r="E84" i="6"/>
  <c r="AE52" i="8" l="1"/>
  <c r="AD52" i="8" s="1"/>
  <c r="E85" i="6"/>
  <c r="D84" i="6"/>
  <c r="AE53" i="8" l="1"/>
  <c r="AD53" i="8" s="1"/>
  <c r="D85" i="6"/>
  <c r="E86" i="6"/>
  <c r="AE54" i="8" l="1"/>
  <c r="AD54" i="8" s="1"/>
  <c r="E87" i="6"/>
  <c r="D86" i="6"/>
  <c r="AE55" i="8" l="1"/>
  <c r="AD55" i="8" s="1"/>
  <c r="D87" i="6"/>
  <c r="E88" i="6"/>
  <c r="AE56" i="8" l="1"/>
  <c r="AD56" i="8" s="1"/>
  <c r="D88" i="6"/>
  <c r="E89" i="6"/>
  <c r="AE57" i="8" l="1"/>
  <c r="AD57" i="8" s="1"/>
  <c r="D89" i="6"/>
  <c r="E90" i="6"/>
  <c r="AE58" i="8" l="1"/>
  <c r="AD58" i="8" s="1"/>
  <c r="E91" i="6"/>
  <c r="D90" i="6"/>
  <c r="AE59" i="8" l="1"/>
  <c r="AD59" i="8" s="1"/>
  <c r="D91" i="6"/>
  <c r="E92" i="6"/>
  <c r="AE60" i="8" l="1"/>
  <c r="AD60" i="8" s="1"/>
  <c r="E93" i="6"/>
  <c r="D92" i="6"/>
  <c r="AE61" i="8" l="1"/>
  <c r="AD61" i="8" s="1"/>
  <c r="D93" i="6"/>
  <c r="E94" i="6"/>
  <c r="AE62" i="8" l="1"/>
  <c r="AD62" i="8" s="1"/>
  <c r="D94" i="6"/>
  <c r="E95" i="6"/>
  <c r="AE63" i="8" l="1"/>
  <c r="AD63" i="8" s="1"/>
  <c r="D95" i="6"/>
  <c r="E96" i="6"/>
  <c r="AE64" i="8" l="1"/>
  <c r="AD64" i="8" s="1"/>
  <c r="E97" i="6"/>
  <c r="D96" i="6"/>
  <c r="AE65" i="8" l="1"/>
  <c r="AD65" i="8" s="1"/>
  <c r="D97" i="6"/>
  <c r="E98" i="6"/>
  <c r="AE66" i="8" l="1"/>
  <c r="AD66" i="8" s="1"/>
  <c r="E99" i="6"/>
  <c r="D98" i="6"/>
  <c r="AE67" i="8" l="1"/>
  <c r="AD67" i="8" s="1"/>
  <c r="D99" i="6"/>
  <c r="E100" i="6"/>
  <c r="AE68" i="8" l="1"/>
  <c r="AD68" i="8" s="1"/>
  <c r="D100" i="6"/>
  <c r="E101" i="6"/>
  <c r="AE69" i="8" l="1"/>
  <c r="AD69" i="8" s="1"/>
  <c r="D101" i="6"/>
  <c r="E102" i="6"/>
  <c r="AE70" i="8" l="1"/>
  <c r="AD70" i="8" s="1"/>
  <c r="E103" i="6"/>
  <c r="D102" i="6"/>
  <c r="AE71" i="8" l="1"/>
  <c r="AD71" i="8" s="1"/>
  <c r="D103" i="6"/>
  <c r="E104" i="6"/>
  <c r="AE72" i="8" l="1"/>
  <c r="AD72" i="8" s="1"/>
  <c r="E105" i="6"/>
  <c r="D104" i="6"/>
  <c r="AE73" i="8" l="1"/>
  <c r="AD73" i="8" s="1"/>
  <c r="D105" i="6"/>
  <c r="E106" i="6"/>
  <c r="AE74" i="8" l="1"/>
  <c r="AD74" i="8" s="1"/>
  <c r="D106" i="6"/>
  <c r="E107" i="6"/>
  <c r="AE75" i="8" l="1"/>
  <c r="AD75" i="8" s="1"/>
  <c r="D107" i="6"/>
  <c r="E108" i="6"/>
  <c r="AE76" i="8" l="1"/>
  <c r="AD76" i="8" s="1"/>
  <c r="E109" i="6"/>
  <c r="D108" i="6"/>
  <c r="AE77" i="8" l="1"/>
  <c r="AD77" i="8" s="1"/>
  <c r="D109" i="6"/>
  <c r="E110" i="6"/>
  <c r="AE78" i="8" l="1"/>
  <c r="AD78" i="8" s="1"/>
  <c r="E111" i="6"/>
  <c r="D110" i="6"/>
  <c r="AE79" i="8" l="1"/>
  <c r="AD79" i="8" s="1"/>
  <c r="D111" i="6"/>
  <c r="E112" i="6"/>
  <c r="AE80" i="8" l="1"/>
  <c r="AD80" i="8" s="1"/>
  <c r="D112" i="6"/>
  <c r="E113" i="6"/>
  <c r="AE81" i="8" l="1"/>
  <c r="AD81" i="8" s="1"/>
  <c r="D113" i="6"/>
  <c r="E114" i="6"/>
  <c r="AE82" i="8" l="1"/>
  <c r="AD82" i="8" s="1"/>
  <c r="E115" i="6"/>
  <c r="D114" i="6"/>
  <c r="AE83" i="8" l="1"/>
  <c r="AD83" i="8" s="1"/>
  <c r="D115" i="6"/>
  <c r="E116" i="6"/>
  <c r="AE84" i="8" l="1"/>
  <c r="AD84" i="8" s="1"/>
  <c r="D116" i="6"/>
  <c r="E117" i="6"/>
  <c r="AE85" i="8" l="1"/>
  <c r="AD85" i="8" s="1"/>
  <c r="D117" i="6"/>
  <c r="E118" i="6"/>
  <c r="AE86" i="8" l="1"/>
  <c r="AD86" i="8" s="1"/>
  <c r="E119" i="6"/>
  <c r="D118" i="6"/>
  <c r="AE87" i="8" l="1"/>
  <c r="AD87" i="8" s="1"/>
  <c r="D119" i="6"/>
  <c r="E120" i="6"/>
  <c r="AE88" i="8" l="1"/>
  <c r="AD88" i="8" s="1"/>
  <c r="E121" i="6"/>
  <c r="D120" i="6"/>
  <c r="AE89" i="8" l="1"/>
  <c r="AD89" i="8" s="1"/>
  <c r="D121" i="6"/>
  <c r="E122" i="6"/>
  <c r="AE90" i="8" l="1"/>
  <c r="AD90" i="8" s="1"/>
  <c r="D122" i="6"/>
  <c r="E123" i="6"/>
  <c r="AE91" i="8" l="1"/>
  <c r="AD91" i="8" s="1"/>
  <c r="D123" i="6"/>
  <c r="E124" i="6"/>
  <c r="AE92" i="8" l="1"/>
  <c r="AD92" i="8" s="1"/>
  <c r="E125" i="6"/>
  <c r="D124" i="6"/>
  <c r="AE93" i="8" l="1"/>
  <c r="AD93" i="8" s="1"/>
  <c r="D125" i="6"/>
  <c r="E126" i="6"/>
  <c r="AE94" i="8" l="1"/>
  <c r="AD94" i="8" s="1"/>
  <c r="D126" i="6"/>
  <c r="E127" i="6"/>
  <c r="AE95" i="8" l="1"/>
  <c r="AD95" i="8" s="1"/>
  <c r="D127" i="6"/>
  <c r="E128" i="6"/>
  <c r="AE96" i="8" l="1"/>
  <c r="AD96" i="8" s="1"/>
  <c r="E129" i="6"/>
  <c r="D128" i="6"/>
  <c r="AE97" i="8" l="1"/>
  <c r="AD97" i="8" s="1"/>
  <c r="D129" i="6"/>
  <c r="E130" i="6"/>
  <c r="AE98" i="8" l="1"/>
  <c r="AD98" i="8" s="1"/>
  <c r="D130" i="6"/>
  <c r="E131" i="6"/>
  <c r="AE99" i="8" l="1"/>
  <c r="AD99" i="8" s="1"/>
  <c r="D131" i="6"/>
  <c r="E132" i="6"/>
  <c r="AE100" i="8" l="1"/>
  <c r="AD100" i="8" s="1"/>
  <c r="E133" i="6"/>
  <c r="D132" i="6"/>
  <c r="AE101" i="8" l="1"/>
  <c r="AD101" i="8" s="1"/>
  <c r="D133" i="6"/>
  <c r="E134" i="6"/>
  <c r="AE102" i="8" l="1"/>
  <c r="AD102" i="8" s="1"/>
  <c r="D134" i="6"/>
  <c r="E135" i="6"/>
  <c r="AE103" i="8" l="1"/>
  <c r="AD103" i="8" s="1"/>
  <c r="D135" i="6"/>
  <c r="E136" i="6"/>
  <c r="AE104" i="8" l="1"/>
  <c r="AD104" i="8" s="1"/>
  <c r="E137" i="6"/>
  <c r="D136" i="6"/>
  <c r="AE105" i="8" l="1"/>
  <c r="AD105" i="8" s="1"/>
  <c r="D137" i="6"/>
  <c r="E138" i="6"/>
  <c r="AE106" i="8" l="1"/>
  <c r="AD106" i="8" s="1"/>
  <c r="E139" i="6"/>
  <c r="D138" i="6"/>
  <c r="AE107" i="8" l="1"/>
  <c r="AD107" i="8" s="1"/>
  <c r="D139" i="6"/>
  <c r="E140" i="6"/>
  <c r="AE108" i="8" l="1"/>
  <c r="AD108" i="8" s="1"/>
  <c r="E141" i="6"/>
  <c r="D140" i="6"/>
  <c r="AE109" i="8" l="1"/>
  <c r="AD109" i="8" s="1"/>
  <c r="D141" i="6"/>
  <c r="E142" i="6"/>
  <c r="AE110" i="8" l="1"/>
  <c r="AD110" i="8" s="1"/>
  <c r="D142" i="6"/>
  <c r="E143" i="6"/>
  <c r="AE111" i="8" l="1"/>
  <c r="AD111" i="8" s="1"/>
  <c r="D143" i="6"/>
  <c r="E144" i="6"/>
  <c r="AE112" i="8" l="1"/>
  <c r="AD112" i="8" s="1"/>
  <c r="E145" i="6"/>
  <c r="D144" i="6"/>
  <c r="AE113" i="8" l="1"/>
  <c r="AD113" i="8" s="1"/>
  <c r="D145" i="6"/>
  <c r="E146" i="6"/>
  <c r="AE114" i="8" l="1"/>
  <c r="AD114" i="8" s="1"/>
  <c r="E147" i="6"/>
  <c r="D146" i="6"/>
  <c r="AE115" i="8" l="1"/>
  <c r="AD115" i="8" s="1"/>
  <c r="D147" i="6"/>
  <c r="E148" i="6"/>
  <c r="AE116" i="8" l="1"/>
  <c r="AD116" i="8" s="1"/>
  <c r="D148" i="6"/>
  <c r="E149" i="6"/>
  <c r="AE117" i="8" l="1"/>
  <c r="AD117" i="8" s="1"/>
  <c r="D149" i="6"/>
  <c r="E150" i="6"/>
  <c r="AE118" i="8" l="1"/>
  <c r="AD118" i="8" s="1"/>
  <c r="E151" i="6"/>
  <c r="D150" i="6"/>
  <c r="AE119" i="8" l="1"/>
  <c r="AD119" i="8" s="1"/>
  <c r="D151" i="6"/>
  <c r="E152" i="6"/>
  <c r="AE120" i="8" l="1"/>
  <c r="AD120" i="8" s="1"/>
  <c r="E153" i="6"/>
  <c r="D152" i="6"/>
  <c r="AE121" i="8" l="1"/>
  <c r="AD121" i="8" s="1"/>
  <c r="D153" i="6"/>
  <c r="E154" i="6"/>
  <c r="AE122" i="8" l="1"/>
  <c r="AD122" i="8" s="1"/>
  <c r="D154" i="6"/>
  <c r="E155" i="6"/>
  <c r="AE123" i="8" l="1"/>
  <c r="AD123" i="8" s="1"/>
  <c r="D155" i="6"/>
  <c r="E156" i="6"/>
  <c r="AE124" i="8" l="1"/>
  <c r="AD124" i="8" s="1"/>
  <c r="E157" i="6"/>
  <c r="D156" i="6"/>
  <c r="AE125" i="8" l="1"/>
  <c r="AD125" i="8" s="1"/>
  <c r="D157" i="6"/>
  <c r="E158" i="6"/>
  <c r="AE126" i="8" l="1"/>
  <c r="AD126" i="8" s="1"/>
  <c r="D158" i="6"/>
  <c r="E159" i="6"/>
  <c r="AE127" i="8" l="1"/>
  <c r="AD127" i="8" s="1"/>
  <c r="D159" i="6"/>
  <c r="E160" i="6"/>
  <c r="AE128" i="8" l="1"/>
  <c r="AD128" i="8" s="1"/>
  <c r="E161" i="6"/>
  <c r="D160" i="6"/>
  <c r="AE129" i="8" l="1"/>
  <c r="AD129" i="8" s="1"/>
  <c r="D161" i="6"/>
  <c r="E162" i="6"/>
  <c r="AE130" i="8" l="1"/>
  <c r="AD130" i="8" s="1"/>
  <c r="E163" i="6"/>
  <c r="D162" i="6"/>
  <c r="AE131" i="8" l="1"/>
  <c r="AD131" i="8" s="1"/>
  <c r="D163" i="6"/>
  <c r="E164" i="6"/>
  <c r="AE132" i="8" l="1"/>
  <c r="AD132" i="8" s="1"/>
  <c r="D164" i="6"/>
  <c r="E165" i="6"/>
  <c r="AE133" i="8" l="1"/>
  <c r="AD133" i="8" s="1"/>
  <c r="D165" i="6"/>
  <c r="E166" i="6"/>
  <c r="AE134" i="8" l="1"/>
  <c r="AD134" i="8" s="1"/>
  <c r="E167" i="6"/>
  <c r="D166" i="6"/>
  <c r="AE135" i="8" l="1"/>
  <c r="AD135" i="8" s="1"/>
  <c r="D167" i="6"/>
  <c r="E168" i="6"/>
  <c r="AE136" i="8" l="1"/>
  <c r="AD136" i="8" s="1"/>
  <c r="E169" i="6"/>
  <c r="D168" i="6"/>
  <c r="AE137" i="8" l="1"/>
  <c r="AD137" i="8" s="1"/>
  <c r="D169" i="6"/>
  <c r="E170" i="6"/>
  <c r="AE138" i="8" l="1"/>
  <c r="AD138" i="8" s="1"/>
  <c r="D170" i="6"/>
  <c r="E171" i="6"/>
  <c r="AE139" i="8" l="1"/>
  <c r="AD139" i="8" s="1"/>
  <c r="D171" i="6"/>
  <c r="E172" i="6"/>
  <c r="AE140" i="8" l="1"/>
  <c r="AD140" i="8" s="1"/>
  <c r="D172" i="6"/>
  <c r="E173" i="6"/>
  <c r="AE141" i="8" l="1"/>
  <c r="AD141" i="8" s="1"/>
  <c r="D173" i="6"/>
  <c r="E174" i="6"/>
  <c r="AE142" i="8" l="1"/>
  <c r="AD142" i="8" s="1"/>
  <c r="E175" i="6"/>
  <c r="D174" i="6"/>
  <c r="AE143" i="8" l="1"/>
  <c r="AD143" i="8" s="1"/>
  <c r="D175" i="6"/>
  <c r="E176" i="6"/>
  <c r="AE144" i="8" l="1"/>
  <c r="AD144" i="8" s="1"/>
  <c r="E177" i="6"/>
  <c r="D176" i="6"/>
  <c r="AE145" i="8" l="1"/>
  <c r="AD145" i="8" s="1"/>
  <c r="D177" i="6"/>
  <c r="E178" i="6"/>
  <c r="AE146" i="8" l="1"/>
  <c r="AD146" i="8" s="1"/>
  <c r="D178" i="6"/>
  <c r="E179" i="6"/>
  <c r="AE147" i="8" l="1"/>
  <c r="AD147" i="8" s="1"/>
  <c r="D179" i="6"/>
  <c r="E180" i="6"/>
  <c r="AE148" i="8" l="1"/>
  <c r="AD148" i="8" s="1"/>
  <c r="E181" i="6"/>
  <c r="D180" i="6"/>
  <c r="AE149" i="8" l="1"/>
  <c r="AD149" i="8" s="1"/>
  <c r="D181" i="6"/>
  <c r="E182" i="6"/>
  <c r="AE150" i="8" l="1"/>
  <c r="AD150" i="8" s="1"/>
  <c r="E183" i="6"/>
  <c r="D182" i="6"/>
  <c r="AE151" i="8" l="1"/>
  <c r="AD151" i="8" s="1"/>
  <c r="D183" i="6"/>
  <c r="E184" i="6"/>
  <c r="AE152" i="8" l="1"/>
  <c r="AD152" i="8" s="1"/>
  <c r="D184" i="6"/>
  <c r="E185" i="6"/>
  <c r="AE153" i="8" l="1"/>
  <c r="AD153" i="8" s="1"/>
  <c r="D185" i="6"/>
  <c r="E186" i="6"/>
  <c r="AE154" i="8" l="1"/>
  <c r="AD154" i="8" s="1"/>
  <c r="E187" i="6"/>
  <c r="D186" i="6"/>
  <c r="AE155" i="8" l="1"/>
  <c r="AD155" i="8" s="1"/>
  <c r="D187" i="6"/>
  <c r="E188" i="6"/>
  <c r="AE156" i="8" l="1"/>
  <c r="AD156" i="8" s="1"/>
  <c r="E189" i="6"/>
  <c r="D188" i="6"/>
  <c r="AE157" i="8" l="1"/>
  <c r="AD157" i="8" s="1"/>
  <c r="D189" i="6"/>
  <c r="E190" i="6"/>
  <c r="AE158" i="8" l="1"/>
  <c r="AD158" i="8" s="1"/>
  <c r="D190" i="6"/>
  <c r="E191" i="6"/>
  <c r="AE159" i="8" l="1"/>
  <c r="AD159" i="8" s="1"/>
  <c r="D191" i="6"/>
  <c r="E192" i="6"/>
  <c r="AE160" i="8" l="1"/>
  <c r="AD160" i="8" s="1"/>
  <c r="E193" i="6"/>
  <c r="D192" i="6"/>
  <c r="AE161" i="8" l="1"/>
  <c r="AD161" i="8" s="1"/>
  <c r="D193" i="6"/>
  <c r="E194" i="6"/>
  <c r="AE162" i="8" l="1"/>
  <c r="AD162" i="8" s="1"/>
  <c r="E195" i="6"/>
  <c r="D194" i="6"/>
  <c r="AE163" i="8" l="1"/>
  <c r="AD163" i="8" s="1"/>
  <c r="D195" i="6"/>
  <c r="E196" i="6"/>
  <c r="AE164" i="8" l="1"/>
  <c r="AD164" i="8" s="1"/>
  <c r="D196" i="6"/>
  <c r="E197" i="6"/>
  <c r="AE165" i="8" l="1"/>
  <c r="AD165" i="8" s="1"/>
  <c r="D197" i="6"/>
  <c r="E198" i="6"/>
  <c r="AE166" i="8" l="1"/>
  <c r="AD166" i="8" s="1"/>
  <c r="E199" i="6"/>
  <c r="D198" i="6"/>
  <c r="AE167" i="8" l="1"/>
  <c r="AD167" i="8" s="1"/>
  <c r="D199" i="6"/>
  <c r="E200" i="6"/>
  <c r="AE168" i="8" l="1"/>
  <c r="AD168" i="8" s="1"/>
  <c r="E201" i="6"/>
  <c r="D200" i="6"/>
  <c r="AE169" i="8" l="1"/>
  <c r="AD169" i="8" s="1"/>
  <c r="D201" i="6"/>
  <c r="E202" i="6"/>
  <c r="AE170" i="8" l="1"/>
  <c r="AD170" i="8" s="1"/>
  <c r="D202" i="6"/>
  <c r="E203" i="6"/>
  <c r="AE171" i="8" l="1"/>
  <c r="AD171" i="8" s="1"/>
  <c r="D203" i="6"/>
  <c r="E204" i="6"/>
  <c r="AE172" i="8" l="1"/>
  <c r="AD172" i="8" s="1"/>
  <c r="E205" i="6"/>
  <c r="D204" i="6"/>
  <c r="AE173" i="8" l="1"/>
  <c r="AD173" i="8" s="1"/>
  <c r="D205" i="6"/>
  <c r="E206" i="6"/>
  <c r="AE174" i="8" l="1"/>
  <c r="AD174" i="8" s="1"/>
  <c r="D206" i="6"/>
  <c r="E207" i="6"/>
  <c r="AE175" i="8" l="1"/>
  <c r="AD175" i="8" s="1"/>
  <c r="D207" i="6"/>
  <c r="E208" i="6"/>
  <c r="AE176" i="8" l="1"/>
  <c r="AD176" i="8" s="1"/>
  <c r="E209" i="6"/>
  <c r="D208" i="6"/>
  <c r="AE177" i="8" l="1"/>
  <c r="AD177" i="8" s="1"/>
  <c r="D209" i="6"/>
  <c r="E210" i="6"/>
  <c r="AE178" i="8" l="1"/>
  <c r="AD178" i="8" s="1"/>
  <c r="E211" i="6"/>
  <c r="D210" i="6"/>
  <c r="AE179" i="8" l="1"/>
  <c r="AD179" i="8" s="1"/>
  <c r="D211" i="6"/>
  <c r="E212" i="6"/>
  <c r="AE180" i="8" l="1"/>
  <c r="AD180" i="8" s="1"/>
  <c r="D212" i="6"/>
  <c r="E213" i="6"/>
  <c r="AE181" i="8" l="1"/>
  <c r="AD181" i="8" s="1"/>
  <c r="D213" i="6"/>
  <c r="E214" i="6"/>
  <c r="AE182" i="8" l="1"/>
  <c r="AD182" i="8" s="1"/>
  <c r="E215" i="6"/>
  <c r="D214" i="6"/>
  <c r="AE183" i="8" l="1"/>
  <c r="AD183" i="8" s="1"/>
  <c r="D215" i="6"/>
  <c r="E216" i="6"/>
  <c r="AE184" i="8" l="1"/>
  <c r="AD184" i="8" s="1"/>
  <c r="D216" i="6"/>
  <c r="E217" i="6"/>
  <c r="AE185" i="8" l="1"/>
  <c r="AD185" i="8" s="1"/>
  <c r="D217" i="6"/>
  <c r="E218" i="6"/>
  <c r="AE186" i="8" l="1"/>
  <c r="AD186" i="8" s="1"/>
  <c r="E219" i="6"/>
  <c r="D218" i="6"/>
  <c r="AE187" i="8" l="1"/>
  <c r="AD187" i="8" s="1"/>
  <c r="D219" i="6"/>
  <c r="E220" i="6"/>
  <c r="AE188" i="8" l="1"/>
  <c r="AD188" i="8" s="1"/>
  <c r="E221" i="6"/>
  <c r="D220" i="6"/>
  <c r="AE189" i="8" l="1"/>
  <c r="AD189" i="8" s="1"/>
  <c r="D221" i="6"/>
  <c r="E222" i="6"/>
  <c r="AE190" i="8" l="1"/>
  <c r="AD190" i="8" s="1"/>
  <c r="D222" i="6"/>
  <c r="E223" i="6"/>
  <c r="AE191" i="8" l="1"/>
  <c r="AD191" i="8" s="1"/>
  <c r="D223" i="6"/>
  <c r="E224" i="6"/>
  <c r="AE192" i="8" l="1"/>
  <c r="AD192" i="8" s="1"/>
  <c r="E225" i="6"/>
  <c r="D224" i="6"/>
  <c r="AE193" i="8" l="1"/>
  <c r="AD193" i="8" s="1"/>
  <c r="D225" i="6"/>
  <c r="E226" i="6"/>
  <c r="AE194" i="8" l="1"/>
  <c r="AD194" i="8" s="1"/>
  <c r="D226" i="6"/>
  <c r="E227" i="6"/>
  <c r="AE195" i="8" l="1"/>
  <c r="AD195" i="8" s="1"/>
  <c r="D227" i="6"/>
  <c r="E228" i="6"/>
  <c r="AE196" i="8" l="1"/>
  <c r="AD196" i="8" s="1"/>
  <c r="E229" i="6"/>
  <c r="D228" i="6"/>
  <c r="AE197" i="8" l="1"/>
  <c r="AD197" i="8" s="1"/>
  <c r="D229" i="6"/>
  <c r="E230" i="6"/>
  <c r="AE198" i="8" l="1"/>
  <c r="AD198" i="8" s="1"/>
  <c r="E231" i="6"/>
  <c r="D230" i="6"/>
  <c r="AE199" i="8" l="1"/>
  <c r="AD199" i="8" s="1"/>
  <c r="D231" i="6"/>
  <c r="E232" i="6"/>
  <c r="AE200" i="8" l="1"/>
  <c r="AD200" i="8" s="1"/>
  <c r="D232" i="6"/>
  <c r="E233" i="6"/>
  <c r="AE201" i="8" l="1"/>
  <c r="AD201" i="8" s="1"/>
  <c r="D233" i="6"/>
  <c r="E234" i="6"/>
  <c r="AE202" i="8" l="1"/>
  <c r="AD202" i="8" s="1"/>
  <c r="E235" i="6"/>
  <c r="D234" i="6"/>
  <c r="AE203" i="8" l="1"/>
  <c r="AD203" i="8" s="1"/>
  <c r="D235" i="6"/>
  <c r="E236" i="6"/>
  <c r="AE204" i="8" l="1"/>
  <c r="AD204" i="8" s="1"/>
  <c r="E237" i="6"/>
  <c r="D236" i="6"/>
  <c r="AE205" i="8" l="1"/>
  <c r="AD205" i="8" s="1"/>
  <c r="D237" i="6"/>
  <c r="E238" i="6"/>
  <c r="AE206" i="8" l="1"/>
  <c r="AD206" i="8" s="1"/>
  <c r="E239" i="6"/>
  <c r="D238" i="6"/>
  <c r="AE207" i="8" l="1"/>
  <c r="AD207" i="8" s="1"/>
  <c r="D239" i="6"/>
  <c r="E240" i="6"/>
  <c r="AE208" i="8" l="1"/>
  <c r="AD208" i="8" s="1"/>
  <c r="D240" i="6"/>
  <c r="E241" i="6"/>
  <c r="AE209" i="8" l="1"/>
  <c r="AD209" i="8" s="1"/>
  <c r="D241" i="6"/>
  <c r="E242" i="6"/>
  <c r="AE210" i="8" l="1"/>
  <c r="AD210" i="8" s="1"/>
  <c r="E243" i="6"/>
  <c r="D242" i="6"/>
  <c r="AE211" i="8" l="1"/>
  <c r="AD211" i="8" s="1"/>
  <c r="D243" i="6"/>
  <c r="E244" i="6"/>
  <c r="AE212" i="8" l="1"/>
  <c r="AD212" i="8" s="1"/>
  <c r="D244" i="6"/>
  <c r="E245" i="6"/>
  <c r="AE213" i="8" l="1"/>
  <c r="AD213" i="8" s="1"/>
  <c r="D245" i="6"/>
  <c r="E246" i="6"/>
  <c r="AE214" i="8" l="1"/>
  <c r="AD214" i="8" s="1"/>
  <c r="E247" i="6"/>
  <c r="D246" i="6"/>
  <c r="AE215" i="8" l="1"/>
  <c r="AD215" i="8" s="1"/>
  <c r="D247" i="6"/>
  <c r="E248" i="6"/>
  <c r="AE216" i="8" l="1"/>
  <c r="AD216" i="8" s="1"/>
  <c r="D248" i="6"/>
  <c r="E249" i="6"/>
  <c r="AE217" i="8" l="1"/>
  <c r="AD217" i="8" s="1"/>
  <c r="D249" i="6"/>
  <c r="E250" i="6"/>
  <c r="AE218" i="8" l="1"/>
  <c r="AD218" i="8" s="1"/>
  <c r="E251" i="6"/>
  <c r="D250" i="6"/>
  <c r="AE219" i="8" l="1"/>
  <c r="AD219" i="8" s="1"/>
  <c r="D251" i="6"/>
  <c r="E252" i="6"/>
  <c r="AE220" i="8" l="1"/>
  <c r="AD220" i="8" s="1"/>
  <c r="E253" i="6"/>
  <c r="D252" i="6"/>
  <c r="AE221" i="8" l="1"/>
  <c r="AD221" i="8" s="1"/>
  <c r="D253" i="6"/>
  <c r="E254" i="6"/>
  <c r="AE222" i="8" l="1"/>
  <c r="AD222" i="8" s="1"/>
  <c r="E255" i="6"/>
  <c r="D254" i="6"/>
  <c r="AE223" i="8" l="1"/>
  <c r="AD223" i="8" s="1"/>
  <c r="D255" i="6"/>
  <c r="E256" i="6"/>
  <c r="AE224" i="8" l="1"/>
  <c r="AD224" i="8" s="1"/>
  <c r="D256" i="6"/>
  <c r="E257" i="6"/>
  <c r="AE225" i="8" l="1"/>
  <c r="AD225" i="8" s="1"/>
  <c r="D257" i="6"/>
  <c r="E258" i="6"/>
  <c r="AE226" i="8" l="1"/>
  <c r="AD226" i="8" s="1"/>
  <c r="E259" i="6"/>
  <c r="D258" i="6"/>
  <c r="AE227" i="8" l="1"/>
  <c r="AD227" i="8" s="1"/>
  <c r="D259" i="6"/>
  <c r="E260" i="6"/>
  <c r="AE228" i="8" l="1"/>
  <c r="AD228" i="8" s="1"/>
  <c r="E261" i="6"/>
  <c r="D260" i="6"/>
  <c r="AE229" i="8" l="1"/>
  <c r="AD229" i="8" s="1"/>
  <c r="D261" i="6"/>
  <c r="E262" i="6"/>
  <c r="AE230" i="8" l="1"/>
  <c r="AD230" i="8" s="1"/>
  <c r="D262" i="6"/>
  <c r="E263" i="6"/>
  <c r="AE231" i="8" l="1"/>
  <c r="AD231" i="8" s="1"/>
  <c r="D263" i="6"/>
  <c r="E264" i="6"/>
  <c r="AE232" i="8" l="1"/>
  <c r="AD232" i="8" s="1"/>
  <c r="E265" i="6"/>
  <c r="D264" i="6"/>
  <c r="AE233" i="8" l="1"/>
  <c r="AD233" i="8" s="1"/>
  <c r="D265" i="6"/>
  <c r="E266" i="6"/>
  <c r="AE234" i="8" l="1"/>
  <c r="AD234" i="8" s="1"/>
  <c r="D266" i="6"/>
  <c r="E267" i="6"/>
  <c r="AE235" i="8" l="1"/>
  <c r="AD235" i="8" s="1"/>
  <c r="D267" i="6"/>
  <c r="E268" i="6"/>
  <c r="AE236" i="8" l="1"/>
  <c r="AD236" i="8" s="1"/>
  <c r="E269" i="6"/>
  <c r="D268" i="6"/>
  <c r="AE237" i="8" l="1"/>
  <c r="AD237" i="8" s="1"/>
  <c r="D269" i="6"/>
  <c r="E270" i="6"/>
  <c r="AE238" i="8" l="1"/>
  <c r="AD238" i="8" s="1"/>
  <c r="E271" i="6"/>
  <c r="D270" i="6"/>
  <c r="AE239" i="8" l="1"/>
  <c r="AD239" i="8" s="1"/>
  <c r="D271" i="6"/>
  <c r="E272" i="6"/>
  <c r="AE240" i="8" l="1"/>
  <c r="AD240" i="8" s="1"/>
  <c r="D272" i="6"/>
  <c r="E273" i="6"/>
  <c r="AE241" i="8" l="1"/>
  <c r="AD241" i="8" s="1"/>
  <c r="D273" i="6"/>
  <c r="E274" i="6"/>
  <c r="AE242" i="8" l="1"/>
  <c r="AD242" i="8" s="1"/>
  <c r="E275" i="6"/>
  <c r="D274" i="6"/>
  <c r="AE243" i="8" l="1"/>
  <c r="AD243" i="8" s="1"/>
  <c r="D275" i="6"/>
  <c r="E276" i="6"/>
  <c r="AE244" i="8" l="1"/>
  <c r="AD244" i="8" s="1"/>
  <c r="D276" i="6"/>
  <c r="E277" i="6"/>
  <c r="AE245" i="8" l="1"/>
  <c r="AD245" i="8" s="1"/>
  <c r="D277" i="6"/>
  <c r="E278" i="6"/>
  <c r="AE246" i="8" l="1"/>
  <c r="AD246" i="8" s="1"/>
  <c r="E279" i="6"/>
  <c r="D278" i="6"/>
  <c r="AE247" i="8" l="1"/>
  <c r="AD247" i="8" s="1"/>
  <c r="D279" i="6"/>
  <c r="E280" i="6"/>
  <c r="AE248" i="8" l="1"/>
  <c r="AD248" i="8" s="1"/>
  <c r="E281" i="6"/>
  <c r="D280" i="6"/>
  <c r="AE249" i="8" l="1"/>
  <c r="AD249" i="8" s="1"/>
  <c r="D281" i="6"/>
  <c r="E282" i="6"/>
  <c r="AE250" i="8" l="1"/>
  <c r="AD250" i="8" s="1"/>
  <c r="D282" i="6"/>
  <c r="E283" i="6"/>
  <c r="AE251" i="8" l="1"/>
  <c r="AD251" i="8" s="1"/>
  <c r="D283" i="6"/>
  <c r="E284" i="6"/>
  <c r="AE252" i="8" l="1"/>
  <c r="AD252" i="8" s="1"/>
  <c r="E285" i="6"/>
  <c r="D284" i="6"/>
  <c r="AE253" i="8" l="1"/>
  <c r="AD253" i="8" s="1"/>
  <c r="D285" i="6"/>
  <c r="E286" i="6"/>
  <c r="AE254" i="8" l="1"/>
  <c r="AD254" i="8" s="1"/>
  <c r="E287" i="6"/>
  <c r="D286" i="6"/>
  <c r="AE255" i="8" l="1"/>
  <c r="AD255" i="8" s="1"/>
  <c r="D287" i="6"/>
  <c r="E288" i="6"/>
  <c r="AE256" i="8" l="1"/>
  <c r="AD256" i="8" s="1"/>
  <c r="D288" i="6"/>
  <c r="E289" i="6"/>
  <c r="AE257" i="8" l="1"/>
  <c r="AD257" i="8" s="1"/>
  <c r="D289" i="6"/>
  <c r="E290" i="6"/>
  <c r="AE258" i="8" l="1"/>
  <c r="AD258" i="8" s="1"/>
  <c r="E291" i="6"/>
  <c r="D290" i="6"/>
  <c r="AE259" i="8" l="1"/>
  <c r="AD259" i="8" s="1"/>
  <c r="D291" i="6"/>
  <c r="E292" i="6"/>
  <c r="AE260" i="8" l="1"/>
  <c r="AD260" i="8" s="1"/>
  <c r="E293" i="6"/>
  <c r="D292" i="6"/>
  <c r="AE261" i="8" l="1"/>
  <c r="AD261" i="8" s="1"/>
  <c r="D293" i="6"/>
  <c r="E294" i="6"/>
  <c r="AE262" i="8" l="1"/>
  <c r="AD262" i="8" s="1"/>
  <c r="E295" i="6"/>
  <c r="D294" i="6"/>
  <c r="AE263" i="8" l="1"/>
  <c r="AD263" i="8" s="1"/>
  <c r="D295" i="6"/>
  <c r="E296" i="6"/>
  <c r="AE264" i="8" l="1"/>
  <c r="AD264" i="8" s="1"/>
  <c r="D296" i="6"/>
  <c r="E297" i="6"/>
  <c r="AE265" i="8" l="1"/>
  <c r="AD265" i="8" s="1"/>
  <c r="D297" i="6"/>
  <c r="E298" i="6"/>
  <c r="AE266" i="8" l="1"/>
  <c r="AD266" i="8" s="1"/>
  <c r="E299" i="6"/>
  <c r="D298" i="6"/>
  <c r="AE267" i="8" l="1"/>
  <c r="AD267" i="8" s="1"/>
  <c r="D299" i="6"/>
  <c r="E300" i="6"/>
  <c r="AE268" i="8" l="1"/>
  <c r="AD268" i="8" s="1"/>
  <c r="E301" i="6"/>
  <c r="D300" i="6"/>
  <c r="AE269" i="8" l="1"/>
  <c r="AD269" i="8" s="1"/>
  <c r="D301" i="6"/>
  <c r="E302" i="6"/>
  <c r="AE270" i="8" l="1"/>
  <c r="AD270" i="8" s="1"/>
  <c r="D302" i="6"/>
  <c r="E303" i="6"/>
  <c r="AE271" i="8" l="1"/>
  <c r="AD271" i="8" s="1"/>
  <c r="D303" i="6"/>
  <c r="E304" i="6"/>
  <c r="AE272" i="8" l="1"/>
  <c r="AD272" i="8" s="1"/>
  <c r="E305" i="6"/>
  <c r="D304" i="6"/>
  <c r="AE273" i="8" l="1"/>
  <c r="AD273" i="8" s="1"/>
  <c r="D305" i="6"/>
  <c r="E306" i="6"/>
  <c r="AE274" i="8" l="1"/>
  <c r="AD274" i="8" s="1"/>
  <c r="D306" i="6"/>
  <c r="E307" i="6"/>
  <c r="AE275" i="8" l="1"/>
  <c r="AD275" i="8" s="1"/>
  <c r="D307" i="6"/>
  <c r="E308" i="6"/>
  <c r="AE276" i="8" l="1"/>
  <c r="AD276" i="8" s="1"/>
  <c r="E309" i="6"/>
  <c r="D308" i="6"/>
  <c r="AE277" i="8" l="1"/>
  <c r="AD277" i="8" s="1"/>
  <c r="D309" i="6"/>
  <c r="E310" i="6"/>
  <c r="AE278" i="8" l="1"/>
  <c r="AD278" i="8" s="1"/>
  <c r="E311" i="6"/>
  <c r="D310" i="6"/>
  <c r="AE279" i="8" l="1"/>
  <c r="AD279" i="8" s="1"/>
  <c r="D311" i="6"/>
  <c r="E312" i="6"/>
  <c r="AE280" i="8" l="1"/>
  <c r="AD280" i="8" s="1"/>
  <c r="E313" i="6"/>
  <c r="D312" i="6"/>
  <c r="AE281" i="8" l="1"/>
  <c r="AD281" i="8" s="1"/>
  <c r="D313" i="6"/>
  <c r="E314" i="6"/>
  <c r="AE282" i="8" l="1"/>
  <c r="AD282" i="8" s="1"/>
  <c r="D314" i="6"/>
  <c r="E315" i="6"/>
  <c r="AE283" i="8" l="1"/>
  <c r="AD283" i="8" s="1"/>
  <c r="D315" i="6"/>
  <c r="E316" i="6"/>
  <c r="AE284" i="8" l="1"/>
  <c r="AD284" i="8" s="1"/>
  <c r="E317" i="6"/>
  <c r="D316" i="6"/>
  <c r="AE285" i="8" l="1"/>
  <c r="AD285" i="8" s="1"/>
  <c r="D317" i="6"/>
  <c r="E318" i="6"/>
  <c r="AE286" i="8" l="1"/>
  <c r="AD286" i="8" s="1"/>
  <c r="E319" i="6"/>
  <c r="D318" i="6"/>
  <c r="AE287" i="8" l="1"/>
  <c r="AD287" i="8" s="1"/>
  <c r="D319" i="6"/>
  <c r="E320" i="6"/>
  <c r="AE288" i="8" l="1"/>
  <c r="AD288" i="8" s="1"/>
  <c r="D320" i="6"/>
  <c r="E321" i="6"/>
  <c r="AE289" i="8" l="1"/>
  <c r="AD289" i="8" s="1"/>
  <c r="D321" i="6"/>
  <c r="E322" i="6"/>
  <c r="AE290" i="8" l="1"/>
  <c r="AD290" i="8" s="1"/>
  <c r="E323" i="6"/>
  <c r="D322" i="6"/>
  <c r="AE291" i="8" l="1"/>
  <c r="AD291" i="8" s="1"/>
  <c r="D323" i="6"/>
  <c r="E324" i="6"/>
  <c r="AE292" i="8" l="1"/>
  <c r="AD292" i="8" s="1"/>
  <c r="E325" i="6"/>
  <c r="D324" i="6"/>
  <c r="AE293" i="8" l="1"/>
  <c r="AD293" i="8" s="1"/>
  <c r="D325" i="6"/>
  <c r="E326" i="6"/>
  <c r="AE294" i="8" l="1"/>
  <c r="AD294" i="8" s="1"/>
  <c r="D326" i="6"/>
  <c r="E327" i="6"/>
  <c r="AE295" i="8" l="1"/>
  <c r="AD295" i="8" s="1"/>
  <c r="D327" i="6"/>
  <c r="E328" i="6"/>
  <c r="AE296" i="8" l="1"/>
  <c r="AD296" i="8" s="1"/>
  <c r="E329" i="6"/>
  <c r="D328" i="6"/>
  <c r="AE297" i="8" l="1"/>
  <c r="AD297" i="8" s="1"/>
  <c r="D329" i="6"/>
  <c r="E330" i="6"/>
  <c r="AE298" i="8" l="1"/>
  <c r="AD298" i="8" s="1"/>
  <c r="D330" i="6"/>
  <c r="E331" i="6"/>
  <c r="AE299" i="8" l="1"/>
  <c r="AD299" i="8" s="1"/>
  <c r="D331" i="6"/>
  <c r="E332" i="6"/>
  <c r="AE300" i="8" l="1"/>
  <c r="AD300" i="8" s="1"/>
  <c r="E333" i="6"/>
  <c r="D332" i="6"/>
  <c r="AE301" i="8" l="1"/>
  <c r="AD301" i="8" s="1"/>
  <c r="D333" i="6"/>
  <c r="E334" i="6"/>
  <c r="AE302" i="8" l="1"/>
  <c r="AD302" i="8" s="1"/>
  <c r="E335" i="6"/>
  <c r="D334" i="6"/>
  <c r="AE303" i="8" l="1"/>
  <c r="AD303" i="8" s="1"/>
  <c r="D335" i="6"/>
  <c r="E336" i="6"/>
  <c r="AE304" i="8" l="1"/>
  <c r="AD304" i="8" s="1"/>
  <c r="D336" i="6"/>
  <c r="E337" i="6"/>
  <c r="AE305" i="8" l="1"/>
  <c r="AD305" i="8" s="1"/>
  <c r="D337" i="6"/>
  <c r="E338" i="6"/>
  <c r="AE306" i="8" l="1"/>
  <c r="AD306" i="8" s="1"/>
  <c r="E339" i="6"/>
  <c r="D338" i="6"/>
  <c r="AE307" i="8" l="1"/>
  <c r="AD307" i="8" s="1"/>
  <c r="D339" i="6"/>
  <c r="E340" i="6"/>
  <c r="AE308" i="8" l="1"/>
  <c r="AD308" i="8" s="1"/>
  <c r="E341" i="6"/>
  <c r="D340" i="6"/>
  <c r="AE309" i="8" l="1"/>
  <c r="AD309" i="8" s="1"/>
  <c r="D341" i="6"/>
  <c r="E342" i="6"/>
  <c r="AE310" i="8" l="1"/>
  <c r="AD310" i="8" s="1"/>
  <c r="D342" i="6"/>
  <c r="E343" i="6"/>
  <c r="AE311" i="8" l="1"/>
  <c r="AD311" i="8" s="1"/>
  <c r="D343" i="6"/>
  <c r="E344" i="6"/>
  <c r="AE312" i="8" l="1"/>
  <c r="AD312" i="8" s="1"/>
  <c r="E345" i="6"/>
  <c r="D344" i="6"/>
  <c r="AE313" i="8" l="1"/>
  <c r="AD313" i="8" s="1"/>
  <c r="D345" i="6"/>
  <c r="E346" i="6"/>
  <c r="AE314" i="8" l="1"/>
  <c r="AD314" i="8" s="1"/>
  <c r="E347" i="6"/>
  <c r="D346" i="6"/>
  <c r="AE315" i="8" l="1"/>
  <c r="AD315" i="8" s="1"/>
  <c r="D347" i="6"/>
  <c r="E348" i="6"/>
  <c r="AE316" i="8" l="1"/>
  <c r="AD316" i="8" s="1"/>
  <c r="D348" i="6"/>
  <c r="E349" i="6"/>
  <c r="AE317" i="8" l="1"/>
  <c r="AD317" i="8" s="1"/>
  <c r="D349" i="6"/>
  <c r="E350" i="6"/>
  <c r="AE318" i="8" l="1"/>
  <c r="AD318" i="8" s="1"/>
  <c r="E351" i="6"/>
  <c r="D350" i="6"/>
  <c r="AE319" i="8" l="1"/>
  <c r="AD319" i="8" s="1"/>
  <c r="D351" i="6"/>
  <c r="E352" i="6"/>
  <c r="AE320" i="8" l="1"/>
  <c r="AD320" i="8" s="1"/>
  <c r="E353" i="6"/>
  <c r="D352" i="6"/>
  <c r="AE321" i="8" l="1"/>
  <c r="AD321" i="8" s="1"/>
  <c r="D353" i="6"/>
  <c r="E354" i="6"/>
  <c r="AE322" i="8" l="1"/>
  <c r="AD322" i="8" s="1"/>
  <c r="E355" i="6"/>
  <c r="D354" i="6"/>
  <c r="AE323" i="8" l="1"/>
  <c r="AD323" i="8" s="1"/>
  <c r="E356" i="6"/>
  <c r="D355" i="6"/>
  <c r="AE324" i="8" l="1"/>
  <c r="AD324" i="8" s="1"/>
  <c r="E357" i="6"/>
  <c r="D356" i="6"/>
  <c r="AE325" i="8" l="1"/>
  <c r="AD325" i="8" s="1"/>
  <c r="E358" i="6"/>
  <c r="D357" i="6"/>
  <c r="AE326" i="8" l="1"/>
  <c r="AD326" i="8" s="1"/>
  <c r="E359" i="6"/>
  <c r="D358" i="6"/>
  <c r="AE327" i="8" l="1"/>
  <c r="AD327" i="8" s="1"/>
  <c r="E360" i="6"/>
  <c r="D359" i="6"/>
  <c r="AE328" i="8" l="1"/>
  <c r="AD328" i="8" s="1"/>
  <c r="E361" i="6"/>
  <c r="D360" i="6"/>
  <c r="AE329" i="8" l="1"/>
  <c r="AD329" i="8" s="1"/>
  <c r="E362" i="6"/>
  <c r="D361" i="6"/>
  <c r="AE330" i="8" l="1"/>
  <c r="AD330" i="8" s="1"/>
  <c r="E363" i="6"/>
  <c r="D362" i="6"/>
  <c r="AE331" i="8" l="1"/>
  <c r="AD331" i="8" s="1"/>
  <c r="E364" i="6"/>
  <c r="D363" i="6"/>
  <c r="AE332" i="8" l="1"/>
  <c r="AD332" i="8" s="1"/>
  <c r="E365" i="6"/>
  <c r="D364" i="6"/>
  <c r="AE333" i="8" l="1"/>
  <c r="AD333" i="8" s="1"/>
  <c r="E366" i="6"/>
  <c r="D365" i="6"/>
  <c r="AE334" i="8" l="1"/>
  <c r="AD334" i="8" s="1"/>
  <c r="E367" i="6"/>
  <c r="D366" i="6"/>
  <c r="AE335" i="8" l="1"/>
  <c r="AD335" i="8" s="1"/>
  <c r="E368" i="6"/>
  <c r="D367" i="6"/>
  <c r="AE336" i="8" l="1"/>
  <c r="AD336" i="8" s="1"/>
  <c r="E369" i="6"/>
  <c r="D368" i="6"/>
  <c r="AE337" i="8" l="1"/>
  <c r="AD337" i="8" s="1"/>
  <c r="E370" i="6"/>
  <c r="D369" i="6"/>
  <c r="AE338" i="8" l="1"/>
  <c r="AD338" i="8" s="1"/>
  <c r="E371" i="6"/>
  <c r="D370" i="6"/>
  <c r="AE339" i="8" l="1"/>
  <c r="AD339" i="8" s="1"/>
  <c r="E372" i="6"/>
  <c r="D371" i="6"/>
  <c r="AE340" i="8" l="1"/>
  <c r="AD340" i="8" s="1"/>
  <c r="E373" i="6"/>
  <c r="D372" i="6"/>
  <c r="AE341" i="8" l="1"/>
  <c r="AD341" i="8" s="1"/>
  <c r="E374" i="6"/>
  <c r="D373" i="6"/>
  <c r="AE342" i="8" l="1"/>
  <c r="AD342" i="8" s="1"/>
  <c r="E375" i="6"/>
  <c r="D374" i="6"/>
  <c r="AE343" i="8" l="1"/>
  <c r="AD343" i="8" s="1"/>
  <c r="E376" i="6"/>
  <c r="D375" i="6"/>
  <c r="AE344" i="8" l="1"/>
  <c r="AD344" i="8" s="1"/>
  <c r="E377" i="6"/>
  <c r="D376" i="6"/>
  <c r="AE345" i="8" l="1"/>
  <c r="AD345" i="8" s="1"/>
  <c r="E378" i="6"/>
  <c r="D377" i="6"/>
  <c r="AE346" i="8" l="1"/>
  <c r="AD346" i="8" s="1"/>
  <c r="E379" i="6"/>
  <c r="D378" i="6"/>
  <c r="AE347" i="8" l="1"/>
  <c r="AD347" i="8" s="1"/>
  <c r="E380" i="6"/>
  <c r="D379" i="6"/>
  <c r="AE348" i="8" l="1"/>
  <c r="AD348" i="8" s="1"/>
  <c r="E381" i="6"/>
  <c r="D380" i="6"/>
  <c r="AE349" i="8" l="1"/>
  <c r="AD349" i="8" s="1"/>
  <c r="E382" i="6"/>
  <c r="D381" i="6"/>
  <c r="AE350" i="8" l="1"/>
  <c r="AD350" i="8" s="1"/>
  <c r="E383" i="6"/>
  <c r="D382" i="6"/>
  <c r="AE351" i="8" l="1"/>
  <c r="AD351" i="8" s="1"/>
  <c r="E384" i="6"/>
  <c r="D383" i="6"/>
  <c r="AE352" i="8" l="1"/>
  <c r="AD352" i="8" s="1"/>
  <c r="E385" i="6"/>
  <c r="D384" i="6"/>
  <c r="AE353" i="8" l="1"/>
  <c r="AD353" i="8" s="1"/>
  <c r="E386" i="6"/>
  <c r="D385" i="6"/>
  <c r="AE354" i="8" l="1"/>
  <c r="AD354" i="8" s="1"/>
  <c r="E387" i="6"/>
  <c r="D386" i="6"/>
  <c r="AE355" i="8" l="1"/>
  <c r="AD355" i="8" s="1"/>
  <c r="E388" i="6"/>
  <c r="D387" i="6"/>
  <c r="AE356" i="8" l="1"/>
  <c r="AD356" i="8" s="1"/>
  <c r="E389" i="6"/>
  <c r="D388" i="6"/>
  <c r="AE357" i="8" l="1"/>
  <c r="AD357" i="8" s="1"/>
  <c r="E390" i="6"/>
  <c r="D389" i="6"/>
  <c r="AE358" i="8" l="1"/>
  <c r="AD358" i="8" s="1"/>
  <c r="E391" i="6"/>
  <c r="D390" i="6"/>
  <c r="AE359" i="8" l="1"/>
  <c r="AD359" i="8" s="1"/>
  <c r="E392" i="6"/>
  <c r="D391" i="6"/>
  <c r="AE360" i="8" l="1"/>
  <c r="AD360" i="8" s="1"/>
  <c r="E393" i="6"/>
  <c r="D392" i="6"/>
  <c r="AE361" i="8" l="1"/>
  <c r="AD361" i="8" s="1"/>
  <c r="E394" i="6"/>
  <c r="D393" i="6"/>
  <c r="AE362" i="8" l="1"/>
  <c r="AD362" i="8" s="1"/>
  <c r="E395" i="6"/>
  <c r="D394" i="6"/>
  <c r="AE363" i="8" l="1"/>
  <c r="AD363" i="8" s="1"/>
  <c r="E396" i="6"/>
  <c r="D395" i="6"/>
  <c r="AE364" i="8" l="1"/>
  <c r="AD364" i="8" s="1"/>
  <c r="E397" i="6"/>
  <c r="D396" i="6"/>
  <c r="AE365" i="8" l="1"/>
  <c r="AD365" i="8" s="1"/>
  <c r="E398" i="6"/>
  <c r="D397" i="6"/>
  <c r="AE366" i="8" l="1"/>
  <c r="AD366" i="8" s="1"/>
  <c r="E399" i="6"/>
  <c r="D398" i="6"/>
  <c r="AE367" i="8" l="1"/>
  <c r="AD367" i="8" s="1"/>
  <c r="E400" i="6"/>
  <c r="D399" i="6"/>
  <c r="AE368" i="8" l="1"/>
  <c r="AD368" i="8" s="1"/>
  <c r="E401" i="6"/>
  <c r="D400" i="6"/>
  <c r="AE369" i="8" l="1"/>
  <c r="AD369" i="8" s="1"/>
  <c r="E402" i="6"/>
  <c r="D401" i="6"/>
  <c r="AE370" i="8" l="1"/>
  <c r="AD370" i="8" s="1"/>
  <c r="E403" i="6"/>
  <c r="D402" i="6"/>
  <c r="AE371" i="8" l="1"/>
  <c r="AD371" i="8" s="1"/>
  <c r="E404" i="6"/>
  <c r="D403" i="6"/>
  <c r="AE372" i="8" l="1"/>
  <c r="AD372" i="8" s="1"/>
  <c r="E405" i="6"/>
  <c r="D404" i="6"/>
  <c r="AE373" i="8" l="1"/>
  <c r="AD373" i="8" s="1"/>
  <c r="E406" i="6"/>
  <c r="D405" i="6"/>
  <c r="AE374" i="8" l="1"/>
  <c r="AD374" i="8" s="1"/>
  <c r="E407" i="6"/>
  <c r="D406" i="6"/>
  <c r="AE375" i="8" l="1"/>
  <c r="AD375" i="8" s="1"/>
  <c r="E408" i="6"/>
  <c r="D407" i="6"/>
  <c r="AE376" i="8" l="1"/>
  <c r="AD376" i="8" s="1"/>
  <c r="E409" i="6"/>
  <c r="D408" i="6"/>
  <c r="AE377" i="8" l="1"/>
  <c r="AD377" i="8" s="1"/>
  <c r="E410" i="6"/>
  <c r="D409" i="6"/>
  <c r="AE378" i="8" l="1"/>
  <c r="AD378" i="8" s="1"/>
  <c r="E411" i="6"/>
  <c r="D410" i="6"/>
  <c r="AE379" i="8" l="1"/>
  <c r="AD379" i="8" s="1"/>
  <c r="E412" i="6"/>
  <c r="D411" i="6"/>
  <c r="AE380" i="8" l="1"/>
  <c r="AD380" i="8" s="1"/>
  <c r="E413" i="6"/>
  <c r="D412" i="6"/>
  <c r="AE381" i="8" l="1"/>
  <c r="AD381" i="8" s="1"/>
  <c r="E414" i="6"/>
  <c r="D413" i="6"/>
  <c r="AE382" i="8" l="1"/>
  <c r="AD382" i="8" s="1"/>
  <c r="E415" i="6"/>
  <c r="D414" i="6"/>
  <c r="AE383" i="8" l="1"/>
  <c r="AD383" i="8" s="1"/>
  <c r="E416" i="6"/>
  <c r="D415" i="6"/>
  <c r="AE384" i="8" l="1"/>
  <c r="AD384" i="8" s="1"/>
  <c r="E417" i="6"/>
  <c r="D416" i="6"/>
  <c r="AE385" i="8" l="1"/>
  <c r="AD385" i="8" s="1"/>
  <c r="E418" i="6"/>
  <c r="D417" i="6"/>
  <c r="AE386" i="8" l="1"/>
  <c r="AD386" i="8" s="1"/>
  <c r="E419" i="6"/>
  <c r="D418" i="6"/>
  <c r="AE387" i="8" l="1"/>
  <c r="AD387" i="8" s="1"/>
  <c r="E420" i="6"/>
  <c r="D419" i="6"/>
  <c r="AE388" i="8" l="1"/>
  <c r="AD388" i="8" s="1"/>
  <c r="E421" i="6"/>
  <c r="D420" i="6"/>
  <c r="AE389" i="8" l="1"/>
  <c r="AD389" i="8" s="1"/>
  <c r="E422" i="6"/>
  <c r="D421" i="6"/>
  <c r="AE390" i="8" l="1"/>
  <c r="AD390" i="8" s="1"/>
  <c r="E423" i="6"/>
  <c r="D422" i="6"/>
  <c r="AE391" i="8" l="1"/>
  <c r="AD391" i="8" s="1"/>
  <c r="E424" i="6"/>
  <c r="D423" i="6"/>
  <c r="AE392" i="8" l="1"/>
  <c r="AD392" i="8" s="1"/>
  <c r="E425" i="6"/>
  <c r="D424" i="6"/>
  <c r="AE393" i="8" l="1"/>
  <c r="AD393" i="8" s="1"/>
  <c r="E426" i="6"/>
  <c r="D425" i="6"/>
  <c r="AE394" i="8" l="1"/>
  <c r="AD394" i="8" s="1"/>
  <c r="E427" i="6"/>
  <c r="D426" i="6"/>
  <c r="AE395" i="8" l="1"/>
  <c r="AD395" i="8" s="1"/>
  <c r="E428" i="6"/>
  <c r="D427" i="6"/>
  <c r="AE396" i="8" l="1"/>
  <c r="AD396" i="8" s="1"/>
  <c r="E429" i="6"/>
  <c r="D428" i="6"/>
  <c r="AE397" i="8" l="1"/>
  <c r="AD397" i="8" s="1"/>
  <c r="E430" i="6"/>
  <c r="D429" i="6"/>
  <c r="AE398" i="8" l="1"/>
  <c r="AD398" i="8" s="1"/>
  <c r="E431" i="6"/>
  <c r="D430" i="6"/>
  <c r="AE399" i="8" l="1"/>
  <c r="AD399" i="8" s="1"/>
  <c r="E432" i="6"/>
  <c r="D431" i="6"/>
  <c r="AE400" i="8" l="1"/>
  <c r="AD400" i="8" s="1"/>
  <c r="E433" i="6"/>
  <c r="D432" i="6"/>
  <c r="AE401" i="8" l="1"/>
  <c r="AD401" i="8" s="1"/>
  <c r="E434" i="6"/>
  <c r="D433" i="6"/>
  <c r="AE402" i="8" l="1"/>
  <c r="AD402" i="8" s="1"/>
  <c r="E435" i="6"/>
  <c r="D434" i="6"/>
  <c r="AE403" i="8" l="1"/>
  <c r="AD403" i="8" s="1"/>
  <c r="E436" i="6"/>
  <c r="D435" i="6"/>
  <c r="AE404" i="8" l="1"/>
  <c r="AD404" i="8" s="1"/>
  <c r="E437" i="6"/>
  <c r="D436" i="6"/>
  <c r="AE405" i="8" l="1"/>
  <c r="AD405" i="8" s="1"/>
  <c r="E438" i="6"/>
  <c r="D437" i="6"/>
  <c r="AE406" i="8" l="1"/>
  <c r="AD406" i="8" s="1"/>
  <c r="E439" i="6"/>
  <c r="D438" i="6"/>
  <c r="AE407" i="8" l="1"/>
  <c r="AD407" i="8" s="1"/>
  <c r="E440" i="6"/>
  <c r="D439" i="6"/>
  <c r="AE408" i="8" l="1"/>
  <c r="AD408" i="8" s="1"/>
  <c r="E441" i="6"/>
  <c r="D440" i="6"/>
  <c r="AE409" i="8" l="1"/>
  <c r="AD409" i="8" s="1"/>
  <c r="E442" i="6"/>
  <c r="D441" i="6"/>
  <c r="AE410" i="8" l="1"/>
  <c r="AD410" i="8" s="1"/>
  <c r="E443" i="6"/>
  <c r="D442" i="6"/>
  <c r="AE411" i="8" l="1"/>
  <c r="AD411" i="8" s="1"/>
  <c r="E444" i="6"/>
  <c r="D443" i="6"/>
  <c r="AE412" i="8" l="1"/>
  <c r="AD412" i="8" s="1"/>
  <c r="E445" i="6"/>
  <c r="D444" i="6"/>
  <c r="AE413" i="8" l="1"/>
  <c r="AD413" i="8" s="1"/>
  <c r="E446" i="6"/>
  <c r="D445" i="6"/>
  <c r="AE414" i="8" l="1"/>
  <c r="AD414" i="8" s="1"/>
  <c r="E447" i="6"/>
  <c r="D446" i="6"/>
  <c r="AE415" i="8" l="1"/>
  <c r="AD415" i="8" s="1"/>
  <c r="E448" i="6"/>
  <c r="D447" i="6"/>
  <c r="AE416" i="8" l="1"/>
  <c r="AD416" i="8" s="1"/>
  <c r="E449" i="6"/>
  <c r="D448" i="6"/>
  <c r="AE417" i="8" l="1"/>
  <c r="AD417" i="8" s="1"/>
  <c r="E450" i="6"/>
  <c r="D449" i="6"/>
  <c r="AE418" i="8" l="1"/>
  <c r="AD418" i="8" s="1"/>
  <c r="E451" i="6"/>
  <c r="D450" i="6"/>
  <c r="AE419" i="8" l="1"/>
  <c r="AD419" i="8" s="1"/>
  <c r="E452" i="6"/>
  <c r="D451" i="6"/>
  <c r="AE420" i="8" l="1"/>
  <c r="AD420" i="8" s="1"/>
  <c r="E453" i="6"/>
  <c r="D452" i="6"/>
  <c r="AE421" i="8" l="1"/>
  <c r="AD421" i="8" s="1"/>
  <c r="E454" i="6"/>
  <c r="D453" i="6"/>
  <c r="AE422" i="8" l="1"/>
  <c r="AD422" i="8" s="1"/>
  <c r="E455" i="6"/>
  <c r="D454" i="6"/>
  <c r="AE423" i="8" l="1"/>
  <c r="AD423" i="8" s="1"/>
  <c r="E456" i="6"/>
  <c r="D455" i="6"/>
  <c r="AE424" i="8" l="1"/>
  <c r="AD424" i="8" s="1"/>
  <c r="E457" i="6"/>
  <c r="D456" i="6"/>
  <c r="AE425" i="8" l="1"/>
  <c r="AD425" i="8" s="1"/>
  <c r="E458" i="6"/>
  <c r="D457" i="6"/>
  <c r="AE426" i="8" l="1"/>
  <c r="AD426" i="8" s="1"/>
  <c r="E459" i="6"/>
  <c r="D458" i="6"/>
  <c r="AE427" i="8" l="1"/>
  <c r="AD427" i="8" s="1"/>
  <c r="E460" i="6"/>
  <c r="D459" i="6"/>
  <c r="AE428" i="8" l="1"/>
  <c r="AD428" i="8" s="1"/>
  <c r="E461" i="6"/>
  <c r="D460" i="6"/>
  <c r="AE429" i="8" l="1"/>
  <c r="AD429" i="8" s="1"/>
  <c r="E462" i="6"/>
  <c r="D461" i="6"/>
  <c r="AE430" i="8" l="1"/>
  <c r="AD430" i="8" s="1"/>
  <c r="E463" i="6"/>
  <c r="D462" i="6"/>
  <c r="AE431" i="8" l="1"/>
  <c r="AD431" i="8" s="1"/>
  <c r="E464" i="6"/>
  <c r="D463" i="6"/>
  <c r="AE432" i="8" l="1"/>
  <c r="AD432" i="8" s="1"/>
  <c r="E465" i="6"/>
  <c r="D464" i="6"/>
  <c r="AE433" i="8" l="1"/>
  <c r="AD433" i="8" s="1"/>
  <c r="E466" i="6"/>
  <c r="D465" i="6"/>
  <c r="AE434" i="8" l="1"/>
  <c r="AD434" i="8" s="1"/>
  <c r="E467" i="6"/>
  <c r="D466" i="6"/>
  <c r="AE435" i="8" l="1"/>
  <c r="AD435" i="8" s="1"/>
  <c r="E468" i="6"/>
  <c r="D467" i="6"/>
  <c r="AE436" i="8" l="1"/>
  <c r="AD436" i="8" s="1"/>
  <c r="E469" i="6"/>
  <c r="D468" i="6"/>
  <c r="AE437" i="8" l="1"/>
  <c r="AD437" i="8" s="1"/>
  <c r="E470" i="6"/>
  <c r="D469" i="6"/>
  <c r="AE438" i="8" l="1"/>
  <c r="AD438" i="8" s="1"/>
  <c r="E471" i="6"/>
  <c r="D470" i="6"/>
  <c r="AE439" i="8" l="1"/>
  <c r="AD439" i="8" s="1"/>
  <c r="E472" i="6"/>
  <c r="D471" i="6"/>
  <c r="AE440" i="8" l="1"/>
  <c r="AD440" i="8" s="1"/>
  <c r="E473" i="6"/>
  <c r="D472" i="6"/>
  <c r="AE441" i="8" l="1"/>
  <c r="AD441" i="8" s="1"/>
  <c r="E474" i="6"/>
  <c r="D473" i="6"/>
  <c r="AE442" i="8" l="1"/>
  <c r="AD442" i="8" s="1"/>
  <c r="E475" i="6"/>
  <c r="D474" i="6"/>
  <c r="AE443" i="8" l="1"/>
  <c r="AD443" i="8" s="1"/>
  <c r="E476" i="6"/>
  <c r="D475" i="6"/>
  <c r="AE444" i="8" l="1"/>
  <c r="AD444" i="8" s="1"/>
  <c r="E477" i="6"/>
  <c r="D476" i="6"/>
  <c r="AE445" i="8" l="1"/>
  <c r="AD445" i="8" s="1"/>
  <c r="E478" i="6"/>
  <c r="D477" i="6"/>
  <c r="AE446" i="8" l="1"/>
  <c r="AD446" i="8" s="1"/>
  <c r="E479" i="6"/>
  <c r="D478" i="6"/>
  <c r="AE447" i="8" l="1"/>
  <c r="AD447" i="8" s="1"/>
  <c r="E480" i="6"/>
  <c r="D479" i="6"/>
  <c r="AE448" i="8" l="1"/>
  <c r="AD448" i="8" s="1"/>
  <c r="E481" i="6"/>
  <c r="D480" i="6"/>
  <c r="AE449" i="8" l="1"/>
  <c r="AD449" i="8" s="1"/>
  <c r="E482" i="6"/>
  <c r="D481" i="6"/>
  <c r="AE450" i="8" l="1"/>
  <c r="AD450" i="8" s="1"/>
  <c r="E483" i="6"/>
  <c r="D482" i="6"/>
  <c r="AE451" i="8" l="1"/>
  <c r="AD451" i="8" s="1"/>
  <c r="E484" i="6"/>
  <c r="D483" i="6"/>
  <c r="AE452" i="8" l="1"/>
  <c r="AD452" i="8" s="1"/>
  <c r="E485" i="6"/>
  <c r="D484" i="6"/>
  <c r="AE453" i="8" l="1"/>
  <c r="AD453" i="8" s="1"/>
  <c r="E486" i="6"/>
  <c r="D485" i="6"/>
  <c r="AE454" i="8" l="1"/>
  <c r="AD454" i="8" s="1"/>
  <c r="E487" i="6"/>
  <c r="D486" i="6"/>
  <c r="AE455" i="8" l="1"/>
  <c r="AD455" i="8" s="1"/>
  <c r="E488" i="6"/>
  <c r="D487" i="6"/>
  <c r="AE456" i="8" l="1"/>
  <c r="AD456" i="8" s="1"/>
  <c r="E489" i="6"/>
  <c r="D488" i="6"/>
  <c r="AE457" i="8" l="1"/>
  <c r="AD457" i="8" s="1"/>
  <c r="E490" i="6"/>
  <c r="D489" i="6"/>
  <c r="AE458" i="8" l="1"/>
  <c r="AD458" i="8" s="1"/>
  <c r="E491" i="6"/>
  <c r="D490" i="6"/>
  <c r="AE459" i="8" l="1"/>
  <c r="AD459" i="8" s="1"/>
  <c r="E492" i="6"/>
  <c r="D491" i="6"/>
  <c r="AE460" i="8" l="1"/>
  <c r="AD460" i="8" s="1"/>
  <c r="E493" i="6"/>
  <c r="D492" i="6"/>
  <c r="AE461" i="8" l="1"/>
  <c r="AD461" i="8" s="1"/>
  <c r="E494" i="6"/>
  <c r="D493" i="6"/>
  <c r="AE462" i="8" l="1"/>
  <c r="AD462" i="8" s="1"/>
  <c r="E495" i="6"/>
  <c r="D494" i="6"/>
  <c r="AE463" i="8" l="1"/>
  <c r="AD463" i="8" s="1"/>
  <c r="E496" i="6"/>
  <c r="D495" i="6"/>
  <c r="AE464" i="8" l="1"/>
  <c r="AD464" i="8" s="1"/>
  <c r="E497" i="6"/>
  <c r="D496" i="6"/>
  <c r="AE465" i="8" l="1"/>
  <c r="AD465" i="8" s="1"/>
  <c r="E498" i="6"/>
  <c r="D497" i="6"/>
  <c r="AE466" i="8" l="1"/>
  <c r="AD466" i="8" s="1"/>
  <c r="E499" i="6"/>
  <c r="D498" i="6"/>
  <c r="AE467" i="8" l="1"/>
  <c r="AD467" i="8" s="1"/>
  <c r="E500" i="6"/>
  <c r="D499" i="6"/>
  <c r="AE468" i="8" l="1"/>
  <c r="AD468" i="8" s="1"/>
  <c r="E501" i="6"/>
  <c r="D500" i="6"/>
  <c r="AE469" i="8" l="1"/>
  <c r="AD469" i="8" s="1"/>
  <c r="E502" i="6"/>
  <c r="D501" i="6"/>
  <c r="AE470" i="8" l="1"/>
  <c r="AD470" i="8" s="1"/>
  <c r="E503" i="6"/>
  <c r="D502" i="6"/>
  <c r="AE471" i="8" l="1"/>
  <c r="AD471" i="8" s="1"/>
  <c r="E504" i="6"/>
  <c r="D503" i="6"/>
  <c r="AE472" i="8" l="1"/>
  <c r="AD472" i="8" s="1"/>
  <c r="E505" i="6"/>
  <c r="D504" i="6"/>
  <c r="AE473" i="8" l="1"/>
  <c r="AD473" i="8" s="1"/>
  <c r="E506" i="6"/>
  <c r="D505" i="6"/>
  <c r="AE474" i="8" l="1"/>
  <c r="AD474" i="8" s="1"/>
  <c r="E507" i="6"/>
  <c r="D506" i="6"/>
  <c r="AE475" i="8" l="1"/>
  <c r="AD475" i="8" s="1"/>
  <c r="E508" i="6"/>
  <c r="D507" i="6"/>
  <c r="AE476" i="8" l="1"/>
  <c r="AD476" i="8" s="1"/>
  <c r="E509" i="6"/>
  <c r="D508" i="6"/>
  <c r="AE477" i="8" l="1"/>
  <c r="AD477" i="8" s="1"/>
  <c r="E510" i="6"/>
  <c r="D509" i="6"/>
  <c r="AE478" i="8" l="1"/>
  <c r="AD478" i="8" s="1"/>
  <c r="E511" i="6"/>
  <c r="D510" i="6"/>
  <c r="AE479" i="8" l="1"/>
  <c r="AD479" i="8" s="1"/>
  <c r="E512" i="6"/>
  <c r="D511" i="6"/>
  <c r="AE480" i="8" l="1"/>
  <c r="AD480" i="8" s="1"/>
  <c r="E513" i="6"/>
  <c r="D512" i="6"/>
  <c r="AE481" i="8" l="1"/>
  <c r="AD481" i="8" s="1"/>
  <c r="E514" i="6"/>
  <c r="D513" i="6"/>
  <c r="AE482" i="8" l="1"/>
  <c r="AD482" i="8" s="1"/>
  <c r="E515" i="6"/>
  <c r="D514" i="6"/>
  <c r="AE483" i="8" l="1"/>
  <c r="AD483" i="8" s="1"/>
  <c r="E516" i="6"/>
  <c r="D515" i="6"/>
  <c r="AE484" i="8" l="1"/>
  <c r="AD484" i="8" s="1"/>
  <c r="E517" i="6"/>
  <c r="D516" i="6"/>
  <c r="AE485" i="8" l="1"/>
  <c r="AD485" i="8" s="1"/>
  <c r="E518" i="6"/>
  <c r="D517" i="6"/>
  <c r="AE486" i="8" l="1"/>
  <c r="AD486" i="8" s="1"/>
  <c r="E519" i="6"/>
  <c r="D518" i="6"/>
  <c r="AE487" i="8" l="1"/>
  <c r="AD487" i="8" s="1"/>
  <c r="E520" i="6"/>
  <c r="D519" i="6"/>
  <c r="AE488" i="8" l="1"/>
  <c r="AD488" i="8" s="1"/>
  <c r="E521" i="6"/>
  <c r="D520" i="6"/>
  <c r="AE489" i="8" l="1"/>
  <c r="AD489" i="8" s="1"/>
  <c r="E522" i="6"/>
  <c r="D521" i="6"/>
  <c r="AE490" i="8" l="1"/>
  <c r="AD490" i="8" s="1"/>
  <c r="E523" i="6"/>
  <c r="D522" i="6"/>
  <c r="AE491" i="8" l="1"/>
  <c r="AD491" i="8" s="1"/>
  <c r="E524" i="6"/>
  <c r="D523" i="6"/>
  <c r="AE492" i="8" l="1"/>
  <c r="AD492" i="8" s="1"/>
  <c r="E525" i="6"/>
  <c r="D524" i="6"/>
  <c r="AE493" i="8" l="1"/>
  <c r="AD493" i="8" s="1"/>
  <c r="E526" i="6"/>
  <c r="D525" i="6"/>
  <c r="AE494" i="8" l="1"/>
  <c r="AD494" i="8" s="1"/>
  <c r="E527" i="6"/>
  <c r="D526" i="6"/>
  <c r="AE495" i="8" l="1"/>
  <c r="AD495" i="8" s="1"/>
  <c r="E528" i="6"/>
  <c r="D527" i="6"/>
  <c r="AE496" i="8" l="1"/>
  <c r="AD496" i="8" s="1"/>
  <c r="E529" i="6"/>
  <c r="D528" i="6"/>
  <c r="AE497" i="8" l="1"/>
  <c r="AD497" i="8" s="1"/>
  <c r="E530" i="6"/>
  <c r="D529" i="6"/>
  <c r="AE498" i="8" l="1"/>
  <c r="AD498" i="8" s="1"/>
  <c r="E531" i="6"/>
  <c r="D530" i="6"/>
  <c r="AE499" i="8" l="1"/>
  <c r="AD499" i="8" s="1"/>
  <c r="E532" i="6"/>
  <c r="D531" i="6"/>
  <c r="AE500" i="8" l="1"/>
  <c r="AD500" i="8" s="1"/>
  <c r="E533" i="6"/>
  <c r="D532" i="6"/>
  <c r="AE501" i="8" l="1"/>
  <c r="AD501" i="8" s="1"/>
  <c r="E534" i="6"/>
  <c r="D533" i="6"/>
  <c r="AE502" i="8" l="1"/>
  <c r="AD502" i="8" s="1"/>
  <c r="E535" i="6"/>
  <c r="D534" i="6"/>
  <c r="AE503" i="8" l="1"/>
  <c r="AD503" i="8" s="1"/>
  <c r="E536" i="6"/>
  <c r="D535" i="6"/>
  <c r="AE504" i="8" l="1"/>
  <c r="AD504" i="8" s="1"/>
  <c r="D536" i="6"/>
  <c r="E537" i="6"/>
  <c r="AE505" i="8" l="1"/>
  <c r="AD505" i="8" s="1"/>
  <c r="E538" i="6"/>
  <c r="D537" i="6"/>
  <c r="AE506" i="8" l="1"/>
  <c r="AD506" i="8" s="1"/>
  <c r="D538" i="6"/>
  <c r="E539" i="6"/>
  <c r="AE507" i="8" l="1"/>
  <c r="AD507" i="8" s="1"/>
  <c r="E540" i="6"/>
  <c r="D539" i="6"/>
  <c r="AE508" i="8" l="1"/>
  <c r="AD508" i="8" s="1"/>
  <c r="D540" i="6"/>
  <c r="E541" i="6"/>
  <c r="AE509" i="8" l="1"/>
  <c r="AD509" i="8" s="1"/>
  <c r="E542" i="6"/>
  <c r="D541" i="6"/>
  <c r="AE510" i="8" l="1"/>
  <c r="AD510" i="8" s="1"/>
  <c r="D542" i="6"/>
  <c r="E543" i="6"/>
  <c r="AE511" i="8" l="1"/>
  <c r="AD511" i="8" s="1"/>
  <c r="E544" i="6"/>
  <c r="D543" i="6"/>
  <c r="AE512" i="8" l="1"/>
  <c r="AD512" i="8" s="1"/>
  <c r="D544" i="6"/>
  <c r="E545" i="6"/>
  <c r="AE513" i="8" l="1"/>
  <c r="AD513" i="8" s="1"/>
  <c r="E546" i="6"/>
  <c r="D545" i="6"/>
  <c r="AE514" i="8" l="1"/>
  <c r="AD514" i="8" s="1"/>
  <c r="D546" i="6"/>
  <c r="E547" i="6"/>
  <c r="AE515" i="8" l="1"/>
  <c r="AD515" i="8" s="1"/>
  <c r="E548" i="6"/>
  <c r="D547" i="6"/>
  <c r="AE516" i="8" l="1"/>
  <c r="AD516" i="8" s="1"/>
  <c r="D548" i="6"/>
  <c r="E549" i="6"/>
  <c r="AE517" i="8" l="1"/>
  <c r="AD517" i="8" s="1"/>
  <c r="E550" i="6"/>
  <c r="D549" i="6"/>
  <c r="AE518" i="8" l="1"/>
  <c r="AD518" i="8" s="1"/>
  <c r="D550" i="6"/>
  <c r="E551" i="6"/>
  <c r="AE519" i="8" l="1"/>
  <c r="AD519" i="8" s="1"/>
  <c r="E552" i="6"/>
  <c r="D551" i="6"/>
  <c r="AE520" i="8" l="1"/>
  <c r="AD520" i="8" s="1"/>
  <c r="D552" i="6"/>
  <c r="E553" i="6"/>
  <c r="AE521" i="8" l="1"/>
  <c r="AD521" i="8" s="1"/>
  <c r="E554" i="6"/>
  <c r="D553" i="6"/>
  <c r="AE522" i="8" l="1"/>
  <c r="AD522" i="8" s="1"/>
  <c r="D554" i="6"/>
  <c r="E555" i="6"/>
  <c r="AE523" i="8" l="1"/>
  <c r="AD523" i="8" s="1"/>
  <c r="E556" i="6"/>
  <c r="D555" i="6"/>
  <c r="AE524" i="8" l="1"/>
  <c r="AD524" i="8" s="1"/>
  <c r="D556" i="6"/>
  <c r="E557" i="6"/>
  <c r="AE525" i="8" l="1"/>
  <c r="AD525" i="8" s="1"/>
  <c r="E558" i="6"/>
  <c r="D557" i="6"/>
  <c r="AE526" i="8" l="1"/>
  <c r="AD526" i="8" s="1"/>
  <c r="D558" i="6"/>
  <c r="E559" i="6"/>
  <c r="AE527" i="8" l="1"/>
  <c r="AD527" i="8" s="1"/>
  <c r="E560" i="6"/>
  <c r="D559" i="6"/>
  <c r="AE528" i="8" l="1"/>
  <c r="AD528" i="8" s="1"/>
  <c r="D560" i="6"/>
  <c r="E561" i="6"/>
  <c r="AE529" i="8" l="1"/>
  <c r="AD529" i="8" s="1"/>
  <c r="E562" i="6"/>
  <c r="D561" i="6"/>
  <c r="AE530" i="8" l="1"/>
  <c r="AD530" i="8" s="1"/>
  <c r="D562" i="6"/>
  <c r="E563" i="6"/>
  <c r="AE531" i="8" l="1"/>
  <c r="AD531" i="8" s="1"/>
  <c r="E564" i="6"/>
  <c r="D563" i="6"/>
  <c r="AE532" i="8" l="1"/>
  <c r="AD532" i="8" s="1"/>
  <c r="D564" i="6"/>
  <c r="E565" i="6"/>
  <c r="AE533" i="8" l="1"/>
  <c r="AD533" i="8" s="1"/>
  <c r="E566" i="6"/>
  <c r="D565" i="6"/>
  <c r="AE534" i="8" l="1"/>
  <c r="AD534" i="8" s="1"/>
  <c r="D566" i="6"/>
  <c r="E567" i="6"/>
  <c r="AE535" i="8" l="1"/>
  <c r="AD535" i="8" s="1"/>
  <c r="E568" i="6"/>
  <c r="D567" i="6"/>
  <c r="AE536" i="8" l="1"/>
  <c r="AD536" i="8" s="1"/>
  <c r="D568" i="6"/>
  <c r="E569" i="6"/>
  <c r="AE537" i="8" l="1"/>
  <c r="AD537" i="8" s="1"/>
  <c r="E570" i="6"/>
  <c r="D569" i="6"/>
  <c r="AE538" i="8" l="1"/>
  <c r="AD538" i="8" s="1"/>
  <c r="D570" i="6"/>
  <c r="E571" i="6"/>
  <c r="AE539" i="8" l="1"/>
  <c r="AD539" i="8" s="1"/>
  <c r="E572" i="6"/>
  <c r="D571" i="6"/>
  <c r="AE540" i="8" l="1"/>
  <c r="AD540" i="8" s="1"/>
  <c r="D572" i="6"/>
  <c r="E573" i="6"/>
  <c r="AE541" i="8" l="1"/>
  <c r="AD541" i="8" s="1"/>
  <c r="E574" i="6"/>
  <c r="D573" i="6"/>
  <c r="AE542" i="8" l="1"/>
  <c r="AD542" i="8" s="1"/>
  <c r="D574" i="6"/>
  <c r="E575" i="6"/>
  <c r="AE543" i="8" l="1"/>
  <c r="AD543" i="8" s="1"/>
  <c r="E576" i="6"/>
  <c r="D575" i="6"/>
  <c r="AE544" i="8" l="1"/>
  <c r="AD544" i="8" s="1"/>
  <c r="D576" i="6"/>
  <c r="E577" i="6"/>
  <c r="AE545" i="8" l="1"/>
  <c r="AD545" i="8" s="1"/>
  <c r="E578" i="6"/>
  <c r="D577" i="6"/>
  <c r="AE546" i="8" l="1"/>
  <c r="AD546" i="8" s="1"/>
  <c r="D578" i="6"/>
  <c r="E579" i="6"/>
  <c r="AE547" i="8" l="1"/>
  <c r="AD547" i="8" s="1"/>
  <c r="E580" i="6"/>
  <c r="D579" i="6"/>
  <c r="AE548" i="8" l="1"/>
  <c r="AD548" i="8" s="1"/>
  <c r="D580" i="6"/>
  <c r="E581" i="6"/>
  <c r="AE549" i="8" l="1"/>
  <c r="AD549" i="8" s="1"/>
  <c r="E582" i="6"/>
  <c r="D581" i="6"/>
  <c r="AE550" i="8" l="1"/>
  <c r="AD550" i="8" s="1"/>
  <c r="D582" i="6"/>
  <c r="E583" i="6"/>
  <c r="AE551" i="8" l="1"/>
  <c r="AD551" i="8" s="1"/>
  <c r="E584" i="6"/>
  <c r="D583" i="6"/>
  <c r="AE552" i="8" l="1"/>
  <c r="AD552" i="8" s="1"/>
  <c r="D584" i="6"/>
  <c r="E585" i="6"/>
  <c r="AE553" i="8" l="1"/>
  <c r="AD553" i="8" s="1"/>
  <c r="E586" i="6"/>
  <c r="D585" i="6"/>
  <c r="AE554" i="8" l="1"/>
  <c r="AD554" i="8" s="1"/>
  <c r="D586" i="6"/>
  <c r="E587" i="6"/>
  <c r="AE555" i="8" l="1"/>
  <c r="AD555" i="8" s="1"/>
  <c r="E588" i="6"/>
  <c r="D587" i="6"/>
  <c r="AE556" i="8" l="1"/>
  <c r="AD556" i="8" s="1"/>
  <c r="D588" i="6"/>
  <c r="E589" i="6"/>
  <c r="AE557" i="8" l="1"/>
  <c r="AD557" i="8" s="1"/>
  <c r="E590" i="6"/>
  <c r="D589" i="6"/>
  <c r="AE558" i="8" l="1"/>
  <c r="AD558" i="8" s="1"/>
  <c r="D590" i="6"/>
  <c r="E591" i="6"/>
  <c r="AE559" i="8" l="1"/>
  <c r="AD559" i="8" s="1"/>
  <c r="E592" i="6"/>
  <c r="D591" i="6"/>
  <c r="AE560" i="8" l="1"/>
  <c r="AD560" i="8" s="1"/>
  <c r="D592" i="6"/>
  <c r="E593" i="6"/>
  <c r="AE561" i="8" l="1"/>
  <c r="AD561" i="8" s="1"/>
  <c r="E594" i="6"/>
  <c r="D593" i="6"/>
  <c r="AE562" i="8" l="1"/>
  <c r="AD562" i="8" s="1"/>
  <c r="D594" i="6"/>
  <c r="E595" i="6"/>
  <c r="AE563" i="8" l="1"/>
  <c r="AD563" i="8" s="1"/>
  <c r="E596" i="6"/>
  <c r="D595" i="6"/>
  <c r="AE564" i="8" l="1"/>
  <c r="AD564" i="8" s="1"/>
  <c r="D596" i="6"/>
  <c r="E597" i="6"/>
  <c r="AE565" i="8" l="1"/>
  <c r="AD565" i="8" s="1"/>
  <c r="E598" i="6"/>
  <c r="D597" i="6"/>
  <c r="AE566" i="8" l="1"/>
  <c r="AD566" i="8" s="1"/>
  <c r="D598" i="6"/>
  <c r="E599" i="6"/>
  <c r="AE567" i="8" l="1"/>
  <c r="AD567" i="8" s="1"/>
  <c r="E600" i="6"/>
  <c r="D599" i="6"/>
  <c r="AE568" i="8" l="1"/>
  <c r="AD568" i="8" s="1"/>
  <c r="D600" i="6"/>
  <c r="E601" i="6"/>
  <c r="AE569" i="8" l="1"/>
  <c r="AD569" i="8" s="1"/>
  <c r="E602" i="6"/>
  <c r="D601" i="6"/>
  <c r="AE570" i="8" l="1"/>
  <c r="AD570" i="8" s="1"/>
  <c r="D602" i="6"/>
  <c r="E603" i="6"/>
  <c r="AE571" i="8" l="1"/>
  <c r="AD571" i="8" s="1"/>
  <c r="E604" i="6"/>
  <c r="D603" i="6"/>
  <c r="AE572" i="8" l="1"/>
  <c r="AD572" i="8" s="1"/>
  <c r="D604" i="6"/>
  <c r="E605" i="6"/>
  <c r="AE573" i="8" l="1"/>
  <c r="AD573" i="8" s="1"/>
  <c r="E606" i="6"/>
  <c r="D605" i="6"/>
  <c r="AE574" i="8" l="1"/>
  <c r="AD574" i="8" s="1"/>
  <c r="D606" i="6"/>
  <c r="E607" i="6"/>
  <c r="AE575" i="8" l="1"/>
  <c r="AD575" i="8" s="1"/>
  <c r="E608" i="6"/>
  <c r="D607" i="6"/>
  <c r="AE576" i="8" l="1"/>
  <c r="AD576" i="8" s="1"/>
  <c r="D608" i="6"/>
  <c r="E609" i="6"/>
  <c r="AE577" i="8" l="1"/>
  <c r="AD577" i="8" s="1"/>
  <c r="E610" i="6"/>
  <c r="D609" i="6"/>
  <c r="AE578" i="8" l="1"/>
  <c r="AD578" i="8" s="1"/>
  <c r="D610" i="6"/>
  <c r="E611" i="6"/>
  <c r="AE579" i="8" l="1"/>
  <c r="AD579" i="8" s="1"/>
  <c r="E612" i="6"/>
  <c r="D611" i="6"/>
  <c r="AE580" i="8" l="1"/>
  <c r="AD580" i="8" s="1"/>
  <c r="D612" i="6"/>
  <c r="E613" i="6"/>
  <c r="AE581" i="8" l="1"/>
  <c r="AD581" i="8" s="1"/>
  <c r="E614" i="6"/>
  <c r="D613" i="6"/>
  <c r="AE582" i="8" l="1"/>
  <c r="AD582" i="8" s="1"/>
  <c r="D614" i="6"/>
  <c r="E615" i="6"/>
  <c r="AE583" i="8" l="1"/>
  <c r="AD583" i="8" s="1"/>
  <c r="E616" i="6"/>
  <c r="D615" i="6"/>
  <c r="AE584" i="8" l="1"/>
  <c r="AD584" i="8" s="1"/>
  <c r="D616" i="6"/>
  <c r="E617" i="6"/>
  <c r="AE585" i="8" l="1"/>
  <c r="AD585" i="8" s="1"/>
  <c r="E618" i="6"/>
  <c r="D617" i="6"/>
  <c r="AE586" i="8" l="1"/>
  <c r="AD586" i="8" s="1"/>
  <c r="D618" i="6"/>
  <c r="E619" i="6"/>
  <c r="AE587" i="8" l="1"/>
  <c r="AD587" i="8" s="1"/>
  <c r="E620" i="6"/>
  <c r="D619" i="6"/>
  <c r="AE588" i="8" l="1"/>
  <c r="AD588" i="8" s="1"/>
  <c r="D620" i="6"/>
  <c r="E621" i="6"/>
  <c r="AE589" i="8" l="1"/>
  <c r="AD589" i="8" s="1"/>
  <c r="E622" i="6"/>
  <c r="D621" i="6"/>
  <c r="AE590" i="8" l="1"/>
  <c r="AD590" i="8" s="1"/>
  <c r="D622" i="6"/>
  <c r="E623" i="6"/>
  <c r="AE591" i="8" l="1"/>
  <c r="AD591" i="8" s="1"/>
  <c r="E624" i="6"/>
  <c r="D623" i="6"/>
  <c r="AE592" i="8" l="1"/>
  <c r="AD592" i="8" s="1"/>
  <c r="D624" i="6"/>
  <c r="E625" i="6"/>
  <c r="AE593" i="8" l="1"/>
  <c r="AD593" i="8" s="1"/>
  <c r="E626" i="6"/>
  <c r="D625" i="6"/>
  <c r="AE594" i="8" l="1"/>
  <c r="AD594" i="8" s="1"/>
  <c r="D626" i="6"/>
  <c r="E627" i="6"/>
  <c r="AE595" i="8" l="1"/>
  <c r="AD595" i="8" s="1"/>
  <c r="E628" i="6"/>
  <c r="D627" i="6"/>
  <c r="AE596" i="8" l="1"/>
  <c r="AD596" i="8" s="1"/>
  <c r="D628" i="6"/>
  <c r="E629" i="6"/>
  <c r="AE597" i="8" l="1"/>
  <c r="AD597" i="8" s="1"/>
  <c r="E630" i="6"/>
  <c r="D629" i="6"/>
  <c r="AE598" i="8" l="1"/>
  <c r="AD598" i="8" s="1"/>
  <c r="D630" i="6"/>
  <c r="E631" i="6"/>
  <c r="AE599" i="8" l="1"/>
  <c r="AD599" i="8" s="1"/>
  <c r="E632" i="6"/>
  <c r="D631" i="6"/>
  <c r="AE600" i="8" l="1"/>
  <c r="AD600" i="8" s="1"/>
  <c r="D632" i="6"/>
  <c r="E633" i="6"/>
  <c r="AE601" i="8" l="1"/>
  <c r="AD601" i="8" s="1"/>
  <c r="E634" i="6"/>
  <c r="D633" i="6"/>
  <c r="AE602" i="8" l="1"/>
  <c r="AD602" i="8" s="1"/>
  <c r="D634" i="6"/>
  <c r="E635" i="6"/>
  <c r="AE603" i="8" l="1"/>
  <c r="AD603" i="8" s="1"/>
  <c r="E636" i="6"/>
  <c r="D635" i="6"/>
  <c r="AE604" i="8" l="1"/>
  <c r="AD604" i="8" s="1"/>
  <c r="D636" i="6"/>
  <c r="E637" i="6"/>
  <c r="AE605" i="8" l="1"/>
  <c r="AD605" i="8" s="1"/>
  <c r="E638" i="6"/>
  <c r="D637" i="6"/>
  <c r="AE606" i="8" l="1"/>
  <c r="AD606" i="8" s="1"/>
  <c r="D638" i="6"/>
  <c r="E639" i="6"/>
  <c r="AE607" i="8" l="1"/>
  <c r="AD607" i="8" s="1"/>
  <c r="E640" i="6"/>
  <c r="D639" i="6"/>
  <c r="AE608" i="8" l="1"/>
  <c r="AD608" i="8" s="1"/>
  <c r="D640" i="6"/>
  <c r="E641" i="6"/>
  <c r="AE609" i="8" l="1"/>
  <c r="AD609" i="8" s="1"/>
  <c r="E642" i="6"/>
  <c r="D641" i="6"/>
  <c r="AE610" i="8" l="1"/>
  <c r="AD610" i="8" s="1"/>
  <c r="D642" i="6"/>
  <c r="E643" i="6"/>
  <c r="AE611" i="8" l="1"/>
  <c r="AD611" i="8" s="1"/>
  <c r="E644" i="6"/>
  <c r="D643" i="6"/>
  <c r="AE612" i="8" l="1"/>
  <c r="AD612" i="8" s="1"/>
  <c r="D644" i="6"/>
  <c r="E645" i="6"/>
  <c r="AE613" i="8" l="1"/>
  <c r="AD613" i="8" s="1"/>
  <c r="E646" i="6"/>
  <c r="D645" i="6"/>
  <c r="AE614" i="8" l="1"/>
  <c r="AD614" i="8" s="1"/>
  <c r="D646" i="6"/>
  <c r="E647" i="6"/>
  <c r="AE615" i="8" l="1"/>
  <c r="AD615" i="8" s="1"/>
  <c r="E648" i="6"/>
  <c r="D647" i="6"/>
  <c r="AE616" i="8" l="1"/>
  <c r="AD616" i="8" s="1"/>
  <c r="D648" i="6"/>
  <c r="E649" i="6"/>
  <c r="AE617" i="8" l="1"/>
  <c r="AD617" i="8" s="1"/>
  <c r="E650" i="6"/>
  <c r="D649" i="6"/>
  <c r="AE618" i="8" l="1"/>
  <c r="AD618" i="8" s="1"/>
  <c r="D650" i="6"/>
  <c r="E651" i="6"/>
  <c r="AE619" i="8" l="1"/>
  <c r="AD619" i="8" s="1"/>
  <c r="E652" i="6"/>
  <c r="D651" i="6"/>
  <c r="AE620" i="8" l="1"/>
  <c r="AD620" i="8" s="1"/>
  <c r="D652" i="6"/>
  <c r="E653" i="6"/>
  <c r="AE621" i="8" l="1"/>
  <c r="AD621" i="8" s="1"/>
  <c r="E654" i="6"/>
  <c r="D653" i="6"/>
  <c r="AE622" i="8" l="1"/>
  <c r="AD622" i="8" s="1"/>
  <c r="D654" i="6"/>
  <c r="E655" i="6"/>
  <c r="AE623" i="8" l="1"/>
  <c r="AD623" i="8" s="1"/>
  <c r="E656" i="6"/>
  <c r="D655" i="6"/>
  <c r="AE624" i="8" l="1"/>
  <c r="AD624" i="8" s="1"/>
  <c r="D656" i="6"/>
  <c r="E657" i="6"/>
  <c r="AE625" i="8" l="1"/>
  <c r="AD625" i="8" s="1"/>
  <c r="E658" i="6"/>
  <c r="D657" i="6"/>
  <c r="AE626" i="8" l="1"/>
  <c r="AD626" i="8" s="1"/>
  <c r="D658" i="6"/>
  <c r="E659" i="6"/>
  <c r="AE627" i="8" l="1"/>
  <c r="AD627" i="8" s="1"/>
  <c r="E660" i="6"/>
  <c r="D659" i="6"/>
  <c r="AE628" i="8" l="1"/>
  <c r="AD628" i="8" s="1"/>
  <c r="D660" i="6"/>
  <c r="E661" i="6"/>
  <c r="AE629" i="8" l="1"/>
  <c r="AD629" i="8" s="1"/>
  <c r="E662" i="6"/>
  <c r="D661" i="6"/>
  <c r="AE630" i="8" l="1"/>
  <c r="AD630" i="8" s="1"/>
  <c r="D662" i="6"/>
  <c r="E663" i="6"/>
  <c r="AE631" i="8" l="1"/>
  <c r="AD631" i="8" s="1"/>
  <c r="E664" i="6"/>
  <c r="D663" i="6"/>
  <c r="AE632" i="8" l="1"/>
  <c r="AD632" i="8" s="1"/>
  <c r="D664" i="6"/>
  <c r="E665" i="6"/>
  <c r="AE633" i="8" l="1"/>
  <c r="AD633" i="8" s="1"/>
  <c r="E666" i="6"/>
  <c r="D665" i="6"/>
  <c r="AE634" i="8" l="1"/>
  <c r="AD634" i="8" s="1"/>
  <c r="D666" i="6"/>
  <c r="E667" i="6"/>
  <c r="AE635" i="8" l="1"/>
  <c r="AD635" i="8" s="1"/>
  <c r="E668" i="6"/>
  <c r="D667" i="6"/>
  <c r="AE636" i="8" l="1"/>
  <c r="AD636" i="8" s="1"/>
  <c r="D668" i="6"/>
  <c r="E669" i="6"/>
  <c r="AE637" i="8" l="1"/>
  <c r="AD637" i="8" s="1"/>
  <c r="E670" i="6"/>
  <c r="D669" i="6"/>
  <c r="AE638" i="8" l="1"/>
  <c r="AD638" i="8" s="1"/>
  <c r="D670" i="6"/>
  <c r="E671" i="6"/>
  <c r="AE639" i="8" l="1"/>
  <c r="AD639" i="8" s="1"/>
  <c r="E672" i="6"/>
  <c r="D671" i="6"/>
  <c r="AE640" i="8" l="1"/>
  <c r="AD640" i="8" s="1"/>
  <c r="D672" i="6"/>
  <c r="E673" i="6"/>
  <c r="AE641" i="8" l="1"/>
  <c r="AD641" i="8" s="1"/>
  <c r="E674" i="6"/>
  <c r="D673" i="6"/>
  <c r="AE642" i="8" l="1"/>
  <c r="AD642" i="8" s="1"/>
  <c r="D674" i="6"/>
  <c r="E675" i="6"/>
  <c r="AE643" i="8" l="1"/>
  <c r="AD643" i="8" s="1"/>
  <c r="E676" i="6"/>
  <c r="D675" i="6"/>
  <c r="AE644" i="8" l="1"/>
  <c r="AD644" i="8" s="1"/>
  <c r="D676" i="6"/>
  <c r="E677" i="6"/>
  <c r="AE645" i="8" l="1"/>
  <c r="AD645" i="8" s="1"/>
  <c r="E678" i="6"/>
  <c r="D677" i="6"/>
  <c r="AE646" i="8" l="1"/>
  <c r="AD646" i="8" s="1"/>
  <c r="D678" i="6"/>
  <c r="E679" i="6"/>
  <c r="AE647" i="8" l="1"/>
  <c r="AD647" i="8" s="1"/>
  <c r="E680" i="6"/>
  <c r="D679" i="6"/>
  <c r="AE648" i="8" l="1"/>
  <c r="AD648" i="8" s="1"/>
  <c r="D680" i="6"/>
  <c r="E681" i="6"/>
  <c r="AE649" i="8" l="1"/>
  <c r="AD649" i="8" s="1"/>
  <c r="E682" i="6"/>
  <c r="D681" i="6"/>
  <c r="AE650" i="8" l="1"/>
  <c r="AD650" i="8" s="1"/>
  <c r="D682" i="6"/>
  <c r="E683" i="6"/>
  <c r="AE651" i="8" l="1"/>
  <c r="AD651" i="8" s="1"/>
  <c r="E684" i="6"/>
  <c r="D683" i="6"/>
  <c r="AE652" i="8" l="1"/>
  <c r="AD652" i="8" s="1"/>
  <c r="D684" i="6"/>
  <c r="E685" i="6"/>
  <c r="AE653" i="8" l="1"/>
  <c r="AD653" i="8" s="1"/>
  <c r="E686" i="6"/>
  <c r="D685" i="6"/>
  <c r="AE654" i="8" l="1"/>
  <c r="AD654" i="8" s="1"/>
  <c r="D686" i="6"/>
  <c r="E687" i="6"/>
  <c r="AE655" i="8" l="1"/>
  <c r="AD655" i="8" s="1"/>
  <c r="E688" i="6"/>
  <c r="D687" i="6"/>
  <c r="AE656" i="8" l="1"/>
  <c r="AD656" i="8" s="1"/>
  <c r="D688" i="6"/>
  <c r="E689" i="6"/>
  <c r="AE657" i="8" l="1"/>
  <c r="AD657" i="8" s="1"/>
  <c r="E690" i="6"/>
  <c r="D689" i="6"/>
  <c r="AE658" i="8" l="1"/>
  <c r="AD658" i="8" s="1"/>
  <c r="D690" i="6"/>
  <c r="E691" i="6"/>
  <c r="AE659" i="8" l="1"/>
  <c r="AD659" i="8" s="1"/>
  <c r="E692" i="6"/>
  <c r="D691" i="6"/>
  <c r="AE660" i="8" l="1"/>
  <c r="AD660" i="8" s="1"/>
  <c r="D692" i="6"/>
  <c r="E693" i="6"/>
  <c r="AE661" i="8" l="1"/>
  <c r="AD661" i="8" s="1"/>
  <c r="E694" i="6"/>
  <c r="D693" i="6"/>
  <c r="AE662" i="8" l="1"/>
  <c r="AD662" i="8" s="1"/>
  <c r="D694" i="6"/>
  <c r="E695" i="6"/>
  <c r="AE663" i="8" l="1"/>
  <c r="AD663" i="8" s="1"/>
  <c r="E696" i="6"/>
  <c r="D695" i="6"/>
  <c r="AE664" i="8" l="1"/>
  <c r="AD664" i="8" s="1"/>
  <c r="D696" i="6"/>
  <c r="E697" i="6"/>
  <c r="AE665" i="8" l="1"/>
  <c r="AD665" i="8" s="1"/>
  <c r="E698" i="6"/>
  <c r="D697" i="6"/>
  <c r="AE666" i="8" l="1"/>
  <c r="AD666" i="8" s="1"/>
  <c r="D698" i="6"/>
  <c r="E699" i="6"/>
  <c r="AE667" i="8" l="1"/>
  <c r="AD667" i="8" s="1"/>
  <c r="E700" i="6"/>
  <c r="D699" i="6"/>
  <c r="AE668" i="8" l="1"/>
  <c r="AD668" i="8" s="1"/>
  <c r="D700" i="6"/>
  <c r="E701" i="6"/>
  <c r="AE669" i="8" l="1"/>
  <c r="AD669" i="8" s="1"/>
  <c r="E702" i="6"/>
  <c r="D701" i="6"/>
  <c r="AE670" i="8" l="1"/>
  <c r="AD670" i="8" s="1"/>
  <c r="D702" i="6"/>
  <c r="E703" i="6"/>
  <c r="AE671" i="8" l="1"/>
  <c r="AD671" i="8" s="1"/>
  <c r="E704" i="6"/>
  <c r="D703" i="6"/>
  <c r="AE672" i="8" l="1"/>
  <c r="AD672" i="8" s="1"/>
  <c r="D704" i="6"/>
  <c r="E705" i="6"/>
  <c r="AE673" i="8" l="1"/>
  <c r="AD673" i="8" s="1"/>
  <c r="E706" i="6"/>
  <c r="D705" i="6"/>
  <c r="AE674" i="8" l="1"/>
  <c r="AD674" i="8" s="1"/>
  <c r="D706" i="6"/>
  <c r="E707" i="6"/>
  <c r="AE675" i="8" l="1"/>
  <c r="AD675" i="8" s="1"/>
  <c r="E708" i="6"/>
  <c r="D707" i="6"/>
  <c r="AE676" i="8" l="1"/>
  <c r="AD676" i="8" s="1"/>
  <c r="D708" i="6"/>
  <c r="E709" i="6"/>
  <c r="AE677" i="8" l="1"/>
  <c r="AD677" i="8" s="1"/>
  <c r="E710" i="6"/>
  <c r="D709" i="6"/>
  <c r="AE678" i="8" l="1"/>
  <c r="AD678" i="8" s="1"/>
  <c r="D710" i="6"/>
  <c r="E711" i="6"/>
  <c r="AE679" i="8" l="1"/>
  <c r="AD679" i="8" s="1"/>
  <c r="E712" i="6"/>
  <c r="D711" i="6"/>
  <c r="AE680" i="8" l="1"/>
  <c r="AD680" i="8" s="1"/>
  <c r="D712" i="6"/>
  <c r="E713" i="6"/>
  <c r="AE681" i="8" l="1"/>
  <c r="AD681" i="8" s="1"/>
  <c r="E714" i="6"/>
  <c r="D713" i="6"/>
  <c r="AE682" i="8" l="1"/>
  <c r="AD682" i="8" s="1"/>
  <c r="D714" i="6"/>
  <c r="E715" i="6"/>
  <c r="AE683" i="8" l="1"/>
  <c r="AD683" i="8" s="1"/>
  <c r="E716" i="6"/>
  <c r="D715" i="6"/>
  <c r="AE684" i="8" l="1"/>
  <c r="AD684" i="8" s="1"/>
  <c r="D716" i="6"/>
  <c r="E717" i="6"/>
  <c r="AE685" i="8" l="1"/>
  <c r="AD685" i="8" s="1"/>
  <c r="E718" i="6"/>
  <c r="D717" i="6"/>
  <c r="AE686" i="8" l="1"/>
  <c r="AD686" i="8" s="1"/>
  <c r="D718" i="6"/>
  <c r="E719" i="6"/>
  <c r="AE687" i="8" l="1"/>
  <c r="AD687" i="8" s="1"/>
  <c r="E720" i="6"/>
  <c r="D719" i="6"/>
  <c r="AE688" i="8" l="1"/>
  <c r="AD688" i="8" s="1"/>
  <c r="D720" i="6"/>
  <c r="E721" i="6"/>
  <c r="AE689" i="8" l="1"/>
  <c r="AD689" i="8" s="1"/>
  <c r="E722" i="6"/>
  <c r="D721" i="6"/>
  <c r="AE690" i="8" l="1"/>
  <c r="AD690" i="8" s="1"/>
  <c r="D722" i="6"/>
  <c r="E723" i="6"/>
  <c r="AE691" i="8" l="1"/>
  <c r="AD691" i="8" s="1"/>
  <c r="E724" i="6"/>
  <c r="D723" i="6"/>
  <c r="AE692" i="8" l="1"/>
  <c r="AD692" i="8" s="1"/>
  <c r="D724" i="6"/>
  <c r="E725" i="6"/>
  <c r="AE693" i="8" l="1"/>
  <c r="AD693" i="8" s="1"/>
  <c r="E726" i="6"/>
  <c r="D725" i="6"/>
  <c r="AE694" i="8" l="1"/>
  <c r="AD694" i="8" s="1"/>
  <c r="D726" i="6"/>
  <c r="E727" i="6"/>
  <c r="AE695" i="8" l="1"/>
  <c r="AD695" i="8" s="1"/>
  <c r="E728" i="6"/>
  <c r="D727" i="6"/>
  <c r="AE696" i="8" l="1"/>
  <c r="AD696" i="8" s="1"/>
  <c r="D728" i="6"/>
  <c r="E729" i="6"/>
  <c r="AE697" i="8" l="1"/>
  <c r="AD697" i="8" s="1"/>
  <c r="E730" i="6"/>
  <c r="D729" i="6"/>
  <c r="AE698" i="8" l="1"/>
  <c r="AD698" i="8" s="1"/>
  <c r="D730" i="6"/>
  <c r="E731" i="6"/>
  <c r="AE699" i="8" l="1"/>
  <c r="AD699" i="8" s="1"/>
  <c r="E732" i="6"/>
  <c r="D731" i="6"/>
  <c r="AE700" i="8" l="1"/>
  <c r="AD700" i="8" s="1"/>
  <c r="D732" i="6"/>
  <c r="E733" i="6"/>
  <c r="AE701" i="8" l="1"/>
  <c r="AD701" i="8" s="1"/>
  <c r="E734" i="6"/>
  <c r="D733" i="6"/>
  <c r="AE702" i="8" l="1"/>
  <c r="AD702" i="8" s="1"/>
  <c r="D734" i="6"/>
  <c r="E735" i="6"/>
  <c r="AE703" i="8" l="1"/>
  <c r="AD703" i="8" s="1"/>
  <c r="E736" i="6"/>
  <c r="D735" i="6"/>
  <c r="AE704" i="8" l="1"/>
  <c r="AD704" i="8" s="1"/>
  <c r="D736" i="6"/>
  <c r="E737" i="6"/>
  <c r="AE705" i="8" l="1"/>
  <c r="AD705" i="8" s="1"/>
  <c r="E738" i="6"/>
  <c r="D737" i="6"/>
  <c r="AE706" i="8" l="1"/>
  <c r="AD706" i="8" s="1"/>
  <c r="D738" i="6"/>
  <c r="E739" i="6"/>
  <c r="AE707" i="8" l="1"/>
  <c r="AD707" i="8" s="1"/>
  <c r="E740" i="6"/>
  <c r="D739" i="6"/>
  <c r="AE708" i="8" l="1"/>
  <c r="AD708" i="8" s="1"/>
  <c r="D740" i="6"/>
  <c r="E741" i="6"/>
  <c r="AE709" i="8" l="1"/>
  <c r="AD709" i="8" s="1"/>
  <c r="E742" i="6"/>
  <c r="D741" i="6"/>
  <c r="AE710" i="8" l="1"/>
  <c r="AD710" i="8" s="1"/>
  <c r="D742" i="6"/>
  <c r="E743" i="6"/>
  <c r="AE711" i="8" l="1"/>
  <c r="AD711" i="8" s="1"/>
  <c r="E744" i="6"/>
  <c r="D743" i="6"/>
  <c r="AE712" i="8" l="1"/>
  <c r="AD712" i="8" s="1"/>
  <c r="D744" i="6"/>
  <c r="E745" i="6"/>
  <c r="AE713" i="8" l="1"/>
  <c r="AD713" i="8" s="1"/>
  <c r="E746" i="6"/>
  <c r="D745" i="6"/>
  <c r="AE714" i="8" l="1"/>
  <c r="AD714" i="8" s="1"/>
  <c r="D746" i="6"/>
  <c r="E747" i="6"/>
  <c r="AE715" i="8" l="1"/>
  <c r="AD715" i="8" s="1"/>
  <c r="E748" i="6"/>
  <c r="D747" i="6"/>
  <c r="AE716" i="8" l="1"/>
  <c r="AD716" i="8" s="1"/>
  <c r="D748" i="6"/>
  <c r="E749" i="6"/>
  <c r="AE717" i="8" l="1"/>
  <c r="AD717" i="8" s="1"/>
  <c r="E750" i="6"/>
  <c r="D749" i="6"/>
  <c r="AE718" i="8" l="1"/>
  <c r="AD718" i="8" s="1"/>
  <c r="D750" i="6"/>
  <c r="E751" i="6"/>
  <c r="AE719" i="8" l="1"/>
  <c r="AD719" i="8" s="1"/>
  <c r="E752" i="6"/>
  <c r="D751" i="6"/>
  <c r="AE720" i="8" l="1"/>
  <c r="AD720" i="8" s="1"/>
  <c r="D752" i="6"/>
  <c r="E753" i="6"/>
  <c r="AE721" i="8" l="1"/>
  <c r="AD721" i="8" s="1"/>
  <c r="E754" i="6"/>
  <c r="D753" i="6"/>
  <c r="AE722" i="8" l="1"/>
  <c r="AD722" i="8" s="1"/>
  <c r="D754" i="6"/>
  <c r="E755" i="6"/>
  <c r="AE723" i="8" l="1"/>
  <c r="AD723" i="8" s="1"/>
  <c r="E756" i="6"/>
  <c r="D755" i="6"/>
  <c r="AE724" i="8" l="1"/>
  <c r="AD724" i="8" s="1"/>
  <c r="D756" i="6"/>
  <c r="E757" i="6"/>
  <c r="AE725" i="8" l="1"/>
  <c r="AD725" i="8" s="1"/>
  <c r="E758" i="6"/>
  <c r="D757" i="6"/>
  <c r="AE726" i="8" l="1"/>
  <c r="AD726" i="8" s="1"/>
  <c r="D758" i="6"/>
  <c r="E759" i="6"/>
  <c r="AE727" i="8" l="1"/>
  <c r="AD727" i="8" s="1"/>
  <c r="E760" i="6"/>
  <c r="D759" i="6"/>
  <c r="AE728" i="8" l="1"/>
  <c r="AD728" i="8" s="1"/>
  <c r="D760" i="6"/>
  <c r="E761" i="6"/>
  <c r="AE729" i="8" l="1"/>
  <c r="AD729" i="8" s="1"/>
  <c r="E762" i="6"/>
  <c r="D761" i="6"/>
  <c r="AE730" i="8" l="1"/>
  <c r="AD730" i="8" s="1"/>
  <c r="D762" i="6"/>
  <c r="E763" i="6"/>
  <c r="AE731" i="8" l="1"/>
  <c r="AD731" i="8" s="1"/>
  <c r="E764" i="6"/>
  <c r="D763" i="6"/>
  <c r="AE732" i="8" l="1"/>
  <c r="AD732" i="8" s="1"/>
  <c r="D764" i="6"/>
  <c r="E765" i="6"/>
  <c r="AE733" i="8" l="1"/>
  <c r="AD733" i="8" s="1"/>
  <c r="E766" i="6"/>
  <c r="D765" i="6"/>
  <c r="AE734" i="8" l="1"/>
  <c r="AD734" i="8" s="1"/>
  <c r="D766" i="6"/>
  <c r="E767" i="6"/>
  <c r="AE735" i="8" l="1"/>
  <c r="AD735" i="8" s="1"/>
  <c r="E768" i="6"/>
  <c r="D767" i="6"/>
  <c r="AE736" i="8" l="1"/>
  <c r="AD736" i="8" s="1"/>
  <c r="D768" i="6"/>
  <c r="E769" i="6"/>
  <c r="AE737" i="8" l="1"/>
  <c r="AD737" i="8" s="1"/>
  <c r="E770" i="6"/>
  <c r="D769" i="6"/>
  <c r="AE738" i="8" l="1"/>
  <c r="AD738" i="8" s="1"/>
  <c r="D770" i="6"/>
  <c r="E771" i="6"/>
  <c r="AE739" i="8" l="1"/>
  <c r="AD739" i="8" s="1"/>
  <c r="E772" i="6"/>
  <c r="D771" i="6"/>
  <c r="AE740" i="8" l="1"/>
  <c r="AD740" i="8" s="1"/>
  <c r="D772" i="6"/>
  <c r="E773" i="6"/>
  <c r="AE741" i="8" l="1"/>
  <c r="AD741" i="8" s="1"/>
  <c r="E774" i="6"/>
  <c r="D773" i="6"/>
  <c r="AE742" i="8" l="1"/>
  <c r="AD742" i="8" s="1"/>
  <c r="D774" i="6"/>
  <c r="E775" i="6"/>
  <c r="AE743" i="8" l="1"/>
  <c r="AD743" i="8" s="1"/>
  <c r="E776" i="6"/>
  <c r="D775" i="6"/>
  <c r="AE744" i="8" l="1"/>
  <c r="AD744" i="8" s="1"/>
  <c r="D776" i="6"/>
  <c r="E777" i="6"/>
  <c r="AE745" i="8" l="1"/>
  <c r="AD745" i="8" s="1"/>
  <c r="E778" i="6"/>
  <c r="D777" i="6"/>
  <c r="AE746" i="8" l="1"/>
  <c r="AD746" i="8" s="1"/>
  <c r="D778" i="6"/>
  <c r="E779" i="6"/>
  <c r="AE747" i="8" l="1"/>
  <c r="AD747" i="8" s="1"/>
  <c r="E780" i="6"/>
  <c r="D779" i="6"/>
  <c r="AE748" i="8" l="1"/>
  <c r="AD748" i="8" s="1"/>
  <c r="D780" i="6"/>
  <c r="E781" i="6"/>
  <c r="AE749" i="8" l="1"/>
  <c r="AD749" i="8" s="1"/>
  <c r="E782" i="6"/>
  <c r="D781" i="6"/>
  <c r="AE750" i="8" l="1"/>
  <c r="AD750" i="8" s="1"/>
  <c r="D782" i="6"/>
  <c r="E783" i="6"/>
  <c r="AE751" i="8" l="1"/>
  <c r="AD751" i="8" s="1"/>
  <c r="E784" i="6"/>
  <c r="D783" i="6"/>
  <c r="AE752" i="8" l="1"/>
  <c r="AD752" i="8" s="1"/>
  <c r="D784" i="6"/>
  <c r="E785" i="6"/>
  <c r="AE753" i="8" l="1"/>
  <c r="AD753" i="8" s="1"/>
  <c r="E786" i="6"/>
  <c r="D785" i="6"/>
  <c r="AE754" i="8" l="1"/>
  <c r="AD754" i="8" s="1"/>
  <c r="D786" i="6"/>
  <c r="E787" i="6"/>
  <c r="AE755" i="8" l="1"/>
  <c r="AD755" i="8" s="1"/>
  <c r="E788" i="6"/>
  <c r="D787" i="6"/>
  <c r="AE756" i="8" l="1"/>
  <c r="AD756" i="8" s="1"/>
  <c r="D788" i="6"/>
  <c r="E789" i="6"/>
  <c r="AE757" i="8" l="1"/>
  <c r="AD757" i="8" s="1"/>
  <c r="E790" i="6"/>
  <c r="D789" i="6"/>
  <c r="AE758" i="8" l="1"/>
  <c r="AD758" i="8" s="1"/>
  <c r="D790" i="6"/>
  <c r="E791" i="6"/>
  <c r="AE759" i="8" l="1"/>
  <c r="AD759" i="8" s="1"/>
  <c r="E792" i="6"/>
  <c r="D791" i="6"/>
  <c r="AE760" i="8" l="1"/>
  <c r="AD760" i="8" s="1"/>
  <c r="D792" i="6"/>
  <c r="E793" i="6"/>
  <c r="AE761" i="8" l="1"/>
  <c r="AD761" i="8" s="1"/>
  <c r="E794" i="6"/>
  <c r="D793" i="6"/>
  <c r="AE762" i="8" l="1"/>
  <c r="AD762" i="8" s="1"/>
  <c r="D794" i="6"/>
  <c r="E795" i="6"/>
  <c r="AE763" i="8" l="1"/>
  <c r="AD763" i="8" s="1"/>
  <c r="E796" i="6"/>
  <c r="D795" i="6"/>
  <c r="AE764" i="8" l="1"/>
  <c r="AD764" i="8" s="1"/>
  <c r="D796" i="6"/>
  <c r="E797" i="6"/>
  <c r="AE765" i="8" l="1"/>
  <c r="AD765" i="8" s="1"/>
  <c r="E798" i="6"/>
  <c r="D797" i="6"/>
  <c r="AE766" i="8" l="1"/>
  <c r="AD766" i="8" s="1"/>
  <c r="D798" i="6"/>
  <c r="E799" i="6"/>
  <c r="AE767" i="8" l="1"/>
  <c r="AD767" i="8" s="1"/>
  <c r="E800" i="6"/>
  <c r="D799" i="6"/>
  <c r="AE768" i="8" l="1"/>
  <c r="AD768" i="8" s="1"/>
  <c r="D800" i="6"/>
  <c r="E801" i="6"/>
  <c r="AE769" i="8" l="1"/>
  <c r="AD769" i="8" s="1"/>
  <c r="E802" i="6"/>
  <c r="D801" i="6"/>
  <c r="AE770" i="8" l="1"/>
  <c r="AD770" i="8" s="1"/>
  <c r="D802" i="6"/>
  <c r="E803" i="6"/>
  <c r="AE771" i="8" l="1"/>
  <c r="AD771" i="8" s="1"/>
  <c r="E804" i="6"/>
  <c r="D803" i="6"/>
  <c r="AE772" i="8" l="1"/>
  <c r="AD772" i="8" s="1"/>
  <c r="D804" i="6"/>
  <c r="E805" i="6"/>
  <c r="AE773" i="8" l="1"/>
  <c r="AD773" i="8" s="1"/>
  <c r="E806" i="6"/>
  <c r="D805" i="6"/>
  <c r="AE774" i="8" l="1"/>
  <c r="AD774" i="8" s="1"/>
  <c r="D806" i="6"/>
  <c r="E807" i="6"/>
  <c r="AE775" i="8" l="1"/>
  <c r="AD775" i="8" s="1"/>
  <c r="E808" i="6"/>
  <c r="D807" i="6"/>
  <c r="AE776" i="8" l="1"/>
  <c r="AD776" i="8" s="1"/>
  <c r="D808" i="6"/>
  <c r="E809" i="6"/>
  <c r="AE777" i="8" l="1"/>
  <c r="AD777" i="8" s="1"/>
  <c r="E810" i="6"/>
  <c r="D809" i="6"/>
  <c r="AE778" i="8" l="1"/>
  <c r="AD778" i="8" s="1"/>
  <c r="D810" i="6"/>
  <c r="E811" i="6"/>
  <c r="AE779" i="8" l="1"/>
  <c r="AD779" i="8" s="1"/>
  <c r="E812" i="6"/>
  <c r="D811" i="6"/>
  <c r="AE780" i="8" l="1"/>
  <c r="AD780" i="8" s="1"/>
  <c r="D812" i="6"/>
  <c r="E813" i="6"/>
  <c r="AE781" i="8" l="1"/>
  <c r="AD781" i="8" s="1"/>
  <c r="E814" i="6"/>
  <c r="D813" i="6"/>
  <c r="AE782" i="8" l="1"/>
  <c r="AD782" i="8" s="1"/>
  <c r="D814" i="6"/>
  <c r="E815" i="6"/>
  <c r="AE783" i="8" l="1"/>
  <c r="AD783" i="8" s="1"/>
  <c r="E816" i="6"/>
  <c r="D815" i="6"/>
  <c r="AE784" i="8" l="1"/>
  <c r="AD784" i="8" s="1"/>
  <c r="D816" i="6"/>
  <c r="E817" i="6"/>
  <c r="AE785" i="8" l="1"/>
  <c r="AD785" i="8" s="1"/>
  <c r="E818" i="6"/>
  <c r="D817" i="6"/>
  <c r="AE786" i="8" l="1"/>
  <c r="AD786" i="8" s="1"/>
  <c r="D818" i="6"/>
  <c r="E819" i="6"/>
  <c r="AE787" i="8" l="1"/>
  <c r="AD787" i="8" s="1"/>
  <c r="E820" i="6"/>
  <c r="D819" i="6"/>
  <c r="AE788" i="8" l="1"/>
  <c r="AD788" i="8" s="1"/>
  <c r="D820" i="6"/>
  <c r="E821" i="6"/>
  <c r="AE789" i="8" l="1"/>
  <c r="AD789" i="8" s="1"/>
  <c r="E822" i="6"/>
  <c r="D821" i="6"/>
  <c r="AE790" i="8" l="1"/>
  <c r="AD790" i="8" s="1"/>
  <c r="D822" i="6"/>
  <c r="E823" i="6"/>
  <c r="AE791" i="8" l="1"/>
  <c r="AD791" i="8" s="1"/>
  <c r="E824" i="6"/>
  <c r="D823" i="6"/>
  <c r="AE792" i="8" l="1"/>
  <c r="AD792" i="8" s="1"/>
  <c r="D824" i="6"/>
  <c r="E825" i="6"/>
  <c r="AE793" i="8" l="1"/>
  <c r="AD793" i="8" s="1"/>
  <c r="E826" i="6"/>
  <c r="D825" i="6"/>
  <c r="AE794" i="8" l="1"/>
  <c r="AD794" i="8" s="1"/>
  <c r="D826" i="6"/>
  <c r="E827" i="6"/>
  <c r="AE795" i="8" l="1"/>
  <c r="AD795" i="8" s="1"/>
  <c r="E828" i="6"/>
  <c r="D827" i="6"/>
  <c r="AE796" i="8" l="1"/>
  <c r="AD796" i="8" s="1"/>
  <c r="D828" i="6"/>
  <c r="E829" i="6"/>
  <c r="AE797" i="8" l="1"/>
  <c r="AD797" i="8" s="1"/>
  <c r="E830" i="6"/>
  <c r="D829" i="6"/>
  <c r="AE798" i="8" l="1"/>
  <c r="AD798" i="8" s="1"/>
  <c r="D830" i="6"/>
  <c r="E831" i="6"/>
  <c r="AE799" i="8" l="1"/>
  <c r="AD799" i="8" s="1"/>
  <c r="E832" i="6"/>
  <c r="D831" i="6"/>
  <c r="AE800" i="8" l="1"/>
  <c r="AD800" i="8" s="1"/>
  <c r="D832" i="6"/>
  <c r="E833" i="6"/>
  <c r="AE801" i="8" l="1"/>
  <c r="AD801" i="8" s="1"/>
  <c r="E834" i="6"/>
  <c r="D833" i="6"/>
  <c r="AE802" i="8" l="1"/>
  <c r="AD802" i="8" s="1"/>
  <c r="E835" i="6"/>
  <c r="D834" i="6"/>
  <c r="AE803" i="8" l="1"/>
  <c r="AD803" i="8" s="1"/>
  <c r="E836" i="6"/>
  <c r="D835" i="6"/>
  <c r="AE804" i="8" l="1"/>
  <c r="AD804" i="8" s="1"/>
  <c r="E837" i="6"/>
  <c r="D836" i="6"/>
  <c r="AE805" i="8" l="1"/>
  <c r="AD805" i="8" s="1"/>
  <c r="E838" i="6"/>
  <c r="D837" i="6"/>
  <c r="AE806" i="8" l="1"/>
  <c r="AD806" i="8" s="1"/>
  <c r="E839" i="6"/>
  <c r="D838" i="6"/>
  <c r="AE807" i="8" l="1"/>
  <c r="AD807" i="8" s="1"/>
  <c r="E840" i="6"/>
  <c r="D839" i="6"/>
  <c r="AE808" i="8" l="1"/>
  <c r="AD808" i="8" s="1"/>
  <c r="E841" i="6"/>
  <c r="D840" i="6"/>
  <c r="AE809" i="8" l="1"/>
  <c r="AD809" i="8" s="1"/>
  <c r="E842" i="6"/>
  <c r="D841" i="6"/>
  <c r="AE810" i="8" l="1"/>
  <c r="AD810" i="8" s="1"/>
  <c r="E843" i="6"/>
  <c r="D842" i="6"/>
  <c r="AE811" i="8" l="1"/>
  <c r="AD811" i="8" s="1"/>
  <c r="E844" i="6"/>
  <c r="D843" i="6"/>
  <c r="AE812" i="8" l="1"/>
  <c r="AD812" i="8" s="1"/>
  <c r="E845" i="6"/>
  <c r="D844" i="6"/>
  <c r="AE813" i="8" l="1"/>
  <c r="AD813" i="8" s="1"/>
  <c r="E846" i="6"/>
  <c r="D845" i="6"/>
  <c r="AE814" i="8" l="1"/>
  <c r="AD814" i="8" s="1"/>
  <c r="E847" i="6"/>
  <c r="D846" i="6"/>
  <c r="AE815" i="8" l="1"/>
  <c r="AD815" i="8" s="1"/>
  <c r="E848" i="6"/>
  <c r="D847" i="6"/>
  <c r="AE816" i="8" l="1"/>
  <c r="AD816" i="8" s="1"/>
  <c r="E849" i="6"/>
  <c r="D848" i="6"/>
  <c r="AE817" i="8" l="1"/>
  <c r="AD817" i="8" s="1"/>
  <c r="E850" i="6"/>
  <c r="D849" i="6"/>
  <c r="AE818" i="8" l="1"/>
  <c r="AD818" i="8" s="1"/>
  <c r="E851" i="6"/>
  <c r="D850" i="6"/>
  <c r="AE819" i="8" l="1"/>
  <c r="AD819" i="8" s="1"/>
  <c r="E852" i="6"/>
  <c r="D851" i="6"/>
  <c r="AE820" i="8" l="1"/>
  <c r="AD820" i="8" s="1"/>
  <c r="E853" i="6"/>
  <c r="D852" i="6"/>
  <c r="AE821" i="8" l="1"/>
  <c r="AD821" i="8" s="1"/>
  <c r="E854" i="6"/>
  <c r="D853" i="6"/>
  <c r="AE822" i="8" l="1"/>
  <c r="AD822" i="8" s="1"/>
  <c r="E855" i="6"/>
  <c r="D854" i="6"/>
  <c r="AE823" i="8" l="1"/>
  <c r="AD823" i="8" s="1"/>
  <c r="E856" i="6"/>
  <c r="D855" i="6"/>
  <c r="AE824" i="8" l="1"/>
  <c r="AD824" i="8" s="1"/>
  <c r="E857" i="6"/>
  <c r="D856" i="6"/>
  <c r="AE825" i="8" l="1"/>
  <c r="AD825" i="8" s="1"/>
  <c r="E858" i="6"/>
  <c r="D857" i="6"/>
  <c r="AE826" i="8" l="1"/>
  <c r="AD826" i="8" s="1"/>
  <c r="E859" i="6"/>
  <c r="D858" i="6"/>
  <c r="AE827" i="8" l="1"/>
  <c r="AD827" i="8" s="1"/>
  <c r="E860" i="6"/>
  <c r="D859" i="6"/>
  <c r="AE828" i="8" l="1"/>
  <c r="AD828" i="8" s="1"/>
  <c r="E861" i="6"/>
  <c r="D860" i="6"/>
  <c r="AE829" i="8" l="1"/>
  <c r="AD829" i="8" s="1"/>
  <c r="E862" i="6"/>
  <c r="D861" i="6"/>
  <c r="AE830" i="8" l="1"/>
  <c r="AD830" i="8" s="1"/>
  <c r="E863" i="6"/>
  <c r="D862" i="6"/>
  <c r="AE831" i="8" l="1"/>
  <c r="AD831" i="8" s="1"/>
  <c r="E864" i="6"/>
  <c r="D863" i="6"/>
  <c r="AE832" i="8" l="1"/>
  <c r="AD832" i="8" s="1"/>
  <c r="E865" i="6"/>
  <c r="D864" i="6"/>
  <c r="AE833" i="8" l="1"/>
  <c r="AD833" i="8" s="1"/>
  <c r="E866" i="6"/>
  <c r="D865" i="6"/>
  <c r="AE834" i="8" l="1"/>
  <c r="AD834" i="8" s="1"/>
  <c r="E867" i="6"/>
  <c r="D866" i="6"/>
  <c r="AE835" i="8" l="1"/>
  <c r="AD835" i="8" s="1"/>
  <c r="E868" i="6"/>
  <c r="D867" i="6"/>
  <c r="AE836" i="8" l="1"/>
  <c r="AD836" i="8" s="1"/>
  <c r="E869" i="6"/>
  <c r="D868" i="6"/>
  <c r="AE837" i="8" l="1"/>
  <c r="AD837" i="8" s="1"/>
  <c r="E870" i="6"/>
  <c r="D869" i="6"/>
  <c r="AE838" i="8" l="1"/>
  <c r="AD838" i="8" s="1"/>
  <c r="E871" i="6"/>
  <c r="D870" i="6"/>
  <c r="AE839" i="8" l="1"/>
  <c r="AD839" i="8" s="1"/>
  <c r="E872" i="6"/>
  <c r="D871" i="6"/>
  <c r="AE840" i="8" l="1"/>
  <c r="AD840" i="8" s="1"/>
  <c r="E873" i="6"/>
  <c r="D872" i="6"/>
  <c r="AE841" i="8" l="1"/>
  <c r="AD841" i="8" s="1"/>
  <c r="E874" i="6"/>
  <c r="D873" i="6"/>
  <c r="AE842" i="8" l="1"/>
  <c r="AD842" i="8" s="1"/>
  <c r="E875" i="6"/>
  <c r="D874" i="6"/>
  <c r="AE843" i="8" l="1"/>
  <c r="AD843" i="8" s="1"/>
  <c r="E876" i="6"/>
  <c r="D875" i="6"/>
  <c r="AE844" i="8" l="1"/>
  <c r="AD844" i="8" s="1"/>
  <c r="E877" i="6"/>
  <c r="D876" i="6"/>
  <c r="AE845" i="8" l="1"/>
  <c r="AD845" i="8" s="1"/>
  <c r="E878" i="6"/>
  <c r="D877" i="6"/>
  <c r="AE846" i="8" l="1"/>
  <c r="AD846" i="8" s="1"/>
  <c r="E879" i="6"/>
  <c r="D878" i="6"/>
  <c r="AE847" i="8" l="1"/>
  <c r="AD847" i="8" s="1"/>
  <c r="E880" i="6"/>
  <c r="D879" i="6"/>
  <c r="AE848" i="8" l="1"/>
  <c r="AD848" i="8" s="1"/>
  <c r="E881" i="6"/>
  <c r="D880" i="6"/>
  <c r="AE849" i="8" l="1"/>
  <c r="AD849" i="8" s="1"/>
  <c r="E882" i="6"/>
  <c r="D881" i="6"/>
  <c r="AE850" i="8" l="1"/>
  <c r="AD850" i="8" s="1"/>
  <c r="E883" i="6"/>
  <c r="D882" i="6"/>
  <c r="AE851" i="8" l="1"/>
  <c r="AD851" i="8" s="1"/>
  <c r="E884" i="6"/>
  <c r="D883" i="6"/>
  <c r="AE852" i="8" l="1"/>
  <c r="AD852" i="8" s="1"/>
  <c r="E885" i="6"/>
  <c r="D884" i="6"/>
  <c r="AE853" i="8" l="1"/>
  <c r="AD853" i="8" s="1"/>
  <c r="E886" i="6"/>
  <c r="D885" i="6"/>
  <c r="AE854" i="8" l="1"/>
  <c r="AD854" i="8" s="1"/>
  <c r="E887" i="6"/>
  <c r="D886" i="6"/>
  <c r="AE855" i="8" l="1"/>
  <c r="AD855" i="8" s="1"/>
  <c r="E888" i="6"/>
  <c r="D887" i="6"/>
  <c r="AE856" i="8" l="1"/>
  <c r="AD856" i="8" s="1"/>
  <c r="E889" i="6"/>
  <c r="D888" i="6"/>
  <c r="AE857" i="8" l="1"/>
  <c r="AD857" i="8" s="1"/>
  <c r="E890" i="6"/>
  <c r="D889" i="6"/>
  <c r="AE858" i="8" l="1"/>
  <c r="AD858" i="8" s="1"/>
  <c r="E891" i="6"/>
  <c r="D890" i="6"/>
  <c r="AE859" i="8" l="1"/>
  <c r="AD859" i="8" s="1"/>
  <c r="E892" i="6"/>
  <c r="D891" i="6"/>
  <c r="AE860" i="8" l="1"/>
  <c r="AD860" i="8" s="1"/>
  <c r="E893" i="6"/>
  <c r="D892" i="6"/>
  <c r="AE861" i="8" l="1"/>
  <c r="AD861" i="8" s="1"/>
  <c r="E894" i="6"/>
  <c r="D893" i="6"/>
  <c r="AE862" i="8" l="1"/>
  <c r="AD862" i="8" s="1"/>
  <c r="E895" i="6"/>
  <c r="D894" i="6"/>
  <c r="AE863" i="8" l="1"/>
  <c r="AD863" i="8" s="1"/>
  <c r="E896" i="6"/>
  <c r="D895" i="6"/>
  <c r="AE864" i="8" l="1"/>
  <c r="AD864" i="8" s="1"/>
  <c r="E897" i="6"/>
  <c r="D896" i="6"/>
  <c r="AE865" i="8" l="1"/>
  <c r="AD865" i="8" s="1"/>
  <c r="E898" i="6"/>
  <c r="D897" i="6"/>
  <c r="AE866" i="8" l="1"/>
  <c r="AD866" i="8" s="1"/>
  <c r="E899" i="6"/>
  <c r="D898" i="6"/>
  <c r="AE867" i="8" l="1"/>
  <c r="AD867" i="8" s="1"/>
  <c r="E900" i="6"/>
  <c r="D899" i="6"/>
  <c r="AE868" i="8" l="1"/>
  <c r="AD868" i="8" s="1"/>
  <c r="E901" i="6"/>
  <c r="D900" i="6"/>
  <c r="AE869" i="8" l="1"/>
  <c r="AD869" i="8" s="1"/>
  <c r="E902" i="6"/>
  <c r="D901" i="6"/>
  <c r="AE870" i="8" l="1"/>
  <c r="AD870" i="8" s="1"/>
  <c r="E903" i="6"/>
  <c r="D902" i="6"/>
  <c r="AE871" i="8" l="1"/>
  <c r="AD871" i="8" s="1"/>
  <c r="E904" i="6"/>
  <c r="D903" i="6"/>
  <c r="AE872" i="8" l="1"/>
  <c r="AD872" i="8" s="1"/>
  <c r="E905" i="6"/>
  <c r="D904" i="6"/>
  <c r="AE873" i="8" l="1"/>
  <c r="AD873" i="8" s="1"/>
  <c r="E906" i="6"/>
  <c r="D905" i="6"/>
  <c r="AE874" i="8" l="1"/>
  <c r="AD874" i="8" s="1"/>
  <c r="E907" i="6"/>
  <c r="D906" i="6"/>
  <c r="AE875" i="8" l="1"/>
  <c r="AD875" i="8" s="1"/>
  <c r="E908" i="6"/>
  <c r="D907" i="6"/>
  <c r="AE876" i="8" l="1"/>
  <c r="AD876" i="8" s="1"/>
  <c r="E909" i="6"/>
  <c r="D908" i="6"/>
  <c r="AE877" i="8" l="1"/>
  <c r="AD877" i="8" s="1"/>
  <c r="E910" i="6"/>
  <c r="D909" i="6"/>
  <c r="AE878" i="8" l="1"/>
  <c r="AD878" i="8" s="1"/>
  <c r="E911" i="6"/>
  <c r="D910" i="6"/>
  <c r="AE879" i="8" l="1"/>
  <c r="AD879" i="8" s="1"/>
  <c r="E912" i="6"/>
  <c r="D911" i="6"/>
  <c r="AE880" i="8" l="1"/>
  <c r="AD880" i="8" s="1"/>
  <c r="E913" i="6"/>
  <c r="D912" i="6"/>
  <c r="AE881" i="8" l="1"/>
  <c r="AD881" i="8" s="1"/>
  <c r="E914" i="6"/>
  <c r="D913" i="6"/>
  <c r="AE882" i="8" l="1"/>
  <c r="AD882" i="8" s="1"/>
  <c r="E915" i="6"/>
  <c r="D914" i="6"/>
  <c r="AE883" i="8" l="1"/>
  <c r="AD883" i="8" s="1"/>
  <c r="E916" i="6"/>
  <c r="D915" i="6"/>
  <c r="AE884" i="8" l="1"/>
  <c r="AD884" i="8" s="1"/>
  <c r="E917" i="6"/>
  <c r="D916" i="6"/>
  <c r="AE885" i="8" l="1"/>
  <c r="AD885" i="8" s="1"/>
  <c r="E918" i="6"/>
  <c r="D917" i="6"/>
  <c r="AE886" i="8" l="1"/>
  <c r="AD886" i="8" s="1"/>
  <c r="E919" i="6"/>
  <c r="D918" i="6"/>
  <c r="AE887" i="8" l="1"/>
  <c r="AD887" i="8" s="1"/>
  <c r="E920" i="6"/>
  <c r="D919" i="6"/>
  <c r="AE888" i="8" l="1"/>
  <c r="AD888" i="8" s="1"/>
  <c r="E921" i="6"/>
  <c r="D920" i="6"/>
  <c r="AE889" i="8" l="1"/>
  <c r="AD889" i="8" s="1"/>
  <c r="E922" i="6"/>
  <c r="D921" i="6"/>
  <c r="AE890" i="8" l="1"/>
  <c r="AD890" i="8" s="1"/>
  <c r="E923" i="6"/>
  <c r="D922" i="6"/>
  <c r="AE891" i="8" l="1"/>
  <c r="AD891" i="8" s="1"/>
  <c r="E924" i="6"/>
  <c r="D923" i="6"/>
  <c r="AE892" i="8" l="1"/>
  <c r="AD892" i="8" s="1"/>
  <c r="E925" i="6"/>
  <c r="D924" i="6"/>
  <c r="AE893" i="8" l="1"/>
  <c r="AD893" i="8" s="1"/>
  <c r="E926" i="6"/>
  <c r="D925" i="6"/>
  <c r="AE894" i="8" l="1"/>
  <c r="AD894" i="8" s="1"/>
  <c r="E927" i="6"/>
  <c r="D926" i="6"/>
  <c r="AE895" i="8" l="1"/>
  <c r="AD895" i="8" s="1"/>
  <c r="E928" i="6"/>
  <c r="D927" i="6"/>
  <c r="AE896" i="8" l="1"/>
  <c r="AD896" i="8" s="1"/>
  <c r="E929" i="6"/>
  <c r="D928" i="6"/>
  <c r="AE897" i="8" l="1"/>
  <c r="AD897" i="8" s="1"/>
  <c r="E930" i="6"/>
  <c r="D929" i="6"/>
  <c r="AE898" i="8" l="1"/>
  <c r="AD898" i="8" s="1"/>
  <c r="E931" i="6"/>
  <c r="D930" i="6"/>
  <c r="AE899" i="8" l="1"/>
  <c r="AD899" i="8" s="1"/>
  <c r="E932" i="6"/>
  <c r="D931" i="6"/>
  <c r="AE900" i="8" l="1"/>
  <c r="AD900" i="8" s="1"/>
  <c r="E933" i="6"/>
  <c r="D932" i="6"/>
  <c r="AE901" i="8" l="1"/>
  <c r="AD901" i="8" s="1"/>
  <c r="E934" i="6"/>
  <c r="D933" i="6"/>
  <c r="AE902" i="8" l="1"/>
  <c r="AD902" i="8" s="1"/>
  <c r="E935" i="6"/>
  <c r="D934" i="6"/>
  <c r="AE903" i="8" l="1"/>
  <c r="AD903" i="8" s="1"/>
  <c r="E936" i="6"/>
  <c r="D935" i="6"/>
  <c r="AE904" i="8" l="1"/>
  <c r="AD904" i="8" s="1"/>
  <c r="E937" i="6"/>
  <c r="D936" i="6"/>
  <c r="AE905" i="8" l="1"/>
  <c r="AD905" i="8" s="1"/>
  <c r="E938" i="6"/>
  <c r="D937" i="6"/>
  <c r="AE906" i="8" l="1"/>
  <c r="AD906" i="8" s="1"/>
  <c r="E939" i="6"/>
  <c r="D938" i="6"/>
  <c r="AE907" i="8" l="1"/>
  <c r="AD907" i="8" s="1"/>
  <c r="E940" i="6"/>
  <c r="D939" i="6"/>
  <c r="AE908" i="8" l="1"/>
  <c r="AD908" i="8" s="1"/>
  <c r="E941" i="6"/>
  <c r="D940" i="6"/>
  <c r="AE909" i="8" l="1"/>
  <c r="AD909" i="8" s="1"/>
  <c r="E942" i="6"/>
  <c r="D941" i="6"/>
  <c r="AE910" i="8" l="1"/>
  <c r="AD910" i="8" s="1"/>
  <c r="E943" i="6"/>
  <c r="D942" i="6"/>
  <c r="AE911" i="8" l="1"/>
  <c r="AD911" i="8" s="1"/>
  <c r="E944" i="6"/>
  <c r="D943" i="6"/>
  <c r="AE912" i="8" l="1"/>
  <c r="AD912" i="8" s="1"/>
  <c r="E945" i="6"/>
  <c r="D944" i="6"/>
  <c r="AE913" i="8" l="1"/>
  <c r="AD913" i="8" s="1"/>
  <c r="E946" i="6"/>
  <c r="D945" i="6"/>
  <c r="AE914" i="8" l="1"/>
  <c r="AD914" i="8" s="1"/>
  <c r="E947" i="6"/>
  <c r="D946" i="6"/>
  <c r="AE915" i="8" l="1"/>
  <c r="AD915" i="8" s="1"/>
  <c r="E948" i="6"/>
  <c r="D947" i="6"/>
  <c r="AE916" i="8" l="1"/>
  <c r="AD916" i="8" s="1"/>
  <c r="E949" i="6"/>
  <c r="D948" i="6"/>
  <c r="AE917" i="8" l="1"/>
  <c r="AD917" i="8" s="1"/>
  <c r="E950" i="6"/>
  <c r="D949" i="6"/>
  <c r="AE918" i="8" l="1"/>
  <c r="AD918" i="8" s="1"/>
  <c r="E951" i="6"/>
  <c r="D950" i="6"/>
  <c r="AE919" i="8" l="1"/>
  <c r="AD919" i="8" s="1"/>
  <c r="E952" i="6"/>
  <c r="D951" i="6"/>
  <c r="AE920" i="8" l="1"/>
  <c r="AD920" i="8" s="1"/>
  <c r="E953" i="6"/>
  <c r="D952" i="6"/>
  <c r="AE921" i="8" l="1"/>
  <c r="AD921" i="8" s="1"/>
  <c r="E954" i="6"/>
  <c r="D953" i="6"/>
  <c r="AE922" i="8" l="1"/>
  <c r="AD922" i="8" s="1"/>
  <c r="E955" i="6"/>
  <c r="D954" i="6"/>
  <c r="AE923" i="8" l="1"/>
  <c r="AD923" i="8" s="1"/>
  <c r="E956" i="6"/>
  <c r="D955" i="6"/>
  <c r="AE924" i="8" l="1"/>
  <c r="AD924" i="8" s="1"/>
  <c r="E957" i="6"/>
  <c r="D956" i="6"/>
  <c r="AE925" i="8" l="1"/>
  <c r="AD925" i="8" s="1"/>
  <c r="E958" i="6"/>
  <c r="D957" i="6"/>
  <c r="AE926" i="8" l="1"/>
  <c r="AD926" i="8" s="1"/>
  <c r="E959" i="6"/>
  <c r="D958" i="6"/>
  <c r="AE927" i="8" l="1"/>
  <c r="AD927" i="8" s="1"/>
  <c r="E960" i="6"/>
  <c r="D959" i="6"/>
  <c r="AE928" i="8" l="1"/>
  <c r="AD928" i="8" s="1"/>
  <c r="E961" i="6"/>
  <c r="D960" i="6"/>
  <c r="AE929" i="8" l="1"/>
  <c r="AD929" i="8" s="1"/>
  <c r="E962" i="6"/>
  <c r="D961" i="6"/>
  <c r="AE930" i="8" l="1"/>
  <c r="AD930" i="8" s="1"/>
  <c r="E963" i="6"/>
  <c r="D962" i="6"/>
  <c r="AE931" i="8" l="1"/>
  <c r="AD931" i="8" s="1"/>
  <c r="E964" i="6"/>
  <c r="D963" i="6"/>
  <c r="AE932" i="8" l="1"/>
  <c r="AD932" i="8" s="1"/>
  <c r="E965" i="6"/>
  <c r="D964" i="6"/>
  <c r="AE933" i="8" l="1"/>
  <c r="AD933" i="8" s="1"/>
  <c r="E966" i="6"/>
  <c r="D965" i="6"/>
  <c r="AE934" i="8" l="1"/>
  <c r="AD934" i="8" s="1"/>
  <c r="E967" i="6"/>
  <c r="D966" i="6"/>
  <c r="AE935" i="8" l="1"/>
  <c r="AD935" i="8" s="1"/>
  <c r="E968" i="6"/>
  <c r="D967" i="6"/>
  <c r="AE936" i="8" l="1"/>
  <c r="AD936" i="8" s="1"/>
  <c r="E969" i="6"/>
  <c r="D968" i="6"/>
  <c r="AE937" i="8" l="1"/>
  <c r="AD937" i="8" s="1"/>
  <c r="E970" i="6"/>
  <c r="D969" i="6"/>
  <c r="AE938" i="8" l="1"/>
  <c r="AD938" i="8" s="1"/>
  <c r="E971" i="6"/>
  <c r="D970" i="6"/>
  <c r="AE939" i="8" l="1"/>
  <c r="AD939" i="8" s="1"/>
  <c r="E972" i="6"/>
  <c r="D971" i="6"/>
  <c r="AE940" i="8" l="1"/>
  <c r="AD940" i="8" s="1"/>
  <c r="E973" i="6"/>
  <c r="D972" i="6"/>
  <c r="AE941" i="8" l="1"/>
  <c r="AD941" i="8" s="1"/>
  <c r="E974" i="6"/>
  <c r="D973" i="6"/>
  <c r="AE942" i="8" l="1"/>
  <c r="AD942" i="8" s="1"/>
  <c r="D974" i="6"/>
  <c r="E975" i="6"/>
  <c r="AE943" i="8" l="1"/>
  <c r="AD943" i="8" s="1"/>
  <c r="E976" i="6"/>
  <c r="D975" i="6"/>
  <c r="AE944" i="8" l="1"/>
  <c r="AD944" i="8" s="1"/>
  <c r="D976" i="6"/>
  <c r="E977" i="6"/>
  <c r="AE945" i="8" l="1"/>
  <c r="AD945" i="8" s="1"/>
  <c r="E978" i="6"/>
  <c r="D977" i="6"/>
  <c r="AE946" i="8" l="1"/>
  <c r="AD946" i="8" s="1"/>
  <c r="D978" i="6"/>
  <c r="E979" i="6"/>
  <c r="AE947" i="8" l="1"/>
  <c r="AD947" i="8" s="1"/>
  <c r="E980" i="6"/>
  <c r="D979" i="6"/>
  <c r="AE948" i="8" l="1"/>
  <c r="AD948" i="8" s="1"/>
  <c r="D980" i="6"/>
  <c r="E981" i="6"/>
  <c r="AE949" i="8" l="1"/>
  <c r="AD949" i="8" s="1"/>
  <c r="E982" i="6"/>
  <c r="D981" i="6"/>
  <c r="AE950" i="8" l="1"/>
  <c r="AD950" i="8" s="1"/>
  <c r="D982" i="6"/>
  <c r="E983" i="6"/>
  <c r="AE951" i="8" l="1"/>
  <c r="AD951" i="8" s="1"/>
  <c r="E984" i="6"/>
  <c r="D983" i="6"/>
  <c r="AE952" i="8" l="1"/>
  <c r="AD952" i="8" s="1"/>
  <c r="D984" i="6"/>
  <c r="E985" i="6"/>
  <c r="AE953" i="8" l="1"/>
  <c r="AD953" i="8" s="1"/>
  <c r="E986" i="6"/>
  <c r="D985" i="6"/>
  <c r="AE954" i="8" l="1"/>
  <c r="AD954" i="8" s="1"/>
  <c r="D986" i="6"/>
  <c r="E987" i="6"/>
  <c r="AE955" i="8" l="1"/>
  <c r="AD955" i="8" s="1"/>
  <c r="E988" i="6"/>
  <c r="D987" i="6"/>
  <c r="AE956" i="8" l="1"/>
  <c r="AD956" i="8" s="1"/>
  <c r="D988" i="6"/>
  <c r="E989" i="6"/>
  <c r="AE957" i="8" l="1"/>
  <c r="AD957" i="8" s="1"/>
  <c r="E990" i="6"/>
  <c r="D989" i="6"/>
  <c r="AE958" i="8" l="1"/>
  <c r="AD958" i="8" s="1"/>
  <c r="D990" i="6"/>
  <c r="E991" i="6"/>
  <c r="AE959" i="8" l="1"/>
  <c r="AD959" i="8" s="1"/>
  <c r="E992" i="6"/>
  <c r="D991" i="6"/>
  <c r="AE960" i="8" l="1"/>
  <c r="AD960" i="8" s="1"/>
  <c r="D992" i="6"/>
  <c r="E993" i="6"/>
  <c r="AE961" i="8" l="1"/>
  <c r="AD961" i="8" s="1"/>
  <c r="E994" i="6"/>
  <c r="D993" i="6"/>
  <c r="AE962" i="8" l="1"/>
  <c r="AD962" i="8" s="1"/>
  <c r="D994" i="6"/>
  <c r="E995" i="6"/>
  <c r="AE963" i="8" l="1"/>
  <c r="AD963" i="8" s="1"/>
  <c r="E996" i="6"/>
  <c r="D995" i="6"/>
  <c r="AE964" i="8" l="1"/>
  <c r="AD964" i="8" s="1"/>
  <c r="D996" i="6"/>
  <c r="E997" i="6"/>
  <c r="AE965" i="8" l="1"/>
  <c r="AD965" i="8" s="1"/>
  <c r="E998" i="6"/>
  <c r="D997" i="6"/>
  <c r="AE966" i="8" l="1"/>
  <c r="AD966" i="8" s="1"/>
  <c r="D998" i="6"/>
  <c r="E999" i="6"/>
  <c r="AE967" i="8" l="1"/>
  <c r="AD967" i="8" s="1"/>
  <c r="E1000" i="6"/>
  <c r="D999" i="6"/>
  <c r="AE968" i="8" l="1"/>
  <c r="AD968" i="8" s="1"/>
  <c r="D1000" i="6"/>
  <c r="E1001" i="6"/>
  <c r="AE969" i="8" l="1"/>
  <c r="AD969" i="8" s="1"/>
  <c r="E1002" i="6"/>
  <c r="D1001" i="6"/>
  <c r="AE970" i="8" l="1"/>
  <c r="AD970" i="8" s="1"/>
  <c r="D1002" i="6"/>
  <c r="E1003" i="6"/>
  <c r="AE971" i="8" l="1"/>
  <c r="AD971" i="8" s="1"/>
  <c r="E1004" i="6"/>
  <c r="D1003" i="6"/>
  <c r="AE972" i="8" l="1"/>
  <c r="AD972" i="8" s="1"/>
  <c r="D1004" i="6"/>
  <c r="E1005" i="6"/>
  <c r="AE973" i="8" l="1"/>
  <c r="AD973" i="8" s="1"/>
  <c r="E1006" i="6"/>
  <c r="D1005" i="6"/>
  <c r="AE974" i="8" l="1"/>
  <c r="AD974" i="8" s="1"/>
  <c r="D1006" i="6"/>
  <c r="E1007" i="6"/>
  <c r="AE975" i="8" l="1"/>
  <c r="AD975" i="8" s="1"/>
  <c r="E1008" i="6"/>
  <c r="D1007" i="6"/>
  <c r="AE976" i="8" l="1"/>
  <c r="AD976" i="8" s="1"/>
  <c r="D1008" i="6"/>
  <c r="E1009" i="6"/>
  <c r="AE977" i="8" l="1"/>
  <c r="AD977" i="8" s="1"/>
  <c r="E1010" i="6"/>
  <c r="D1009" i="6"/>
  <c r="AE978" i="8" l="1"/>
  <c r="AD978" i="8" s="1"/>
  <c r="D1010" i="6"/>
  <c r="E1011" i="6"/>
  <c r="AE979" i="8" l="1"/>
  <c r="AD979" i="8" s="1"/>
  <c r="E1012" i="6"/>
  <c r="D1011" i="6"/>
  <c r="AE980" i="8" l="1"/>
  <c r="AD980" i="8" s="1"/>
  <c r="D1012" i="6"/>
  <c r="E1013" i="6"/>
  <c r="AE981" i="8" l="1"/>
  <c r="AD981" i="8" s="1"/>
  <c r="E1014" i="6"/>
  <c r="D1013" i="6"/>
  <c r="AE982" i="8" l="1"/>
  <c r="AD982" i="8" s="1"/>
  <c r="D1014" i="6"/>
  <c r="E1015" i="6"/>
  <c r="AE983" i="8" l="1"/>
  <c r="AD983" i="8" s="1"/>
  <c r="E1016" i="6"/>
  <c r="D1015" i="6"/>
  <c r="AE984" i="8" l="1"/>
  <c r="AD984" i="8" s="1"/>
  <c r="D1016" i="6"/>
  <c r="E1017" i="6"/>
  <c r="AE985" i="8" l="1"/>
  <c r="AD985" i="8" s="1"/>
  <c r="E1018" i="6"/>
  <c r="D1017" i="6"/>
  <c r="AE986" i="8" l="1"/>
  <c r="AD986" i="8" s="1"/>
  <c r="D1018" i="6"/>
  <c r="E1019" i="6"/>
  <c r="AE987" i="8" l="1"/>
  <c r="AD987" i="8" s="1"/>
  <c r="E1020" i="6"/>
  <c r="D1019" i="6"/>
  <c r="AE988" i="8" l="1"/>
  <c r="AD988" i="8" s="1"/>
  <c r="D1020" i="6"/>
  <c r="E1021" i="6"/>
  <c r="AE989" i="8" l="1"/>
  <c r="AD989" i="8" s="1"/>
  <c r="E1022" i="6"/>
  <c r="D1021" i="6"/>
  <c r="AE990" i="8" l="1"/>
  <c r="AD990" i="8" s="1"/>
  <c r="D1022" i="6"/>
  <c r="E1023" i="6"/>
  <c r="AE991" i="8" l="1"/>
  <c r="AD991" i="8" s="1"/>
  <c r="E1024" i="6"/>
  <c r="D1023" i="6"/>
  <c r="AE992" i="8" l="1"/>
  <c r="AD992" i="8" s="1"/>
  <c r="D1024" i="6"/>
  <c r="E1025" i="6"/>
  <c r="AE993" i="8" l="1"/>
  <c r="AD993" i="8" s="1"/>
  <c r="E1026" i="6"/>
  <c r="D1025" i="6"/>
  <c r="AE994" i="8" l="1"/>
  <c r="AD994" i="8" s="1"/>
  <c r="D1026" i="6"/>
  <c r="E1027" i="6"/>
  <c r="AE995" i="8" l="1"/>
  <c r="AD995" i="8" s="1"/>
  <c r="E1028" i="6"/>
  <c r="D1027" i="6"/>
  <c r="AE996" i="8" l="1"/>
  <c r="AD996" i="8" s="1"/>
  <c r="D1028" i="6"/>
  <c r="E1029" i="6"/>
  <c r="AE997" i="8" l="1"/>
  <c r="AD997" i="8" s="1"/>
  <c r="E1030" i="6"/>
  <c r="D1029" i="6"/>
  <c r="AE998" i="8" l="1"/>
  <c r="AD998" i="8" s="1"/>
  <c r="D1030" i="6"/>
  <c r="E1031" i="6"/>
  <c r="AE999" i="8" l="1"/>
  <c r="AD999" i="8" s="1"/>
  <c r="E1032" i="6"/>
  <c r="D1031" i="6"/>
  <c r="AE1000" i="8" l="1"/>
  <c r="AD1000" i="8" s="1"/>
  <c r="D1032" i="6"/>
  <c r="E1033" i="6"/>
  <c r="AE1001" i="8" l="1"/>
  <c r="AD1001" i="8" s="1"/>
  <c r="E1034" i="6"/>
  <c r="D1033" i="6"/>
  <c r="AE1002" i="8" l="1"/>
  <c r="AD1002" i="8" s="1"/>
  <c r="D1034" i="6"/>
  <c r="E1035" i="6"/>
  <c r="AE1003" i="8" l="1"/>
  <c r="AD1003" i="8" s="1"/>
  <c r="E1036" i="6"/>
  <c r="D1035" i="6"/>
  <c r="AE1004" i="8" l="1"/>
  <c r="AD1004" i="8" s="1"/>
  <c r="D1036" i="6"/>
  <c r="E1037" i="6"/>
  <c r="AE1005" i="8" l="1"/>
  <c r="AD1005" i="8" s="1"/>
  <c r="E1038" i="6"/>
  <c r="D1037" i="6"/>
  <c r="AE1006" i="8" l="1"/>
  <c r="AD1006" i="8" s="1"/>
  <c r="D1038" i="6"/>
  <c r="E1039" i="6"/>
  <c r="AE1007" i="8" l="1"/>
  <c r="AD1007" i="8" s="1"/>
  <c r="E1040" i="6"/>
  <c r="D1039" i="6"/>
  <c r="AE1008" i="8" l="1"/>
  <c r="AD1008" i="8" s="1"/>
  <c r="D1040" i="6"/>
  <c r="E1041" i="6"/>
  <c r="AE1009" i="8" l="1"/>
  <c r="AD1009" i="8" s="1"/>
  <c r="E1042" i="6"/>
  <c r="D1041" i="6"/>
  <c r="AE1010" i="8" l="1"/>
  <c r="AD1010" i="8" s="1"/>
  <c r="D1042" i="6"/>
  <c r="E1043" i="6"/>
  <c r="AE1011" i="8" l="1"/>
  <c r="AD1011" i="8" s="1"/>
  <c r="E1044" i="6"/>
  <c r="D1043" i="6"/>
  <c r="AE1012" i="8" l="1"/>
  <c r="AD1012" i="8" s="1"/>
  <c r="D1044" i="6"/>
  <c r="E1045" i="6"/>
  <c r="AE1013" i="8" l="1"/>
  <c r="AD1013" i="8" s="1"/>
  <c r="E1046" i="6"/>
  <c r="D1045" i="6"/>
  <c r="AE1014" i="8" l="1"/>
  <c r="AD1014" i="8" s="1"/>
  <c r="D1046" i="6"/>
  <c r="E1047" i="6"/>
  <c r="AE1015" i="8" l="1"/>
  <c r="AD1015" i="8" s="1"/>
  <c r="E1048" i="6"/>
  <c r="D1047" i="6"/>
  <c r="AE1016" i="8" l="1"/>
  <c r="AD1016" i="8" s="1"/>
  <c r="D1048" i="6"/>
  <c r="E1049" i="6"/>
  <c r="AE1017" i="8" l="1"/>
  <c r="AD1017" i="8" s="1"/>
  <c r="E1050" i="6"/>
  <c r="D1049" i="6"/>
  <c r="AE1018" i="8" l="1"/>
  <c r="AD1018" i="8" s="1"/>
  <c r="D1050" i="6"/>
  <c r="E1051" i="6"/>
  <c r="AE1019" i="8" l="1"/>
  <c r="AD1019" i="8" s="1"/>
  <c r="E1052" i="6"/>
  <c r="D1051" i="6"/>
  <c r="AE1020" i="8" l="1"/>
  <c r="AD1020" i="8" s="1"/>
  <c r="D1052" i="6"/>
  <c r="E1053" i="6"/>
  <c r="AE1021" i="8" l="1"/>
  <c r="AD1021" i="8" s="1"/>
  <c r="E1054" i="6"/>
  <c r="D1053" i="6"/>
  <c r="AE1022" i="8" l="1"/>
  <c r="AD1022" i="8" s="1"/>
  <c r="D1054" i="6"/>
  <c r="E1055" i="6"/>
  <c r="AE1023" i="8" l="1"/>
  <c r="AD1023" i="8" s="1"/>
  <c r="E1056" i="6"/>
  <c r="D1055" i="6"/>
  <c r="AE1024" i="8" l="1"/>
  <c r="AD1024" i="8" s="1"/>
  <c r="D1056" i="6"/>
  <c r="E1057" i="6"/>
  <c r="AE1025" i="8" l="1"/>
  <c r="AD1025" i="8" s="1"/>
  <c r="E1058" i="6"/>
  <c r="D1057" i="6"/>
  <c r="AE1026" i="8" l="1"/>
  <c r="AD1026" i="8" s="1"/>
  <c r="D1058" i="6"/>
  <c r="E1059" i="6"/>
  <c r="AE1027" i="8" l="1"/>
  <c r="AD1027" i="8" s="1"/>
  <c r="E1060" i="6"/>
  <c r="D1059" i="6"/>
  <c r="AE1028" i="8" l="1"/>
  <c r="AD1028" i="8" s="1"/>
  <c r="D1060" i="6"/>
  <c r="E1061" i="6"/>
  <c r="AE1029" i="8" l="1"/>
  <c r="AD1029" i="8" s="1"/>
  <c r="E1062" i="6"/>
  <c r="D1061" i="6"/>
  <c r="AE1030" i="8" l="1"/>
  <c r="AD1030" i="8" s="1"/>
  <c r="D1062" i="6"/>
  <c r="E1063" i="6"/>
  <c r="AE1031" i="8" l="1"/>
  <c r="AD1031" i="8" s="1"/>
  <c r="E1064" i="6"/>
  <c r="D1063" i="6"/>
  <c r="AE1032" i="8" l="1"/>
  <c r="AD1032" i="8" s="1"/>
  <c r="D1064" i="6"/>
  <c r="E1065" i="6"/>
  <c r="AE1033" i="8" l="1"/>
  <c r="AD1033" i="8" s="1"/>
  <c r="E1066" i="6"/>
  <c r="D1065" i="6"/>
  <c r="AE1034" i="8" l="1"/>
  <c r="AD1034" i="8" s="1"/>
  <c r="D1066" i="6"/>
  <c r="E1067" i="6"/>
  <c r="AE1035" i="8" l="1"/>
  <c r="AD1035" i="8" s="1"/>
  <c r="E1068" i="6"/>
  <c r="D1067" i="6"/>
  <c r="AE1036" i="8" l="1"/>
  <c r="AD1036" i="8" s="1"/>
  <c r="D1068" i="6"/>
  <c r="E1069" i="6"/>
  <c r="AE1037" i="8" l="1"/>
  <c r="AD1037" i="8" s="1"/>
  <c r="E1070" i="6"/>
  <c r="D1069" i="6"/>
  <c r="AE1038" i="8" l="1"/>
  <c r="AD1038" i="8" s="1"/>
  <c r="D1070" i="6"/>
  <c r="E1071" i="6"/>
  <c r="AE1039" i="8" l="1"/>
  <c r="AD1039" i="8" s="1"/>
  <c r="E1072" i="6"/>
  <c r="D1071" i="6"/>
  <c r="AE1040" i="8" l="1"/>
  <c r="AD1040" i="8" s="1"/>
  <c r="D1072" i="6"/>
  <c r="E1073" i="6"/>
  <c r="AE1041" i="8" l="1"/>
  <c r="AD1041" i="8" s="1"/>
  <c r="E1074" i="6"/>
  <c r="D1073" i="6"/>
  <c r="AE1042" i="8" l="1"/>
  <c r="AD1042" i="8" s="1"/>
  <c r="D1074" i="6"/>
  <c r="E1075" i="6"/>
  <c r="AE1043" i="8" l="1"/>
  <c r="AD1043" i="8" s="1"/>
  <c r="E1076" i="6"/>
  <c r="D1075" i="6"/>
  <c r="AE1044" i="8" l="1"/>
  <c r="AD1044" i="8" s="1"/>
  <c r="D1076" i="6"/>
  <c r="E1077" i="6"/>
  <c r="AE1045" i="8" l="1"/>
  <c r="AD1045" i="8" s="1"/>
  <c r="E1078" i="6"/>
  <c r="D1077" i="6"/>
  <c r="AE1046" i="8" l="1"/>
  <c r="AD1046" i="8" s="1"/>
  <c r="D1078" i="6"/>
  <c r="E1079" i="6"/>
  <c r="AE1047" i="8" l="1"/>
  <c r="AD1047" i="8" s="1"/>
  <c r="E1080" i="6"/>
  <c r="D1079" i="6"/>
  <c r="AE1048" i="8" l="1"/>
  <c r="AD1048" i="8" s="1"/>
  <c r="D1080" i="6"/>
  <c r="E1081" i="6"/>
  <c r="AE1049" i="8" l="1"/>
  <c r="AD1049" i="8" s="1"/>
  <c r="E1082" i="6"/>
  <c r="D1081" i="6"/>
  <c r="AE1050" i="8" l="1"/>
  <c r="AD1050" i="8" s="1"/>
  <c r="D1082" i="6"/>
  <c r="E1083" i="6"/>
  <c r="AE1051" i="8" l="1"/>
  <c r="AD1051" i="8" s="1"/>
  <c r="E1084" i="6"/>
  <c r="D1083" i="6"/>
  <c r="AE1052" i="8" l="1"/>
  <c r="AD1052" i="8" s="1"/>
  <c r="D1084" i="6"/>
  <c r="E1085" i="6"/>
  <c r="AE1053" i="8" l="1"/>
  <c r="AD1053" i="8" s="1"/>
  <c r="E1086" i="6"/>
  <c r="D1085" i="6"/>
  <c r="AE1054" i="8" l="1"/>
  <c r="AD1054" i="8" s="1"/>
  <c r="D1086" i="6"/>
  <c r="E1087" i="6"/>
  <c r="AE1055" i="8" l="1"/>
  <c r="AD1055" i="8" s="1"/>
  <c r="E1088" i="6"/>
  <c r="D1087" i="6"/>
  <c r="AE1056" i="8" l="1"/>
  <c r="AD1056" i="8" s="1"/>
  <c r="D1088" i="6"/>
  <c r="E1089" i="6"/>
  <c r="AE1057" i="8" l="1"/>
  <c r="AD1057" i="8" s="1"/>
  <c r="E1090" i="6"/>
  <c r="D1089" i="6"/>
  <c r="AE1058" i="8" l="1"/>
  <c r="AD1058" i="8" s="1"/>
  <c r="D1090" i="6"/>
  <c r="E1091" i="6"/>
  <c r="AE1059" i="8" l="1"/>
  <c r="AD1059" i="8" s="1"/>
  <c r="E1092" i="6"/>
  <c r="D1091" i="6"/>
  <c r="AE1060" i="8" l="1"/>
  <c r="AD1060" i="8" s="1"/>
  <c r="D1092" i="6"/>
  <c r="E1093" i="6"/>
  <c r="AE1061" i="8" l="1"/>
  <c r="AD1061" i="8" s="1"/>
  <c r="E1094" i="6"/>
  <c r="D1093" i="6"/>
  <c r="AE1062" i="8" l="1"/>
  <c r="AD1062" i="8" s="1"/>
  <c r="D1094" i="6"/>
  <c r="E1095" i="6"/>
  <c r="AE1063" i="8" l="1"/>
  <c r="AD1063" i="8" s="1"/>
  <c r="E1096" i="6"/>
  <c r="D1095" i="6"/>
  <c r="AE1064" i="8" l="1"/>
  <c r="AD1064" i="8" s="1"/>
  <c r="D1096" i="6"/>
  <c r="E1097" i="6"/>
  <c r="AE1065" i="8" l="1"/>
  <c r="AD1065" i="8" s="1"/>
  <c r="E1098" i="6"/>
  <c r="D1097" i="6"/>
  <c r="AE1066" i="8" l="1"/>
  <c r="AD1066" i="8" s="1"/>
  <c r="D1098" i="6"/>
  <c r="E1099" i="6"/>
  <c r="AE1067" i="8" l="1"/>
  <c r="AD1067" i="8" s="1"/>
  <c r="E1100" i="6"/>
  <c r="D1099" i="6"/>
  <c r="AE1068" i="8" l="1"/>
  <c r="AD1068" i="8" s="1"/>
  <c r="D1100" i="6"/>
  <c r="E1101" i="6"/>
  <c r="AE1069" i="8" l="1"/>
  <c r="AD1069" i="8" s="1"/>
  <c r="E1102" i="6"/>
  <c r="D1101" i="6"/>
  <c r="AE1070" i="8" l="1"/>
  <c r="AD1070" i="8" s="1"/>
  <c r="D1102" i="6"/>
  <c r="E1103" i="6"/>
  <c r="AE1071" i="8" l="1"/>
  <c r="AD1071" i="8" s="1"/>
  <c r="E1104" i="6"/>
  <c r="D1103" i="6"/>
  <c r="AE1072" i="8" l="1"/>
  <c r="AD1072" i="8" s="1"/>
  <c r="D1104" i="6"/>
  <c r="E1105" i="6"/>
  <c r="AE1073" i="8" l="1"/>
  <c r="AD1073" i="8" s="1"/>
  <c r="E1106" i="6"/>
  <c r="D1105" i="6"/>
  <c r="AE1074" i="8" l="1"/>
  <c r="AD1074" i="8" s="1"/>
  <c r="D1106" i="6"/>
  <c r="E1107" i="6"/>
  <c r="AE1075" i="8" l="1"/>
  <c r="AD1075" i="8" s="1"/>
  <c r="E1108" i="6"/>
  <c r="D1107" i="6"/>
  <c r="AE1076" i="8" l="1"/>
  <c r="AD1076" i="8" s="1"/>
  <c r="D1108" i="6"/>
  <c r="E1109" i="6"/>
  <c r="AE1077" i="8" l="1"/>
  <c r="AD1077" i="8" s="1"/>
  <c r="E1110" i="6"/>
  <c r="D1109" i="6"/>
  <c r="AE1078" i="8" l="1"/>
  <c r="AD1078" i="8" s="1"/>
  <c r="D1110" i="6"/>
  <c r="E1111" i="6"/>
  <c r="AE1079" i="8" l="1"/>
  <c r="AD1079" i="8" s="1"/>
  <c r="E1112" i="6"/>
  <c r="D1111" i="6"/>
  <c r="AE1080" i="8" l="1"/>
  <c r="AD1080" i="8" s="1"/>
  <c r="D1112" i="6"/>
  <c r="E1113" i="6"/>
  <c r="AE1081" i="8" l="1"/>
  <c r="AD1081" i="8" s="1"/>
  <c r="E1114" i="6"/>
  <c r="D1113" i="6"/>
  <c r="AE1082" i="8" l="1"/>
  <c r="AD1082" i="8" s="1"/>
  <c r="D1114" i="6"/>
  <c r="E1115" i="6"/>
  <c r="AE1083" i="8" l="1"/>
  <c r="AD1083" i="8" s="1"/>
  <c r="E1116" i="6"/>
  <c r="D1115" i="6"/>
  <c r="AE1084" i="8" l="1"/>
  <c r="AD1084" i="8" s="1"/>
  <c r="D1116" i="6"/>
  <c r="E1117" i="6"/>
  <c r="AE1085" i="8" l="1"/>
  <c r="AD1085" i="8" s="1"/>
  <c r="E1118" i="6"/>
  <c r="D1117" i="6"/>
  <c r="AE1086" i="8" l="1"/>
  <c r="AD1086" i="8" s="1"/>
  <c r="D1118" i="6"/>
  <c r="E1119" i="6"/>
  <c r="AE1087" i="8" l="1"/>
  <c r="AD1087" i="8" s="1"/>
  <c r="E1120" i="6"/>
  <c r="D1119" i="6"/>
  <c r="AE1088" i="8" l="1"/>
  <c r="AD1088" i="8" s="1"/>
  <c r="D1120" i="6"/>
  <c r="E1121" i="6"/>
  <c r="AE1089" i="8" l="1"/>
  <c r="AD1089" i="8" s="1"/>
  <c r="E1122" i="6"/>
  <c r="D1121" i="6"/>
  <c r="AE1090" i="8" l="1"/>
  <c r="AD1090" i="8" s="1"/>
  <c r="D1122" i="6"/>
  <c r="E1123" i="6"/>
  <c r="AE1091" i="8" l="1"/>
  <c r="AD1091" i="8" s="1"/>
  <c r="E1124" i="6"/>
  <c r="D1123" i="6"/>
  <c r="AE1092" i="8" l="1"/>
  <c r="AD1092" i="8" s="1"/>
  <c r="D1124" i="6"/>
  <c r="E1125" i="6"/>
  <c r="AE1093" i="8" l="1"/>
  <c r="AD1093" i="8" s="1"/>
  <c r="E1126" i="6"/>
  <c r="D1125" i="6"/>
  <c r="AE1094" i="8" l="1"/>
  <c r="AD1094" i="8" s="1"/>
  <c r="D1126" i="6"/>
  <c r="E1127" i="6"/>
  <c r="AE1095" i="8" l="1"/>
  <c r="AD1095" i="8" s="1"/>
  <c r="E1128" i="6"/>
  <c r="D1127" i="6"/>
  <c r="AE1096" i="8" l="1"/>
  <c r="AD1096" i="8" s="1"/>
  <c r="D1128" i="6"/>
  <c r="E1129" i="6"/>
  <c r="AE1097" i="8" l="1"/>
  <c r="AD1097" i="8" s="1"/>
  <c r="E1130" i="6"/>
  <c r="D1129" i="6"/>
  <c r="AE1098" i="8" l="1"/>
  <c r="AD1098" i="8" s="1"/>
  <c r="D1130" i="6"/>
  <c r="E1131" i="6"/>
  <c r="AE1099" i="8" l="1"/>
  <c r="AD1099" i="8" s="1"/>
  <c r="E1132" i="6"/>
  <c r="D1131" i="6"/>
  <c r="AE1100" i="8" l="1"/>
  <c r="AD1100" i="8" s="1"/>
  <c r="D1132" i="6"/>
  <c r="E1133" i="6"/>
  <c r="AE1101" i="8" l="1"/>
  <c r="AD1101" i="8" s="1"/>
  <c r="E1134" i="6"/>
  <c r="D1133" i="6"/>
  <c r="AE1102" i="8" l="1"/>
  <c r="AD1102" i="8" s="1"/>
  <c r="D1134" i="6"/>
  <c r="E1135" i="6"/>
  <c r="AE1103" i="8" l="1"/>
  <c r="AD1103" i="8" s="1"/>
  <c r="E1136" i="6"/>
  <c r="D1135" i="6"/>
  <c r="AE1104" i="8" l="1"/>
  <c r="AD1104" i="8" s="1"/>
  <c r="D1136" i="6"/>
  <c r="E1137" i="6"/>
  <c r="AE1105" i="8" l="1"/>
  <c r="AD1105" i="8" s="1"/>
  <c r="E1138" i="6"/>
  <c r="D1137" i="6"/>
  <c r="AE1106" i="8" l="1"/>
  <c r="AD1106" i="8" s="1"/>
  <c r="D1138" i="6"/>
  <c r="E1139" i="6"/>
  <c r="AE1107" i="8" l="1"/>
  <c r="AD1107" i="8" s="1"/>
  <c r="E1140" i="6"/>
  <c r="D1139" i="6"/>
  <c r="AE1108" i="8" l="1"/>
  <c r="AD1108" i="8" s="1"/>
  <c r="D1140" i="6"/>
  <c r="E1141" i="6"/>
  <c r="AE1109" i="8" l="1"/>
  <c r="AD1109" i="8" s="1"/>
  <c r="E1142" i="6"/>
  <c r="D1141" i="6"/>
  <c r="AE1110" i="8" l="1"/>
  <c r="AD1110" i="8" s="1"/>
  <c r="D1142" i="6"/>
  <c r="E1143" i="6"/>
  <c r="AE1111" i="8" l="1"/>
  <c r="AD1111" i="8" s="1"/>
  <c r="E1144" i="6"/>
  <c r="D1143" i="6"/>
  <c r="AE1112" i="8" l="1"/>
  <c r="AD1112" i="8" s="1"/>
  <c r="D1144" i="6"/>
  <c r="E1145" i="6"/>
  <c r="AE1113" i="8" l="1"/>
  <c r="AD1113" i="8" s="1"/>
  <c r="E1146" i="6"/>
  <c r="D1145" i="6"/>
  <c r="AE1114" i="8" l="1"/>
  <c r="AD1114" i="8" s="1"/>
  <c r="D1146" i="6"/>
  <c r="E1147" i="6"/>
  <c r="AE1115" i="8" l="1"/>
  <c r="AD1115" i="8" s="1"/>
  <c r="E1148" i="6"/>
  <c r="D1147" i="6"/>
  <c r="AE1116" i="8" l="1"/>
  <c r="AD1116" i="8" s="1"/>
  <c r="D1148" i="6"/>
  <c r="E1149" i="6"/>
  <c r="AE1117" i="8" l="1"/>
  <c r="AD1117" i="8" s="1"/>
  <c r="E1150" i="6"/>
  <c r="D1149" i="6"/>
  <c r="AE1118" i="8" l="1"/>
  <c r="AD1118" i="8" s="1"/>
  <c r="D1150" i="6"/>
  <c r="E1151" i="6"/>
  <c r="AE1119" i="8" l="1"/>
  <c r="AD1119" i="8" s="1"/>
  <c r="E1152" i="6"/>
  <c r="D1151" i="6"/>
  <c r="AE1120" i="8" l="1"/>
  <c r="AD1120" i="8" s="1"/>
  <c r="D1152" i="6"/>
  <c r="E1153" i="6"/>
  <c r="AE1121" i="8" l="1"/>
  <c r="AD1121" i="8" s="1"/>
  <c r="E1154" i="6"/>
  <c r="D1153" i="6"/>
  <c r="AE1122" i="8" l="1"/>
  <c r="AD1122" i="8" s="1"/>
  <c r="D1154" i="6"/>
  <c r="E1155" i="6"/>
  <c r="AE1123" i="8" l="1"/>
  <c r="AD1123" i="8" s="1"/>
  <c r="E1156" i="6"/>
  <c r="D1155" i="6"/>
  <c r="AE1124" i="8" l="1"/>
  <c r="AD1124" i="8" s="1"/>
  <c r="D1156" i="6"/>
  <c r="E1157" i="6"/>
  <c r="AE1125" i="8" l="1"/>
  <c r="AD1125" i="8" s="1"/>
  <c r="E1158" i="6"/>
  <c r="D1157" i="6"/>
  <c r="AE1126" i="8" l="1"/>
  <c r="AD1126" i="8" s="1"/>
  <c r="D1158" i="6"/>
  <c r="E1159" i="6"/>
  <c r="AE1127" i="8" l="1"/>
  <c r="AD1127" i="8" s="1"/>
  <c r="E1160" i="6"/>
  <c r="D1159" i="6"/>
  <c r="AE1128" i="8" l="1"/>
  <c r="AD1128" i="8" s="1"/>
  <c r="D1160" i="6"/>
  <c r="E1161" i="6"/>
  <c r="AE1129" i="8" l="1"/>
  <c r="AD1129" i="8" s="1"/>
  <c r="E1162" i="6"/>
  <c r="D1161" i="6"/>
  <c r="AE1130" i="8" l="1"/>
  <c r="AD1130" i="8" s="1"/>
  <c r="D1162" i="6"/>
  <c r="E1163" i="6"/>
  <c r="AE1131" i="8" l="1"/>
  <c r="AD1131" i="8" s="1"/>
  <c r="E1164" i="6"/>
  <c r="D1163" i="6"/>
  <c r="AE1132" i="8" l="1"/>
  <c r="AD1132" i="8" s="1"/>
  <c r="D1164" i="6"/>
  <c r="E1165" i="6"/>
  <c r="AE1133" i="8" l="1"/>
  <c r="AD1133" i="8" s="1"/>
  <c r="E1166" i="6"/>
  <c r="D1165" i="6"/>
  <c r="AE1134" i="8" l="1"/>
  <c r="AD1134" i="8" s="1"/>
  <c r="D1166" i="6"/>
  <c r="E1167" i="6"/>
  <c r="AE1135" i="8" l="1"/>
  <c r="AD1135" i="8" s="1"/>
  <c r="E1168" i="6"/>
  <c r="D1167" i="6"/>
  <c r="AE1136" i="8" l="1"/>
  <c r="AD1136" i="8" s="1"/>
  <c r="D1168" i="6"/>
  <c r="E1169" i="6"/>
  <c r="AE1137" i="8" l="1"/>
  <c r="AD1137" i="8" s="1"/>
  <c r="E1170" i="6"/>
  <c r="D1169" i="6"/>
  <c r="AE1138" i="8" l="1"/>
  <c r="AD1138" i="8" s="1"/>
  <c r="D1170" i="6"/>
  <c r="E1171" i="6"/>
  <c r="AE1139" i="8" l="1"/>
  <c r="AD1139" i="8" s="1"/>
  <c r="E1172" i="6"/>
  <c r="D1171" i="6"/>
  <c r="AE1140" i="8" l="1"/>
  <c r="AD1140" i="8" s="1"/>
  <c r="D1172" i="6"/>
  <c r="E1173" i="6"/>
  <c r="AE1141" i="8" l="1"/>
  <c r="AD1141" i="8" s="1"/>
  <c r="E1174" i="6"/>
  <c r="D1173" i="6"/>
  <c r="AE1142" i="8" l="1"/>
  <c r="AD1142" i="8" s="1"/>
  <c r="D1174" i="6"/>
  <c r="E1175" i="6"/>
  <c r="AE1143" i="8" l="1"/>
  <c r="AD1143" i="8" s="1"/>
  <c r="E1176" i="6"/>
  <c r="D1175" i="6"/>
  <c r="AE1144" i="8" l="1"/>
  <c r="AD1144" i="8" s="1"/>
  <c r="D1176" i="6"/>
  <c r="E1177" i="6"/>
  <c r="AE1145" i="8" l="1"/>
  <c r="AD1145" i="8" s="1"/>
  <c r="E1178" i="6"/>
  <c r="D1177" i="6"/>
  <c r="AE1146" i="8" l="1"/>
  <c r="AD1146" i="8" s="1"/>
  <c r="D1178" i="6"/>
  <c r="E1179" i="6"/>
  <c r="AE1147" i="8" l="1"/>
  <c r="AD1147" i="8" s="1"/>
  <c r="E1180" i="6"/>
  <c r="D1179" i="6"/>
  <c r="AE1148" i="8" l="1"/>
  <c r="AD1148" i="8" s="1"/>
  <c r="D1180" i="6"/>
  <c r="E1181" i="6"/>
  <c r="AE1149" i="8" l="1"/>
  <c r="AD1149" i="8" s="1"/>
  <c r="E1182" i="6"/>
  <c r="D1181" i="6"/>
  <c r="AE1150" i="8" l="1"/>
  <c r="AD1150" i="8" s="1"/>
  <c r="D1182" i="6"/>
  <c r="E1183" i="6"/>
  <c r="AE1151" i="8" l="1"/>
  <c r="AD1151" i="8" s="1"/>
  <c r="E1184" i="6"/>
  <c r="D1183" i="6"/>
  <c r="AE1152" i="8" l="1"/>
  <c r="AD1152" i="8" s="1"/>
  <c r="D1184" i="6"/>
  <c r="E1185" i="6"/>
  <c r="AE1153" i="8" l="1"/>
  <c r="AD1153" i="8" s="1"/>
  <c r="E1186" i="6"/>
  <c r="D1185" i="6"/>
  <c r="AE1154" i="8" l="1"/>
  <c r="AD1154" i="8" s="1"/>
  <c r="D1186" i="6"/>
  <c r="E1187" i="6"/>
  <c r="AE1155" i="8" l="1"/>
  <c r="AD1155" i="8" s="1"/>
  <c r="E1188" i="6"/>
  <c r="D1187" i="6"/>
  <c r="AE1156" i="8" l="1"/>
  <c r="AD1156" i="8" s="1"/>
  <c r="D1188" i="6"/>
  <c r="E1189" i="6"/>
  <c r="AE1157" i="8" l="1"/>
  <c r="AD1157" i="8" s="1"/>
  <c r="E1190" i="6"/>
  <c r="D1189" i="6"/>
  <c r="AE1158" i="8" l="1"/>
  <c r="AD1158" i="8" s="1"/>
  <c r="D1190" i="6"/>
  <c r="E1191" i="6"/>
  <c r="AE1159" i="8" l="1"/>
  <c r="AD1159" i="8" s="1"/>
  <c r="E1192" i="6"/>
  <c r="D1191" i="6"/>
  <c r="AE1160" i="8" l="1"/>
  <c r="AD1160" i="8" s="1"/>
  <c r="D1192" i="6"/>
  <c r="E1193" i="6"/>
  <c r="AE1161" i="8" l="1"/>
  <c r="AD1161" i="8" s="1"/>
  <c r="E1194" i="6"/>
  <c r="D1193" i="6"/>
  <c r="AE1162" i="8" l="1"/>
  <c r="AD1162" i="8" s="1"/>
  <c r="D1194" i="6"/>
  <c r="E1195" i="6"/>
  <c r="AE1163" i="8" l="1"/>
  <c r="AD1163" i="8" s="1"/>
  <c r="E1196" i="6"/>
  <c r="D1195" i="6"/>
  <c r="AE1164" i="8" l="1"/>
  <c r="AD1164" i="8" s="1"/>
  <c r="D1196" i="6"/>
  <c r="E1197" i="6"/>
  <c r="AE1165" i="8" l="1"/>
  <c r="AD1165" i="8" s="1"/>
  <c r="E1198" i="6"/>
  <c r="D1197" i="6"/>
  <c r="AE1166" i="8" l="1"/>
  <c r="AD1166" i="8" s="1"/>
  <c r="D1198" i="6"/>
  <c r="E1199" i="6"/>
  <c r="AE1167" i="8" l="1"/>
  <c r="AD1167" i="8" s="1"/>
  <c r="E1200" i="6"/>
  <c r="D1199" i="6"/>
  <c r="AE1168" i="8" l="1"/>
  <c r="AD1168" i="8" s="1"/>
  <c r="D1200" i="6"/>
  <c r="E1201" i="6"/>
  <c r="AE1169" i="8" l="1"/>
  <c r="AD1169" i="8" s="1"/>
  <c r="E1202" i="6"/>
  <c r="D1201" i="6"/>
  <c r="AE1170" i="8" l="1"/>
  <c r="AD1170" i="8" s="1"/>
  <c r="D1202" i="6"/>
  <c r="E1203" i="6"/>
  <c r="AE1171" i="8" l="1"/>
  <c r="AD1171" i="8" s="1"/>
  <c r="E1204" i="6"/>
  <c r="D1203" i="6"/>
  <c r="AE1172" i="8" l="1"/>
  <c r="AD1172" i="8" s="1"/>
  <c r="D1204" i="6"/>
  <c r="E1205" i="6"/>
  <c r="AE1173" i="8" l="1"/>
  <c r="AD1173" i="8" s="1"/>
  <c r="E1206" i="6"/>
  <c r="D1205" i="6"/>
  <c r="AE1174" i="8" l="1"/>
  <c r="AD1174" i="8" s="1"/>
  <c r="D1206" i="6"/>
  <c r="E1207" i="6"/>
  <c r="AE1175" i="8" l="1"/>
  <c r="AD1175" i="8" s="1"/>
  <c r="E1208" i="6"/>
  <c r="D1207" i="6"/>
  <c r="AE1176" i="8" l="1"/>
  <c r="AD1176" i="8" s="1"/>
  <c r="D1208" i="6"/>
  <c r="E1209" i="6"/>
  <c r="AE1177" i="8" l="1"/>
  <c r="AD1177" i="8" s="1"/>
  <c r="E1210" i="6"/>
  <c r="D1209" i="6"/>
  <c r="AE1178" i="8" l="1"/>
  <c r="AD1178" i="8" s="1"/>
  <c r="D1210" i="6"/>
  <c r="E1211" i="6"/>
  <c r="AE1179" i="8" l="1"/>
  <c r="AD1179" i="8" s="1"/>
  <c r="E1212" i="6"/>
  <c r="D1211" i="6"/>
  <c r="AE1180" i="8" l="1"/>
  <c r="AD1180" i="8" s="1"/>
  <c r="D1212" i="6"/>
  <c r="E1213" i="6"/>
  <c r="AE1181" i="8" l="1"/>
  <c r="AD1181" i="8" s="1"/>
  <c r="E1214" i="6"/>
  <c r="D1213" i="6"/>
  <c r="AE1182" i="8" l="1"/>
  <c r="AD1182" i="8" s="1"/>
  <c r="D1214" i="6"/>
  <c r="E1215" i="6"/>
  <c r="AE1183" i="8" l="1"/>
  <c r="AD1183" i="8" s="1"/>
  <c r="E1216" i="6"/>
  <c r="D1215" i="6"/>
  <c r="AE1184" i="8" l="1"/>
  <c r="AD1184" i="8" s="1"/>
  <c r="D1216" i="6"/>
  <c r="E1217" i="6"/>
  <c r="AE1185" i="8" l="1"/>
  <c r="AD1185" i="8" s="1"/>
  <c r="E1218" i="6"/>
  <c r="D1217" i="6"/>
  <c r="AE1186" i="8" l="1"/>
  <c r="AD1186" i="8" s="1"/>
  <c r="D1218" i="6"/>
  <c r="E1219" i="6"/>
  <c r="AE1187" i="8" l="1"/>
  <c r="AD1187" i="8" s="1"/>
  <c r="E1220" i="6"/>
  <c r="D1219" i="6"/>
  <c r="AE1188" i="8" l="1"/>
  <c r="AD1188" i="8" s="1"/>
  <c r="D1220" i="6"/>
  <c r="E1221" i="6"/>
  <c r="AE1189" i="8" l="1"/>
  <c r="AD1189" i="8" s="1"/>
  <c r="E1222" i="6"/>
  <c r="D1221" i="6"/>
  <c r="AE1190" i="8" l="1"/>
  <c r="AD1190" i="8" s="1"/>
  <c r="D1222" i="6"/>
  <c r="E1223" i="6"/>
  <c r="AE1191" i="8" l="1"/>
  <c r="AD1191" i="8" s="1"/>
  <c r="E1224" i="6"/>
  <c r="D1223" i="6"/>
  <c r="AE1192" i="8" l="1"/>
  <c r="AD1192" i="8" s="1"/>
  <c r="D1224" i="6"/>
  <c r="E1225" i="6"/>
  <c r="AE1193" i="8" l="1"/>
  <c r="AD1193" i="8" s="1"/>
  <c r="E1226" i="6"/>
  <c r="D1225" i="6"/>
  <c r="AE1194" i="8" l="1"/>
  <c r="AD1194" i="8" s="1"/>
  <c r="D1226" i="6"/>
  <c r="E1227" i="6"/>
  <c r="AE1195" i="8" l="1"/>
  <c r="AD1195" i="8" s="1"/>
  <c r="E1228" i="6"/>
  <c r="D1227" i="6"/>
  <c r="AE1196" i="8" l="1"/>
  <c r="AD1196" i="8" s="1"/>
  <c r="D1228" i="6"/>
  <c r="E1229" i="6"/>
  <c r="AE1197" i="8" l="1"/>
  <c r="AD1197" i="8" s="1"/>
  <c r="E1230" i="6"/>
  <c r="D1229" i="6"/>
  <c r="AE1198" i="8" l="1"/>
  <c r="AD1198" i="8" s="1"/>
  <c r="D1230" i="6"/>
  <c r="E1231" i="6"/>
  <c r="AE1199" i="8" l="1"/>
  <c r="AD1199" i="8" s="1"/>
  <c r="E1232" i="6"/>
  <c r="D1231" i="6"/>
  <c r="AE1200" i="8" l="1"/>
  <c r="AD1200" i="8" s="1"/>
  <c r="D1232" i="6"/>
  <c r="E1233" i="6"/>
  <c r="AE1201" i="8" l="1"/>
  <c r="AD1201" i="8" s="1"/>
  <c r="E1234" i="6"/>
  <c r="D1233" i="6"/>
  <c r="AE1202" i="8" l="1"/>
  <c r="AD1202" i="8" s="1"/>
  <c r="D1234" i="6"/>
  <c r="E1235" i="6"/>
  <c r="AE1203" i="8" l="1"/>
  <c r="AD1203" i="8" s="1"/>
  <c r="E1236" i="6"/>
  <c r="D1235" i="6"/>
  <c r="AE1204" i="8" l="1"/>
  <c r="AD1204" i="8" s="1"/>
  <c r="D1236" i="6"/>
  <c r="E1237" i="6"/>
  <c r="AE1205" i="8" l="1"/>
  <c r="AD1205" i="8" s="1"/>
  <c r="E1238" i="6"/>
  <c r="D1237" i="6"/>
  <c r="AE1206" i="8" l="1"/>
  <c r="AD1206" i="8" s="1"/>
  <c r="D1238" i="6"/>
  <c r="E1239" i="6"/>
  <c r="AE1207" i="8" l="1"/>
  <c r="AD1207" i="8" s="1"/>
  <c r="E1240" i="6"/>
  <c r="D1239" i="6"/>
  <c r="AE1208" i="8" l="1"/>
  <c r="AD1208" i="8" s="1"/>
  <c r="D1240" i="6"/>
  <c r="E1241" i="6"/>
  <c r="AE1209" i="8" l="1"/>
  <c r="AD1209" i="8" s="1"/>
  <c r="E1242" i="6"/>
  <c r="D1241" i="6"/>
  <c r="AE1210" i="8" l="1"/>
  <c r="AD1210" i="8" s="1"/>
  <c r="D1242" i="6"/>
  <c r="E1243" i="6"/>
  <c r="AE1211" i="8" l="1"/>
  <c r="AD1211" i="8" s="1"/>
  <c r="E1244" i="6"/>
  <c r="D1243" i="6"/>
  <c r="AE1212" i="8" l="1"/>
  <c r="AD1212" i="8" s="1"/>
  <c r="D1244" i="6"/>
  <c r="E1245" i="6"/>
  <c r="AE1213" i="8" l="1"/>
  <c r="AD1213" i="8" s="1"/>
  <c r="E1246" i="6"/>
  <c r="D1245" i="6"/>
  <c r="AE1214" i="8" l="1"/>
  <c r="AD1214" i="8" s="1"/>
  <c r="D1246" i="6"/>
  <c r="E1247" i="6"/>
  <c r="AE1215" i="8" l="1"/>
  <c r="AD1215" i="8" s="1"/>
  <c r="E1248" i="6"/>
  <c r="D1247" i="6"/>
  <c r="AE1216" i="8" l="1"/>
  <c r="AD1216" i="8" s="1"/>
  <c r="D1248" i="6"/>
  <c r="E1249" i="6"/>
  <c r="AE1217" i="8" l="1"/>
  <c r="AD1217" i="8" s="1"/>
  <c r="E1250" i="6"/>
  <c r="D1249" i="6"/>
  <c r="AE1218" i="8" l="1"/>
  <c r="AD1218" i="8" s="1"/>
  <c r="D1250" i="6"/>
  <c r="E1251" i="6"/>
  <c r="AE1219" i="8" l="1"/>
  <c r="AD1219" i="8" s="1"/>
  <c r="E1252" i="6"/>
  <c r="D1251" i="6"/>
  <c r="AE1220" i="8" l="1"/>
  <c r="AD1220" i="8" s="1"/>
  <c r="D1252" i="6"/>
  <c r="E1253" i="6"/>
  <c r="AE1221" i="8" l="1"/>
  <c r="AD1221" i="8" s="1"/>
  <c r="E1254" i="6"/>
  <c r="D1253" i="6"/>
  <c r="AE1222" i="8" l="1"/>
  <c r="AD1222" i="8" s="1"/>
  <c r="D1254" i="6"/>
  <c r="E1255" i="6"/>
  <c r="AE1223" i="8" l="1"/>
  <c r="AD1223" i="8" s="1"/>
  <c r="E1256" i="6"/>
  <c r="D1255" i="6"/>
  <c r="AE1224" i="8" l="1"/>
  <c r="AD1224" i="8" s="1"/>
  <c r="D1256" i="6"/>
  <c r="E1257" i="6"/>
  <c r="AE1225" i="8" l="1"/>
  <c r="AD1225" i="8" s="1"/>
  <c r="E1258" i="6"/>
  <c r="D1257" i="6"/>
  <c r="AE1226" i="8" l="1"/>
  <c r="AD1226" i="8" s="1"/>
  <c r="D1258" i="6"/>
  <c r="E1259" i="6"/>
  <c r="AE1227" i="8" l="1"/>
  <c r="AD1227" i="8" s="1"/>
  <c r="E1260" i="6"/>
  <c r="D1259" i="6"/>
  <c r="AE1228" i="8" l="1"/>
  <c r="AD1228" i="8" s="1"/>
  <c r="D1260" i="6"/>
  <c r="E1261" i="6"/>
  <c r="AE1229" i="8" l="1"/>
  <c r="AD1229" i="8" s="1"/>
  <c r="E1262" i="6"/>
  <c r="D1261" i="6"/>
  <c r="AE1230" i="8" l="1"/>
  <c r="AD1230" i="8" s="1"/>
  <c r="D1262" i="6"/>
  <c r="E1263" i="6"/>
  <c r="AE1231" i="8" l="1"/>
  <c r="AD1231" i="8" s="1"/>
  <c r="E1264" i="6"/>
  <c r="D1263" i="6"/>
  <c r="AE1232" i="8" l="1"/>
  <c r="AD1232" i="8" s="1"/>
  <c r="D1264" i="6"/>
  <c r="E1265" i="6"/>
  <c r="AE1233" i="8" l="1"/>
  <c r="AD1233" i="8" s="1"/>
  <c r="E1266" i="6"/>
  <c r="D1265" i="6"/>
  <c r="AE1234" i="8" l="1"/>
  <c r="AD1234" i="8" s="1"/>
  <c r="D1266" i="6"/>
  <c r="E1267" i="6"/>
  <c r="AE1235" i="8" l="1"/>
  <c r="AD1235" i="8" s="1"/>
  <c r="E1268" i="6"/>
  <c r="D1267" i="6"/>
  <c r="AE1236" i="8" l="1"/>
  <c r="AD1236" i="8" s="1"/>
  <c r="D1268" i="6"/>
  <c r="E1269" i="6"/>
  <c r="AE1237" i="8" l="1"/>
  <c r="AD1237" i="8" s="1"/>
  <c r="E1270" i="6"/>
  <c r="D1269" i="6"/>
  <c r="AE1238" i="8" l="1"/>
  <c r="AD1238" i="8" s="1"/>
  <c r="D1270" i="6"/>
  <c r="E1271" i="6"/>
  <c r="AE1239" i="8" l="1"/>
  <c r="AD1239" i="8" s="1"/>
  <c r="E1272" i="6"/>
  <c r="D1271" i="6"/>
  <c r="AE1240" i="8" l="1"/>
  <c r="AD1240" i="8" s="1"/>
  <c r="D1272" i="6"/>
  <c r="E1273" i="6"/>
  <c r="AE1241" i="8" l="1"/>
  <c r="AD1241" i="8" s="1"/>
  <c r="E1274" i="6"/>
  <c r="D1273" i="6"/>
  <c r="AE1242" i="8" l="1"/>
  <c r="AD1242" i="8" s="1"/>
  <c r="D1274" i="6"/>
  <c r="E1275" i="6"/>
  <c r="AE1243" i="8" l="1"/>
  <c r="AD1243" i="8" s="1"/>
  <c r="E1276" i="6"/>
  <c r="D1275" i="6"/>
  <c r="AE1244" i="8" l="1"/>
  <c r="AD1244" i="8" s="1"/>
  <c r="D1276" i="6"/>
  <c r="E1277" i="6"/>
  <c r="AE1245" i="8" l="1"/>
  <c r="AD1245" i="8" s="1"/>
  <c r="E1278" i="6"/>
  <c r="D1277" i="6"/>
  <c r="AE1246" i="8" l="1"/>
  <c r="AD1246" i="8" s="1"/>
  <c r="D1278" i="6"/>
  <c r="E1279" i="6"/>
  <c r="AE1247" i="8" l="1"/>
  <c r="AD1247" i="8" s="1"/>
  <c r="E1280" i="6"/>
  <c r="D1279" i="6"/>
  <c r="AE1248" i="8" l="1"/>
  <c r="AD1248" i="8" s="1"/>
  <c r="D1280" i="6"/>
  <c r="E1281" i="6"/>
  <c r="AE1249" i="8" l="1"/>
  <c r="AD1249" i="8" s="1"/>
  <c r="E1282" i="6"/>
  <c r="D1281" i="6"/>
  <c r="AE1250" i="8" l="1"/>
  <c r="AD1250" i="8" s="1"/>
  <c r="D1282" i="6"/>
  <c r="E1283" i="6"/>
  <c r="AE1251" i="8" l="1"/>
  <c r="AD1251" i="8" s="1"/>
  <c r="E1284" i="6"/>
  <c r="D1283" i="6"/>
  <c r="AE1252" i="8" l="1"/>
  <c r="AD1252" i="8" s="1"/>
  <c r="D1284" i="6"/>
  <c r="E1285" i="6"/>
  <c r="AE1253" i="8" l="1"/>
  <c r="AD1253" i="8" s="1"/>
  <c r="E1286" i="6"/>
  <c r="D1285" i="6"/>
  <c r="AE1254" i="8" l="1"/>
  <c r="AD1254" i="8" s="1"/>
  <c r="D1286" i="6"/>
  <c r="E1287" i="6"/>
  <c r="AE1255" i="8" l="1"/>
  <c r="AD1255" i="8" s="1"/>
  <c r="E1288" i="6"/>
  <c r="D1287" i="6"/>
  <c r="AE1256" i="8" l="1"/>
  <c r="AD1256" i="8" s="1"/>
  <c r="D1288" i="6"/>
  <c r="E1289" i="6"/>
  <c r="AE1257" i="8" l="1"/>
  <c r="AD1257" i="8" s="1"/>
  <c r="E1290" i="6"/>
  <c r="D1289" i="6"/>
  <c r="AE1258" i="8" l="1"/>
  <c r="AD1258" i="8" s="1"/>
  <c r="D1290" i="6"/>
  <c r="E1291" i="6"/>
  <c r="AE1259" i="8" l="1"/>
  <c r="AD1259" i="8" s="1"/>
  <c r="E1292" i="6"/>
  <c r="D1291" i="6"/>
  <c r="AE1260" i="8" l="1"/>
  <c r="AD1260" i="8" s="1"/>
  <c r="D1292" i="6"/>
  <c r="E1293" i="6"/>
  <c r="AE1261" i="8" l="1"/>
  <c r="AD1261" i="8" s="1"/>
  <c r="E1294" i="6"/>
  <c r="D1293" i="6"/>
  <c r="AE1262" i="8" l="1"/>
  <c r="AD1262" i="8" s="1"/>
  <c r="D1294" i="6"/>
  <c r="E1295" i="6"/>
  <c r="AE1263" i="8" l="1"/>
  <c r="AD1263" i="8" s="1"/>
  <c r="E1296" i="6"/>
  <c r="D1295" i="6"/>
  <c r="AE1264" i="8" l="1"/>
  <c r="AD1264" i="8" s="1"/>
  <c r="D1296" i="6"/>
  <c r="E1297" i="6"/>
  <c r="AE1265" i="8" l="1"/>
  <c r="AD1265" i="8" s="1"/>
  <c r="E1298" i="6"/>
  <c r="D1297" i="6"/>
  <c r="AE1266" i="8" l="1"/>
  <c r="AD1266" i="8" s="1"/>
  <c r="D1298" i="6"/>
  <c r="E1299" i="6"/>
  <c r="AE1267" i="8" l="1"/>
  <c r="AD1267" i="8" s="1"/>
  <c r="E1300" i="6"/>
  <c r="D1299" i="6"/>
  <c r="AE1268" i="8" l="1"/>
  <c r="AD1268" i="8" s="1"/>
  <c r="D1300" i="6"/>
  <c r="E1301" i="6"/>
  <c r="AE1269" i="8" l="1"/>
  <c r="AD1269" i="8" s="1"/>
  <c r="E1302" i="6"/>
  <c r="D1301" i="6"/>
  <c r="AE1270" i="8" l="1"/>
  <c r="AD1270" i="8" s="1"/>
  <c r="D1302" i="6"/>
  <c r="E1303" i="6"/>
  <c r="AE1271" i="8" l="1"/>
  <c r="AD1271" i="8" s="1"/>
  <c r="E1304" i="6"/>
  <c r="D1303" i="6"/>
  <c r="AE1272" i="8" l="1"/>
  <c r="AD1272" i="8" s="1"/>
  <c r="D1304" i="6"/>
  <c r="E1305" i="6"/>
  <c r="AE1273" i="8" l="1"/>
  <c r="AD1273" i="8" s="1"/>
  <c r="E1306" i="6"/>
  <c r="D1305" i="6"/>
  <c r="AE1274" i="8" l="1"/>
  <c r="AD1274" i="8" s="1"/>
  <c r="D1306" i="6"/>
  <c r="E1307" i="6"/>
  <c r="AE1275" i="8" l="1"/>
  <c r="AD1275" i="8" s="1"/>
  <c r="E1308" i="6"/>
  <c r="D1307" i="6"/>
  <c r="AE1276" i="8" l="1"/>
  <c r="AD1276" i="8" s="1"/>
  <c r="D1308" i="6"/>
  <c r="E1309" i="6"/>
  <c r="AE1277" i="8" l="1"/>
  <c r="AD1277" i="8" s="1"/>
  <c r="E1310" i="6"/>
  <c r="D1309" i="6"/>
  <c r="AE1278" i="8" l="1"/>
  <c r="AD1278" i="8" s="1"/>
  <c r="D1310" i="6"/>
  <c r="E1311" i="6"/>
  <c r="AE1279" i="8" l="1"/>
  <c r="AD1279" i="8" s="1"/>
  <c r="E1312" i="6"/>
  <c r="D1311" i="6"/>
  <c r="AE1280" i="8" l="1"/>
  <c r="AD1280" i="8" s="1"/>
  <c r="D1312" i="6"/>
  <c r="E1313" i="6"/>
  <c r="AE1281" i="8" l="1"/>
  <c r="AD1281" i="8" s="1"/>
  <c r="E1314" i="6"/>
  <c r="D1313" i="6"/>
  <c r="AE1282" i="8" l="1"/>
  <c r="AD1282" i="8" s="1"/>
  <c r="D1314" i="6"/>
  <c r="E1315" i="6"/>
  <c r="AE1283" i="8" l="1"/>
  <c r="AD1283" i="8" s="1"/>
  <c r="E1316" i="6"/>
  <c r="D1315" i="6"/>
  <c r="AE1284" i="8" l="1"/>
  <c r="AD1284" i="8" s="1"/>
  <c r="D1316" i="6"/>
  <c r="E1317" i="6"/>
  <c r="AE1285" i="8" l="1"/>
  <c r="AD1285" i="8" s="1"/>
  <c r="E1318" i="6"/>
  <c r="D1317" i="6"/>
  <c r="AE1286" i="8" l="1"/>
  <c r="AD1286" i="8" s="1"/>
  <c r="D1318" i="6"/>
  <c r="E1319" i="6"/>
  <c r="AE1287" i="8" l="1"/>
  <c r="AD1287" i="8" s="1"/>
  <c r="E1320" i="6"/>
  <c r="D1319" i="6"/>
  <c r="AE1288" i="8" l="1"/>
  <c r="AD1288" i="8" s="1"/>
  <c r="D1320" i="6"/>
  <c r="E1321" i="6"/>
  <c r="AE1289" i="8" l="1"/>
  <c r="AD1289" i="8" s="1"/>
  <c r="E1322" i="6"/>
  <c r="D1321" i="6"/>
  <c r="AE1290" i="8" l="1"/>
  <c r="AD1290" i="8" s="1"/>
  <c r="D1322" i="6"/>
  <c r="E1323" i="6"/>
  <c r="AE1291" i="8" l="1"/>
  <c r="AD1291" i="8" s="1"/>
  <c r="E1324" i="6"/>
  <c r="D1323" i="6"/>
  <c r="AE1292" i="8" l="1"/>
  <c r="AD1292" i="8" s="1"/>
  <c r="D1324" i="6"/>
  <c r="E1325" i="6"/>
  <c r="AE1293" i="8" l="1"/>
  <c r="AD1293" i="8" s="1"/>
  <c r="E1326" i="6"/>
  <c r="D1325" i="6"/>
  <c r="AE1294" i="8" l="1"/>
  <c r="AD1294" i="8" s="1"/>
  <c r="D1326" i="6"/>
  <c r="E1327" i="6"/>
  <c r="AE1295" i="8" l="1"/>
  <c r="AD1295" i="8" s="1"/>
  <c r="E1328" i="6"/>
  <c r="D1327" i="6"/>
  <c r="AE1296" i="8" l="1"/>
  <c r="AD1296" i="8" s="1"/>
  <c r="D1328" i="6"/>
  <c r="E1329" i="6"/>
  <c r="AE1297" i="8" l="1"/>
  <c r="AD1297" i="8" s="1"/>
  <c r="E1330" i="6"/>
  <c r="D1329" i="6"/>
  <c r="AE1298" i="8" l="1"/>
  <c r="AD1298" i="8" s="1"/>
  <c r="D1330" i="6"/>
  <c r="E1331" i="6"/>
  <c r="AE1299" i="8" l="1"/>
  <c r="AD1299" i="8" s="1"/>
  <c r="E1332" i="6"/>
  <c r="D1331" i="6"/>
  <c r="AE1300" i="8" l="1"/>
  <c r="AD1300" i="8" s="1"/>
  <c r="D1332" i="6"/>
  <c r="E1333" i="6"/>
  <c r="AE1301" i="8" l="1"/>
  <c r="AD1301" i="8" s="1"/>
  <c r="E1334" i="6"/>
  <c r="D1333" i="6"/>
  <c r="AE1302" i="8" l="1"/>
  <c r="AD1302" i="8" s="1"/>
  <c r="D1334" i="6"/>
  <c r="E1335" i="6"/>
  <c r="AE1303" i="8" l="1"/>
  <c r="AD1303" i="8" s="1"/>
  <c r="E1336" i="6"/>
  <c r="D1335" i="6"/>
  <c r="AE1304" i="8" l="1"/>
  <c r="AD1304" i="8" s="1"/>
  <c r="D1336" i="6"/>
  <c r="E1337" i="6"/>
  <c r="AE1305" i="8" l="1"/>
  <c r="AD1305" i="8" s="1"/>
  <c r="E1338" i="6"/>
  <c r="D1337" i="6"/>
  <c r="AE1306" i="8" l="1"/>
  <c r="AD1306" i="8" s="1"/>
  <c r="D1338" i="6"/>
  <c r="E1339" i="6"/>
  <c r="AE1307" i="8" l="1"/>
  <c r="AD1307" i="8" s="1"/>
  <c r="E1340" i="6"/>
  <c r="D1339" i="6"/>
  <c r="AE1308" i="8" l="1"/>
  <c r="AD1308" i="8" s="1"/>
  <c r="D1340" i="6"/>
  <c r="E1341" i="6"/>
  <c r="AE1309" i="8" l="1"/>
  <c r="AD1309" i="8" s="1"/>
  <c r="E1342" i="6"/>
  <c r="D1341" i="6"/>
  <c r="AE1310" i="8" l="1"/>
  <c r="AD1310" i="8" s="1"/>
  <c r="D1342" i="6"/>
  <c r="E1343" i="6"/>
  <c r="AE1311" i="8" l="1"/>
  <c r="AD1311" i="8" s="1"/>
  <c r="E1344" i="6"/>
  <c r="D1343" i="6"/>
  <c r="AE1312" i="8" l="1"/>
  <c r="AD1312" i="8" s="1"/>
  <c r="D1344" i="6"/>
  <c r="E1345" i="6"/>
  <c r="AE1313" i="8" l="1"/>
  <c r="AD1313" i="8" s="1"/>
  <c r="E1346" i="6"/>
  <c r="D1345" i="6"/>
  <c r="AE1314" i="8" l="1"/>
  <c r="AD1314" i="8" s="1"/>
  <c r="D1346" i="6"/>
  <c r="E1347" i="6"/>
  <c r="AE1315" i="8" l="1"/>
  <c r="AD1315" i="8" s="1"/>
  <c r="E1348" i="6"/>
  <c r="D1347" i="6"/>
  <c r="AE1316" i="8" l="1"/>
  <c r="AD1316" i="8" s="1"/>
  <c r="D1348" i="6"/>
  <c r="E1349" i="6"/>
  <c r="AE1317" i="8" l="1"/>
  <c r="AD1317" i="8" s="1"/>
  <c r="E1350" i="6"/>
  <c r="D1349" i="6"/>
  <c r="AE1318" i="8" l="1"/>
  <c r="AD1318" i="8" s="1"/>
  <c r="D1350" i="6"/>
  <c r="E1351" i="6"/>
  <c r="AE1319" i="8" l="1"/>
  <c r="AD1319" i="8" s="1"/>
  <c r="E1352" i="6"/>
  <c r="D1351" i="6"/>
  <c r="AE1320" i="8" l="1"/>
  <c r="AD1320" i="8" s="1"/>
  <c r="D1352" i="6"/>
  <c r="E1353" i="6"/>
  <c r="AE1321" i="8" l="1"/>
  <c r="AD1321" i="8" s="1"/>
  <c r="E1354" i="6"/>
  <c r="D1353" i="6"/>
  <c r="AE1322" i="8" l="1"/>
  <c r="AD1322" i="8" s="1"/>
  <c r="D1354" i="6"/>
  <c r="E1355" i="6"/>
  <c r="AE1323" i="8" l="1"/>
  <c r="AD1323" i="8" s="1"/>
  <c r="E1356" i="6"/>
  <c r="D1355" i="6"/>
  <c r="AE1324" i="8" l="1"/>
  <c r="AD1324" i="8" s="1"/>
  <c r="D1356" i="6"/>
  <c r="E1357" i="6"/>
  <c r="AE1325" i="8" l="1"/>
  <c r="AD1325" i="8" s="1"/>
  <c r="E1358" i="6"/>
  <c r="D1357" i="6"/>
  <c r="AE1326" i="8" l="1"/>
  <c r="AD1326" i="8" s="1"/>
  <c r="D1358" i="6"/>
  <c r="E1359" i="6"/>
  <c r="AE1327" i="8" l="1"/>
  <c r="AD1327" i="8" s="1"/>
  <c r="E1360" i="6"/>
  <c r="D1359" i="6"/>
  <c r="AE1328" i="8" l="1"/>
  <c r="AD1328" i="8" s="1"/>
  <c r="D1360" i="6"/>
  <c r="E1361" i="6"/>
  <c r="AE1329" i="8" l="1"/>
  <c r="AD1329" i="8" s="1"/>
  <c r="E1362" i="6"/>
  <c r="D1361" i="6"/>
  <c r="AE1330" i="8" l="1"/>
  <c r="AD1330" i="8" s="1"/>
  <c r="D1362" i="6"/>
  <c r="E1363" i="6"/>
  <c r="AE1331" i="8" l="1"/>
  <c r="AD1331" i="8" s="1"/>
  <c r="E1364" i="6"/>
  <c r="D1363" i="6"/>
  <c r="AE1332" i="8" l="1"/>
  <c r="AD1332" i="8" s="1"/>
  <c r="D1364" i="6"/>
  <c r="E1365" i="6"/>
  <c r="AE1333" i="8" l="1"/>
  <c r="AD1333" i="8" s="1"/>
  <c r="E1366" i="6"/>
  <c r="D1365" i="6"/>
  <c r="AE1334" i="8" l="1"/>
  <c r="AD1334" i="8" s="1"/>
  <c r="D1366" i="6"/>
  <c r="E1367" i="6"/>
  <c r="AE1335" i="8" l="1"/>
  <c r="AD1335" i="8" s="1"/>
  <c r="E1368" i="6"/>
  <c r="D1367" i="6"/>
  <c r="AE1336" i="8" l="1"/>
  <c r="AD1336" i="8" s="1"/>
  <c r="D1368" i="6"/>
  <c r="E1369" i="6"/>
  <c r="AE1337" i="8" l="1"/>
  <c r="AD1337" i="8" s="1"/>
  <c r="E1370" i="6"/>
  <c r="D1369" i="6"/>
  <c r="AE1338" i="8" l="1"/>
  <c r="AD1338" i="8" s="1"/>
  <c r="D1370" i="6"/>
  <c r="E1371" i="6"/>
  <c r="AE1339" i="8" l="1"/>
  <c r="AD1339" i="8" s="1"/>
  <c r="E1372" i="6"/>
  <c r="D1371" i="6"/>
  <c r="AE1340" i="8" l="1"/>
  <c r="AD1340" i="8" s="1"/>
  <c r="D1372" i="6"/>
  <c r="E1373" i="6"/>
  <c r="AE1341" i="8" l="1"/>
  <c r="AD1341" i="8" s="1"/>
  <c r="E1374" i="6"/>
  <c r="D1373" i="6"/>
  <c r="AE1342" i="8" l="1"/>
  <c r="AD1342" i="8" s="1"/>
  <c r="D1374" i="6"/>
  <c r="E1375" i="6"/>
  <c r="AE1343" i="8" l="1"/>
  <c r="AD1343" i="8" s="1"/>
  <c r="E1376" i="6"/>
  <c r="D1375" i="6"/>
  <c r="AE1344" i="8" l="1"/>
  <c r="AD1344" i="8" s="1"/>
  <c r="D1376" i="6"/>
  <c r="E1377" i="6"/>
  <c r="AE1345" i="8" l="1"/>
  <c r="AD1345" i="8" s="1"/>
  <c r="E1378" i="6"/>
  <c r="D1377" i="6"/>
  <c r="AE1346" i="8" l="1"/>
  <c r="AD1346" i="8" s="1"/>
  <c r="D1378" i="6"/>
  <c r="E1379" i="6"/>
  <c r="AE1347" i="8" l="1"/>
  <c r="AD1347" i="8" s="1"/>
  <c r="E1380" i="6"/>
  <c r="D1379" i="6"/>
  <c r="AE1348" i="8" l="1"/>
  <c r="AD1348" i="8" s="1"/>
  <c r="D1380" i="6"/>
  <c r="E1381" i="6"/>
  <c r="AE1349" i="8" l="1"/>
  <c r="AD1349" i="8" s="1"/>
  <c r="E1382" i="6"/>
  <c r="D1381" i="6"/>
  <c r="AE1350" i="8" l="1"/>
  <c r="AD1350" i="8" s="1"/>
  <c r="D1382" i="6"/>
  <c r="E1383" i="6"/>
  <c r="AE1351" i="8" l="1"/>
  <c r="AD1351" i="8" s="1"/>
  <c r="E1384" i="6"/>
  <c r="D1383" i="6"/>
  <c r="AE1352" i="8" l="1"/>
  <c r="AD1352" i="8" s="1"/>
  <c r="D1384" i="6"/>
  <c r="E1385" i="6"/>
  <c r="AE1353" i="8" l="1"/>
  <c r="AD1353" i="8" s="1"/>
  <c r="E1386" i="6"/>
  <c r="D1385" i="6"/>
  <c r="AE1354" i="8" l="1"/>
  <c r="AD1354" i="8" s="1"/>
  <c r="D1386" i="6"/>
  <c r="E1387" i="6"/>
  <c r="AE1355" i="8" l="1"/>
  <c r="AD1355" i="8" s="1"/>
  <c r="E1388" i="6"/>
  <c r="D1387" i="6"/>
  <c r="AE1356" i="8" l="1"/>
  <c r="AD1356" i="8" s="1"/>
  <c r="D1388" i="6"/>
  <c r="E1389" i="6"/>
  <c r="AE1357" i="8" l="1"/>
  <c r="AD1357" i="8" s="1"/>
  <c r="E1390" i="6"/>
  <c r="D1389" i="6"/>
  <c r="AE1358" i="8" l="1"/>
  <c r="AD1358" i="8" s="1"/>
  <c r="E1391" i="6"/>
  <c r="D1390" i="6"/>
  <c r="AE1359" i="8" l="1"/>
  <c r="AD1359" i="8" s="1"/>
  <c r="E1392" i="6"/>
  <c r="D1391" i="6"/>
  <c r="AE1360" i="8" l="1"/>
  <c r="AD1360" i="8" s="1"/>
  <c r="E1393" i="6"/>
  <c r="D1392" i="6"/>
  <c r="AE1361" i="8" l="1"/>
  <c r="AD1361" i="8" s="1"/>
  <c r="E1394" i="6"/>
  <c r="D1393" i="6"/>
  <c r="AE1362" i="8" l="1"/>
  <c r="AD1362" i="8" s="1"/>
  <c r="E1395" i="6"/>
  <c r="D1394" i="6"/>
  <c r="AE1363" i="8" l="1"/>
  <c r="AD1363" i="8" s="1"/>
  <c r="E1396" i="6"/>
  <c r="D1395" i="6"/>
  <c r="AE1364" i="8" l="1"/>
  <c r="AD1364" i="8" s="1"/>
  <c r="E1397" i="6"/>
  <c r="D1396" i="6"/>
  <c r="AE1365" i="8" l="1"/>
  <c r="AD1365" i="8" s="1"/>
  <c r="E1398" i="6"/>
  <c r="D1397" i="6"/>
  <c r="AE1366" i="8" l="1"/>
  <c r="AD1366" i="8" s="1"/>
  <c r="E1399" i="6"/>
  <c r="D1398" i="6"/>
  <c r="AE1367" i="8" l="1"/>
  <c r="AD1367" i="8" s="1"/>
  <c r="E1400" i="6"/>
  <c r="D1399" i="6"/>
  <c r="AE1368" i="8" l="1"/>
  <c r="AD1368" i="8" s="1"/>
  <c r="E1401" i="6"/>
  <c r="D1400" i="6"/>
  <c r="AE1369" i="8" l="1"/>
  <c r="AD1369" i="8" s="1"/>
  <c r="E1402" i="6"/>
  <c r="D1401" i="6"/>
  <c r="AE1370" i="8" l="1"/>
  <c r="AD1370" i="8" s="1"/>
  <c r="E1403" i="6"/>
  <c r="D1402" i="6"/>
  <c r="AE1371" i="8" l="1"/>
  <c r="AD1371" i="8" s="1"/>
  <c r="E1404" i="6"/>
  <c r="D1403" i="6"/>
  <c r="AE1372" i="8" l="1"/>
  <c r="AD1372" i="8" s="1"/>
  <c r="E1405" i="6"/>
  <c r="D1404" i="6"/>
  <c r="AE1373" i="8" l="1"/>
  <c r="AD1373" i="8" s="1"/>
  <c r="E1406" i="6"/>
  <c r="D1405" i="6"/>
  <c r="AE1374" i="8" l="1"/>
  <c r="AD1374" i="8" s="1"/>
  <c r="E1407" i="6"/>
  <c r="D1406" i="6"/>
  <c r="AE1375" i="8" l="1"/>
  <c r="AD1375" i="8" s="1"/>
  <c r="E1408" i="6"/>
  <c r="D1407" i="6"/>
  <c r="AE1376" i="8" l="1"/>
  <c r="AD1376" i="8" s="1"/>
  <c r="E1409" i="6"/>
  <c r="D1408" i="6"/>
  <c r="AE1377" i="8" l="1"/>
  <c r="AD1377" i="8" s="1"/>
  <c r="E1410" i="6"/>
  <c r="D1409" i="6"/>
  <c r="AE1378" i="8" l="1"/>
  <c r="AD1378" i="8" s="1"/>
  <c r="E1411" i="6"/>
  <c r="D1410" i="6"/>
  <c r="AE1379" i="8" l="1"/>
  <c r="AD1379" i="8" s="1"/>
  <c r="E1412" i="6"/>
  <c r="D1411" i="6"/>
  <c r="AE1380" i="8" l="1"/>
  <c r="AD1380" i="8" s="1"/>
  <c r="E1413" i="6"/>
  <c r="D1412" i="6"/>
  <c r="AE1381" i="8" l="1"/>
  <c r="AD1381" i="8" s="1"/>
  <c r="E1414" i="6"/>
  <c r="D1413" i="6"/>
  <c r="AE1382" i="8" l="1"/>
  <c r="AD1382" i="8" s="1"/>
  <c r="E1415" i="6"/>
  <c r="D1414" i="6"/>
  <c r="AE1383" i="8" l="1"/>
  <c r="AD1383" i="8" s="1"/>
  <c r="E1416" i="6"/>
  <c r="D1415" i="6"/>
  <c r="AE1384" i="8" l="1"/>
  <c r="AD1384" i="8" s="1"/>
  <c r="E1417" i="6"/>
  <c r="D1416" i="6"/>
  <c r="AE1385" i="8" l="1"/>
  <c r="AD1385" i="8" s="1"/>
  <c r="E1418" i="6"/>
  <c r="D1417" i="6"/>
  <c r="AE1386" i="8" l="1"/>
  <c r="AD1386" i="8" s="1"/>
  <c r="E1419" i="6"/>
  <c r="D1418" i="6"/>
  <c r="AE1387" i="8" l="1"/>
  <c r="AD1387" i="8" s="1"/>
  <c r="E1420" i="6"/>
  <c r="D1419" i="6"/>
  <c r="AE1388" i="8" l="1"/>
  <c r="AD1388" i="8" s="1"/>
  <c r="E1421" i="6"/>
  <c r="D1420" i="6"/>
  <c r="AE1389" i="8" l="1"/>
  <c r="AD1389" i="8" s="1"/>
  <c r="E1422" i="6"/>
  <c r="D1421" i="6"/>
  <c r="AE1390" i="8" l="1"/>
  <c r="AD1390" i="8" s="1"/>
  <c r="E1423" i="6"/>
  <c r="D1422" i="6"/>
  <c r="AE1391" i="8" l="1"/>
  <c r="AD1391" i="8" s="1"/>
  <c r="E1424" i="6"/>
  <c r="D1423" i="6"/>
  <c r="AE1392" i="8" l="1"/>
  <c r="AD1392" i="8" s="1"/>
  <c r="E1425" i="6"/>
  <c r="D1424" i="6"/>
  <c r="AE1393" i="8" l="1"/>
  <c r="AD1393" i="8" s="1"/>
  <c r="E1426" i="6"/>
  <c r="D1425" i="6"/>
  <c r="AE1394" i="8" l="1"/>
  <c r="AD1394" i="8" s="1"/>
  <c r="E1427" i="6"/>
  <c r="D1426" i="6"/>
  <c r="AE1395" i="8" l="1"/>
  <c r="AD1395" i="8" s="1"/>
  <c r="E1428" i="6"/>
  <c r="D1427" i="6"/>
  <c r="AE1396" i="8" l="1"/>
  <c r="AD1396" i="8" s="1"/>
  <c r="E1429" i="6"/>
  <c r="D1428" i="6"/>
  <c r="AE1397" i="8" l="1"/>
  <c r="AD1397" i="8" s="1"/>
  <c r="E1430" i="6"/>
  <c r="D1429" i="6"/>
  <c r="AE1398" i="8" l="1"/>
  <c r="AD1398" i="8" s="1"/>
  <c r="E1431" i="6"/>
  <c r="D1430" i="6"/>
  <c r="AE1399" i="8" l="1"/>
  <c r="AD1399" i="8" s="1"/>
  <c r="E1432" i="6"/>
  <c r="D1431" i="6"/>
  <c r="AE1400" i="8" l="1"/>
  <c r="AD1400" i="8" s="1"/>
  <c r="E1433" i="6"/>
  <c r="D1432" i="6"/>
  <c r="AE1401" i="8" l="1"/>
  <c r="AD1401" i="8" s="1"/>
  <c r="E1434" i="6"/>
  <c r="D1433" i="6"/>
  <c r="AE1402" i="8" l="1"/>
  <c r="AD1402" i="8" s="1"/>
  <c r="E1435" i="6"/>
  <c r="D1434" i="6"/>
  <c r="AE1403" i="8" l="1"/>
  <c r="AD1403" i="8" s="1"/>
  <c r="E1436" i="6"/>
  <c r="D1435" i="6"/>
  <c r="AE1404" i="8" l="1"/>
  <c r="AD1404" i="8" s="1"/>
  <c r="E1437" i="6"/>
  <c r="D1436" i="6"/>
  <c r="AE1405" i="8" l="1"/>
  <c r="AD1405" i="8" s="1"/>
  <c r="E1438" i="6"/>
  <c r="D1437" i="6"/>
  <c r="AE1406" i="8" l="1"/>
  <c r="AD1406" i="8" s="1"/>
  <c r="E1439" i="6"/>
  <c r="D1438" i="6"/>
  <c r="AE1407" i="8" l="1"/>
  <c r="AD1407" i="8" s="1"/>
  <c r="E1440" i="6"/>
  <c r="D1439" i="6"/>
  <c r="AE1408" i="8" l="1"/>
  <c r="AD1408" i="8" s="1"/>
  <c r="E1441" i="6"/>
  <c r="D1440" i="6"/>
  <c r="AE1409" i="8" l="1"/>
  <c r="AD1409" i="8" s="1"/>
  <c r="E1442" i="6"/>
  <c r="D1441" i="6"/>
  <c r="AE1410" i="8" l="1"/>
  <c r="AD1410" i="8" s="1"/>
  <c r="E1443" i="6"/>
  <c r="D1442" i="6"/>
  <c r="AE1411" i="8" l="1"/>
  <c r="AD1411" i="8" s="1"/>
  <c r="E1444" i="6"/>
  <c r="D1443" i="6"/>
  <c r="AE1412" i="8" l="1"/>
  <c r="AD1412" i="8" s="1"/>
  <c r="E1445" i="6"/>
  <c r="D1444" i="6"/>
  <c r="AE1413" i="8" l="1"/>
  <c r="AD1413" i="8" s="1"/>
  <c r="E1446" i="6"/>
  <c r="D1445" i="6"/>
  <c r="AE1414" i="8" l="1"/>
  <c r="AD1414" i="8" s="1"/>
  <c r="E1447" i="6"/>
  <c r="D1446" i="6"/>
  <c r="AE1415" i="8" l="1"/>
  <c r="AD1415" i="8" s="1"/>
  <c r="E1448" i="6"/>
  <c r="D1447" i="6"/>
  <c r="AE1416" i="8" l="1"/>
  <c r="AD1416" i="8" s="1"/>
  <c r="E1449" i="6"/>
  <c r="D1448" i="6"/>
  <c r="AE1417" i="8" l="1"/>
  <c r="AD1417" i="8" s="1"/>
  <c r="E1450" i="6"/>
  <c r="D1449" i="6"/>
  <c r="AE1418" i="8" l="1"/>
  <c r="AD1418" i="8" s="1"/>
  <c r="E1451" i="6"/>
  <c r="D1450" i="6"/>
  <c r="AE1419" i="8" l="1"/>
  <c r="AD1419" i="8" s="1"/>
  <c r="E1452" i="6"/>
  <c r="D1451" i="6"/>
  <c r="AE1420" i="8" l="1"/>
  <c r="AD1420" i="8" s="1"/>
  <c r="E1453" i="6"/>
  <c r="D1452" i="6"/>
  <c r="AE1421" i="8" l="1"/>
  <c r="AD1421" i="8" s="1"/>
  <c r="E1454" i="6"/>
  <c r="D1453" i="6"/>
  <c r="AE1422" i="8" l="1"/>
  <c r="AD1422" i="8" s="1"/>
  <c r="E1455" i="6"/>
  <c r="D1454" i="6"/>
  <c r="AE1423" i="8" l="1"/>
  <c r="AD1423" i="8" s="1"/>
  <c r="E1456" i="6"/>
  <c r="D1455" i="6"/>
  <c r="AE1424" i="8" l="1"/>
  <c r="AD1424" i="8" s="1"/>
  <c r="E1457" i="6"/>
  <c r="D1456" i="6"/>
  <c r="AE1425" i="8" l="1"/>
  <c r="AD1425" i="8" s="1"/>
  <c r="E1458" i="6"/>
  <c r="D1457" i="6"/>
  <c r="AE1426" i="8" l="1"/>
  <c r="AD1426" i="8" s="1"/>
  <c r="E1459" i="6"/>
  <c r="D1458" i="6"/>
  <c r="AE1427" i="8" l="1"/>
  <c r="AD1427" i="8" s="1"/>
  <c r="E1460" i="6"/>
  <c r="D1459" i="6"/>
  <c r="AE1428" i="8" l="1"/>
  <c r="AD1428" i="8" s="1"/>
  <c r="E1461" i="6"/>
  <c r="D1460" i="6"/>
  <c r="AE1429" i="8" l="1"/>
  <c r="AD1429" i="8" s="1"/>
  <c r="E1462" i="6"/>
  <c r="D1461" i="6"/>
  <c r="AE1430" i="8" l="1"/>
  <c r="AD1430" i="8" s="1"/>
  <c r="E1463" i="6"/>
  <c r="D1462" i="6"/>
  <c r="AE1431" i="8" l="1"/>
  <c r="AD1431" i="8" s="1"/>
  <c r="E1464" i="6"/>
  <c r="D1463" i="6"/>
  <c r="AE1432" i="8" l="1"/>
  <c r="AD1432" i="8" s="1"/>
  <c r="E1465" i="6"/>
  <c r="D1464" i="6"/>
  <c r="AE1433" i="8" l="1"/>
  <c r="AD1433" i="8" s="1"/>
  <c r="E1466" i="6"/>
  <c r="D1465" i="6"/>
  <c r="AE1434" i="8" l="1"/>
  <c r="AD1434" i="8" s="1"/>
  <c r="E1467" i="6"/>
  <c r="D1466" i="6"/>
  <c r="AE1435" i="8" l="1"/>
  <c r="AD1435" i="8" s="1"/>
  <c r="E1468" i="6"/>
  <c r="D1467" i="6"/>
  <c r="AE1436" i="8" l="1"/>
  <c r="AD1436" i="8" s="1"/>
  <c r="E1469" i="6"/>
  <c r="D1468" i="6"/>
  <c r="AE1437" i="8" l="1"/>
  <c r="AD1437" i="8" s="1"/>
  <c r="E1470" i="6"/>
  <c r="D1469" i="6"/>
  <c r="AE1438" i="8" l="1"/>
  <c r="AD1438" i="8" s="1"/>
  <c r="D1470" i="6"/>
  <c r="E1471" i="6"/>
  <c r="AE1439" i="8" l="1"/>
  <c r="AD1439" i="8" s="1"/>
  <c r="E1472" i="6"/>
  <c r="D1471" i="6"/>
  <c r="AE1440" i="8" l="1"/>
  <c r="AD1440" i="8" s="1"/>
  <c r="D1472" i="6"/>
  <c r="E1473" i="6"/>
  <c r="AE1441" i="8" l="1"/>
  <c r="AD1441" i="8" s="1"/>
  <c r="E1474" i="6"/>
  <c r="D1473" i="6"/>
  <c r="AE1442" i="8" l="1"/>
  <c r="AD1442" i="8" s="1"/>
  <c r="D1474" i="6"/>
  <c r="E1475" i="6"/>
  <c r="AE1443" i="8" l="1"/>
  <c r="AD1443" i="8" s="1"/>
  <c r="E1476" i="6"/>
  <c r="D1475" i="6"/>
  <c r="AE1444" i="8" l="1"/>
  <c r="AD1444" i="8" s="1"/>
  <c r="D1476" i="6"/>
  <c r="E1477" i="6"/>
  <c r="AE1445" i="8" l="1"/>
  <c r="AD1445" i="8" s="1"/>
  <c r="E1478" i="6"/>
  <c r="D1477" i="6"/>
  <c r="AE1446" i="8" l="1"/>
  <c r="AD1446" i="8" s="1"/>
  <c r="D1478" i="6"/>
  <c r="E1479" i="6"/>
  <c r="AE1447" i="8" l="1"/>
  <c r="AD1447" i="8" s="1"/>
  <c r="E1480" i="6"/>
  <c r="D1479" i="6"/>
  <c r="AE1448" i="8" l="1"/>
  <c r="AD1448" i="8" s="1"/>
  <c r="D1480" i="6"/>
  <c r="E1481" i="6"/>
  <c r="AE1449" i="8" l="1"/>
  <c r="AD1449" i="8" s="1"/>
  <c r="E1482" i="6"/>
  <c r="D1481" i="6"/>
  <c r="AE1450" i="8" l="1"/>
  <c r="AD1450" i="8" s="1"/>
  <c r="D1482" i="6"/>
  <c r="E1483" i="6"/>
  <c r="AE1451" i="8" l="1"/>
  <c r="AD1451" i="8" s="1"/>
  <c r="E1484" i="6"/>
  <c r="D1483" i="6"/>
  <c r="AE1452" i="8" l="1"/>
  <c r="AD1452" i="8" s="1"/>
  <c r="D1484" i="6"/>
  <c r="E1485" i="6"/>
  <c r="AE1453" i="8" l="1"/>
  <c r="AD1453" i="8" s="1"/>
  <c r="E1486" i="6"/>
  <c r="D1485" i="6"/>
  <c r="AE1454" i="8" l="1"/>
  <c r="AD1454" i="8" s="1"/>
  <c r="D1486" i="6"/>
  <c r="E1487" i="6"/>
  <c r="AE1455" i="8" l="1"/>
  <c r="AD1455" i="8" s="1"/>
  <c r="E1488" i="6"/>
  <c r="D1487" i="6"/>
  <c r="AE1456" i="8" l="1"/>
  <c r="AD1456" i="8" s="1"/>
  <c r="D1488" i="6"/>
  <c r="E1489" i="6"/>
  <c r="AE1457" i="8" l="1"/>
  <c r="AD1457" i="8" s="1"/>
  <c r="E1490" i="6"/>
  <c r="D1489" i="6"/>
  <c r="AE1458" i="8" l="1"/>
  <c r="AD1458" i="8" s="1"/>
  <c r="D1490" i="6"/>
  <c r="E1491" i="6"/>
  <c r="AE1459" i="8" l="1"/>
  <c r="AD1459" i="8" s="1"/>
  <c r="E1492" i="6"/>
  <c r="D1491" i="6"/>
  <c r="AE1460" i="8" l="1"/>
  <c r="AD1460" i="8" s="1"/>
  <c r="D1492" i="6"/>
  <c r="E1493" i="6"/>
  <c r="AE1461" i="8" l="1"/>
  <c r="AD1461" i="8" s="1"/>
  <c r="E1494" i="6"/>
  <c r="D1493" i="6"/>
  <c r="AE1462" i="8" l="1"/>
  <c r="AD1462" i="8" s="1"/>
  <c r="D1494" i="6"/>
  <c r="E1495" i="6"/>
  <c r="AE1463" i="8" l="1"/>
  <c r="AD1463" i="8" s="1"/>
  <c r="E1496" i="6"/>
  <c r="D1495" i="6"/>
  <c r="AE1464" i="8" l="1"/>
  <c r="AD1464" i="8" s="1"/>
  <c r="D1496" i="6"/>
  <c r="E1497" i="6"/>
  <c r="AE1465" i="8" l="1"/>
  <c r="AD1465" i="8" s="1"/>
  <c r="E1498" i="6"/>
  <c r="D1497" i="6"/>
  <c r="AE1466" i="8" l="1"/>
  <c r="AD1466" i="8" s="1"/>
  <c r="D1498" i="6"/>
  <c r="E1499" i="6"/>
  <c r="AE1467" i="8" l="1"/>
  <c r="AD1467" i="8" s="1"/>
  <c r="E1500" i="6"/>
  <c r="D1499" i="6"/>
  <c r="AE1468" i="8" l="1"/>
  <c r="AD1468" i="8" s="1"/>
  <c r="D1500" i="6"/>
  <c r="E1501" i="6"/>
  <c r="AE1469" i="8" l="1"/>
  <c r="AD1469" i="8" s="1"/>
  <c r="E1502" i="6"/>
  <c r="D1501" i="6"/>
  <c r="AE1470" i="8" l="1"/>
  <c r="AD1470" i="8" s="1"/>
  <c r="D1502" i="6"/>
  <c r="E1503" i="6"/>
  <c r="AE1471" i="8" l="1"/>
  <c r="AD1471" i="8" s="1"/>
  <c r="E1504" i="6"/>
  <c r="D1503" i="6"/>
  <c r="AE1472" i="8" l="1"/>
  <c r="AD1472" i="8" s="1"/>
  <c r="D1504" i="6"/>
  <c r="E1505" i="6"/>
  <c r="AE1473" i="8" l="1"/>
  <c r="AD1473" i="8" s="1"/>
  <c r="E1506" i="6"/>
  <c r="D1505" i="6"/>
  <c r="AE1474" i="8" l="1"/>
  <c r="AD1474" i="8" s="1"/>
  <c r="D1506" i="6"/>
  <c r="E1507" i="6"/>
  <c r="AE1475" i="8" l="1"/>
  <c r="AD1475" i="8" s="1"/>
  <c r="E1508" i="6"/>
  <c r="D1507" i="6"/>
  <c r="AE1476" i="8" l="1"/>
  <c r="AD1476" i="8" s="1"/>
  <c r="D1508" i="6"/>
  <c r="E1509" i="6"/>
  <c r="AE1477" i="8" l="1"/>
  <c r="AD1477" i="8" s="1"/>
  <c r="E1510" i="6"/>
  <c r="D1509" i="6"/>
  <c r="AE1478" i="8" l="1"/>
  <c r="AD1478" i="8" s="1"/>
  <c r="D1510" i="6"/>
  <c r="E1511" i="6"/>
  <c r="AE1479" i="8" l="1"/>
  <c r="AD1479" i="8" s="1"/>
  <c r="E1512" i="6"/>
  <c r="D1511" i="6"/>
  <c r="AE1480" i="8" l="1"/>
  <c r="AD1480" i="8" s="1"/>
  <c r="D1512" i="6"/>
  <c r="E1513" i="6"/>
  <c r="AE1481" i="8" l="1"/>
  <c r="AD1481" i="8" s="1"/>
  <c r="E1514" i="6"/>
  <c r="D1513" i="6"/>
  <c r="AE1482" i="8" l="1"/>
  <c r="AD1482" i="8" s="1"/>
  <c r="D1514" i="6"/>
  <c r="E1515" i="6"/>
  <c r="AE1483" i="8" l="1"/>
  <c r="AD1483" i="8" s="1"/>
  <c r="E1516" i="6"/>
  <c r="D1515" i="6"/>
  <c r="AE1484" i="8" l="1"/>
  <c r="AD1484" i="8" s="1"/>
  <c r="D1516" i="6"/>
  <c r="E1517" i="6"/>
  <c r="AE1485" i="8" l="1"/>
  <c r="AD1485" i="8" s="1"/>
  <c r="E1518" i="6"/>
  <c r="D1517" i="6"/>
  <c r="AE1486" i="8" l="1"/>
  <c r="AD1486" i="8" s="1"/>
  <c r="D1518" i="6"/>
  <c r="E1519" i="6"/>
  <c r="AE1487" i="8" l="1"/>
  <c r="AD1487" i="8" s="1"/>
  <c r="E1520" i="6"/>
  <c r="D1519" i="6"/>
  <c r="AE1488" i="8" l="1"/>
  <c r="AD1488" i="8" s="1"/>
  <c r="D1520" i="6"/>
  <c r="E1521" i="6"/>
  <c r="AE1489" i="8" l="1"/>
  <c r="AD1489" i="8" s="1"/>
  <c r="E1522" i="6"/>
  <c r="D1521" i="6"/>
  <c r="AE1490" i="8" l="1"/>
  <c r="AD1490" i="8" s="1"/>
  <c r="D1522" i="6"/>
  <c r="E1523" i="6"/>
  <c r="AE1491" i="8" l="1"/>
  <c r="AD1491" i="8" s="1"/>
  <c r="E1524" i="6"/>
  <c r="D1523" i="6"/>
  <c r="AE1492" i="8" l="1"/>
  <c r="AD1492" i="8" s="1"/>
  <c r="D1524" i="6"/>
  <c r="E1525" i="6"/>
  <c r="AE1493" i="8" l="1"/>
  <c r="AD1493" i="8" s="1"/>
  <c r="E1526" i="6"/>
  <c r="D1525" i="6"/>
  <c r="AE1494" i="8" l="1"/>
  <c r="AD1494" i="8" s="1"/>
  <c r="D1526" i="6"/>
  <c r="E1527" i="6"/>
  <c r="AE1495" i="8" l="1"/>
  <c r="AD1495" i="8" s="1"/>
  <c r="E1528" i="6"/>
  <c r="D1527" i="6"/>
  <c r="AE1496" i="8" l="1"/>
  <c r="AD1496" i="8" s="1"/>
  <c r="D1528" i="6"/>
  <c r="E1529" i="6"/>
  <c r="AE1497" i="8" l="1"/>
  <c r="AD1497" i="8" s="1"/>
  <c r="E1530" i="6"/>
  <c r="D1529" i="6"/>
  <c r="AE1498" i="8" l="1"/>
  <c r="AD1498" i="8" s="1"/>
  <c r="D1530" i="6"/>
  <c r="E1531" i="6"/>
  <c r="AE1499" i="8" l="1"/>
  <c r="AD1499" i="8" s="1"/>
  <c r="E1532" i="6"/>
  <c r="D1531" i="6"/>
  <c r="AE1500" i="8" l="1"/>
  <c r="AD1500" i="8" s="1"/>
  <c r="D1532" i="6"/>
  <c r="E1533" i="6"/>
  <c r="AE1501" i="8" l="1"/>
  <c r="AD1501" i="8" s="1"/>
  <c r="E1534" i="6"/>
  <c r="D1533" i="6"/>
  <c r="AE1502" i="8" l="1"/>
  <c r="AD1502" i="8" s="1"/>
  <c r="D1534" i="6"/>
  <c r="E1535" i="6"/>
  <c r="AE1503" i="8" l="1"/>
  <c r="AD1503" i="8" s="1"/>
  <c r="E1536" i="6"/>
  <c r="D1535" i="6"/>
  <c r="AE1504" i="8" l="1"/>
  <c r="AD1504" i="8" s="1"/>
  <c r="D1536" i="6"/>
  <c r="E1537" i="6"/>
  <c r="AE1505" i="8" l="1"/>
  <c r="AD1505" i="8" s="1"/>
  <c r="E1538" i="6"/>
  <c r="D1537" i="6"/>
  <c r="AE1506" i="8" l="1"/>
  <c r="AD1506" i="8" s="1"/>
  <c r="D1538" i="6"/>
  <c r="E1539" i="6"/>
  <c r="AE1507" i="8" l="1"/>
  <c r="AD1507" i="8" s="1"/>
  <c r="E1540" i="6"/>
  <c r="D1539" i="6"/>
  <c r="AE1508" i="8" l="1"/>
  <c r="AD1508" i="8" s="1"/>
  <c r="D1540" i="6"/>
  <c r="E1541" i="6"/>
  <c r="AE1509" i="8" l="1"/>
  <c r="AD1509" i="8" s="1"/>
  <c r="E1542" i="6"/>
  <c r="D1541" i="6"/>
  <c r="AE1510" i="8" l="1"/>
  <c r="AD1510" i="8" s="1"/>
  <c r="D1542" i="6"/>
  <c r="E1543" i="6"/>
  <c r="AE1511" i="8" l="1"/>
  <c r="AD1511" i="8" s="1"/>
  <c r="E1544" i="6"/>
  <c r="D1543" i="6"/>
  <c r="AE1512" i="8" l="1"/>
  <c r="AD1512" i="8" s="1"/>
  <c r="D1544" i="6"/>
  <c r="E1545" i="6"/>
  <c r="AE1513" i="8" l="1"/>
  <c r="AD1513" i="8" s="1"/>
  <c r="E1546" i="6"/>
  <c r="D1545" i="6"/>
  <c r="AE1514" i="8" l="1"/>
  <c r="AD1514" i="8" s="1"/>
  <c r="D1546" i="6"/>
  <c r="E1547" i="6"/>
  <c r="AE1515" i="8" l="1"/>
  <c r="AD1515" i="8" s="1"/>
  <c r="E1548" i="6"/>
  <c r="D1547" i="6"/>
  <c r="AE1516" i="8" l="1"/>
  <c r="AD1516" i="8" s="1"/>
  <c r="D1548" i="6"/>
  <c r="E1549" i="6"/>
  <c r="AE1517" i="8" l="1"/>
  <c r="AD1517" i="8" s="1"/>
  <c r="E1550" i="6"/>
  <c r="D1549" i="6"/>
  <c r="AE1518" i="8" l="1"/>
  <c r="AD1518" i="8" s="1"/>
  <c r="D1550" i="6"/>
  <c r="E1551" i="6"/>
  <c r="AE1519" i="8" l="1"/>
  <c r="AD1519" i="8" s="1"/>
  <c r="E1552" i="6"/>
  <c r="D1551" i="6"/>
  <c r="AE1520" i="8" l="1"/>
  <c r="AD1520" i="8" s="1"/>
  <c r="D1552" i="6"/>
  <c r="E1553" i="6"/>
  <c r="AE1521" i="8" l="1"/>
  <c r="AD1521" i="8" s="1"/>
  <c r="E1554" i="6"/>
  <c r="D1553" i="6"/>
  <c r="AE1522" i="8" l="1"/>
  <c r="AD1522" i="8" s="1"/>
  <c r="D1554" i="6"/>
  <c r="E1555" i="6"/>
  <c r="AE1523" i="8" l="1"/>
  <c r="AD1523" i="8" s="1"/>
  <c r="E1556" i="6"/>
  <c r="D1555" i="6"/>
  <c r="AE1524" i="8" l="1"/>
  <c r="AD1524" i="8" s="1"/>
  <c r="D1556" i="6"/>
  <c r="E1557" i="6"/>
  <c r="AE1525" i="8" l="1"/>
  <c r="AD1525" i="8" s="1"/>
  <c r="E1558" i="6"/>
  <c r="D1557" i="6"/>
  <c r="AE1526" i="8" l="1"/>
  <c r="AD1526" i="8" s="1"/>
  <c r="D1558" i="6"/>
  <c r="E1559" i="6"/>
  <c r="AE1527" i="8" l="1"/>
  <c r="AD1527" i="8" s="1"/>
  <c r="E1560" i="6"/>
  <c r="D1559" i="6"/>
  <c r="AE1528" i="8" l="1"/>
  <c r="AD1528" i="8" s="1"/>
  <c r="D1560" i="6"/>
  <c r="E1561" i="6"/>
  <c r="AE1529" i="8" l="1"/>
  <c r="AD1529" i="8" s="1"/>
  <c r="E1562" i="6"/>
  <c r="D1561" i="6"/>
  <c r="AE1530" i="8" l="1"/>
  <c r="AD1530" i="8" s="1"/>
  <c r="D1562" i="6"/>
  <c r="E1563" i="6"/>
  <c r="AE1531" i="8" l="1"/>
  <c r="AD1531" i="8" s="1"/>
  <c r="E1564" i="6"/>
  <c r="D1563" i="6"/>
  <c r="AE1532" i="8" l="1"/>
  <c r="AD1532" i="8" s="1"/>
  <c r="D1564" i="6"/>
  <c r="E1565" i="6"/>
  <c r="AE1533" i="8" l="1"/>
  <c r="AD1533" i="8" s="1"/>
  <c r="E1566" i="6"/>
  <c r="D1565" i="6"/>
  <c r="AE1534" i="8" l="1"/>
  <c r="AD1534" i="8" s="1"/>
  <c r="D1566" i="6"/>
  <c r="E1567" i="6"/>
  <c r="AE1535" i="8" l="1"/>
  <c r="AD1535" i="8" s="1"/>
  <c r="E1568" i="6"/>
  <c r="D1567" i="6"/>
  <c r="AE1536" i="8" l="1"/>
  <c r="AD1536" i="8" s="1"/>
  <c r="D1568" i="6"/>
  <c r="E1569" i="6"/>
  <c r="AE1537" i="8" l="1"/>
  <c r="AD1537" i="8" s="1"/>
  <c r="E1570" i="6"/>
  <c r="D1569" i="6"/>
  <c r="AE1538" i="8" l="1"/>
  <c r="AD1538" i="8" s="1"/>
  <c r="D1570" i="6"/>
  <c r="E1571" i="6"/>
  <c r="AE1539" i="8" l="1"/>
  <c r="AD1539" i="8" s="1"/>
  <c r="E1572" i="6"/>
  <c r="D1571" i="6"/>
  <c r="AE1540" i="8" l="1"/>
  <c r="AD1540" i="8" s="1"/>
  <c r="D1572" i="6"/>
  <c r="E1573" i="6"/>
  <c r="AE1541" i="8" l="1"/>
  <c r="AD1541" i="8" s="1"/>
  <c r="E1574" i="6"/>
  <c r="D1573" i="6"/>
  <c r="AE1542" i="8" l="1"/>
  <c r="AD1542" i="8" s="1"/>
  <c r="D1574" i="6"/>
  <c r="E1575" i="6"/>
  <c r="AE1543" i="8" l="1"/>
  <c r="AD1543" i="8" s="1"/>
  <c r="E1576" i="6"/>
  <c r="D1575" i="6"/>
  <c r="AE1544" i="8" l="1"/>
  <c r="AD1544" i="8" s="1"/>
  <c r="D1576" i="6"/>
  <c r="E1577" i="6"/>
  <c r="AE1545" i="8" l="1"/>
  <c r="AD1545" i="8" s="1"/>
  <c r="E1578" i="6"/>
  <c r="D1577" i="6"/>
  <c r="AE1546" i="8" l="1"/>
  <c r="AD1546" i="8" s="1"/>
  <c r="D1578" i="6"/>
  <c r="E1579" i="6"/>
  <c r="AE1547" i="8" l="1"/>
  <c r="AD1547" i="8" s="1"/>
  <c r="E1580" i="6"/>
  <c r="D1579" i="6"/>
  <c r="AE1548" i="8" l="1"/>
  <c r="AD1548" i="8" s="1"/>
  <c r="D1580" i="6"/>
  <c r="E1581" i="6"/>
  <c r="AE1549" i="8" l="1"/>
  <c r="AD1549" i="8" s="1"/>
  <c r="E1582" i="6"/>
  <c r="D1581" i="6"/>
  <c r="AE1550" i="8" l="1"/>
  <c r="AD1550" i="8" s="1"/>
  <c r="D1582" i="6"/>
  <c r="E1583" i="6"/>
  <c r="AE1551" i="8" l="1"/>
  <c r="AD1551" i="8" s="1"/>
  <c r="E1584" i="6"/>
  <c r="D1583" i="6"/>
  <c r="AE1552" i="8" l="1"/>
  <c r="AD1552" i="8" s="1"/>
  <c r="D1584" i="6"/>
  <c r="E1585" i="6"/>
  <c r="AE1553" i="8" l="1"/>
  <c r="AD1553" i="8" s="1"/>
  <c r="E1586" i="6"/>
  <c r="D1585" i="6"/>
  <c r="AE1554" i="8" l="1"/>
  <c r="AD1554" i="8" s="1"/>
  <c r="D1586" i="6"/>
  <c r="E1587" i="6"/>
  <c r="AE1555" i="8" l="1"/>
  <c r="AD1555" i="8" s="1"/>
  <c r="E1588" i="6"/>
  <c r="D1587" i="6"/>
  <c r="AE1556" i="8" l="1"/>
  <c r="AD1556" i="8" s="1"/>
  <c r="D1588" i="6"/>
  <c r="E1589" i="6"/>
  <c r="AE1557" i="8" l="1"/>
  <c r="AD1557" i="8" s="1"/>
  <c r="E1590" i="6"/>
  <c r="D1589" i="6"/>
  <c r="AE1558" i="8" l="1"/>
  <c r="AD1558" i="8" s="1"/>
  <c r="D1590" i="6"/>
  <c r="E1591" i="6"/>
  <c r="AE1559" i="8" l="1"/>
  <c r="AD1559" i="8" s="1"/>
  <c r="E1592" i="6"/>
  <c r="D1591" i="6"/>
  <c r="AE1560" i="8" l="1"/>
  <c r="AD1560" i="8" s="1"/>
  <c r="D1592" i="6"/>
  <c r="E1593" i="6"/>
  <c r="AE1561" i="8" l="1"/>
  <c r="AD1561" i="8" s="1"/>
  <c r="E1594" i="6"/>
  <c r="D1593" i="6"/>
  <c r="AE1562" i="8" l="1"/>
  <c r="AD1562" i="8" s="1"/>
  <c r="D1594" i="6"/>
  <c r="E1595" i="6"/>
  <c r="AE1563" i="8" l="1"/>
  <c r="AD1563" i="8" s="1"/>
  <c r="E1596" i="6"/>
  <c r="D1595" i="6"/>
  <c r="AE1564" i="8" l="1"/>
  <c r="AD1564" i="8" s="1"/>
  <c r="D1596" i="6"/>
  <c r="E1597" i="6"/>
  <c r="AE1565" i="8" l="1"/>
  <c r="AD1565" i="8" s="1"/>
  <c r="E1598" i="6"/>
  <c r="D1597" i="6"/>
  <c r="AE1566" i="8" l="1"/>
  <c r="AD1566" i="8" s="1"/>
  <c r="D1598" i="6"/>
  <c r="E1599" i="6"/>
  <c r="AE1567" i="8" l="1"/>
  <c r="AD1567" i="8" s="1"/>
  <c r="E1600" i="6"/>
  <c r="D1599" i="6"/>
  <c r="AE1568" i="8" l="1"/>
  <c r="AD1568" i="8" s="1"/>
  <c r="D1600" i="6"/>
  <c r="E1601" i="6"/>
  <c r="AE1569" i="8" l="1"/>
  <c r="AD1569" i="8" s="1"/>
  <c r="E1602" i="6"/>
  <c r="D1601" i="6"/>
  <c r="AE1570" i="8" l="1"/>
  <c r="AD1570" i="8" s="1"/>
  <c r="D1602" i="6"/>
  <c r="E1603" i="6"/>
  <c r="AE1571" i="8" l="1"/>
  <c r="AD1571" i="8" s="1"/>
  <c r="E1604" i="6"/>
  <c r="D1603" i="6"/>
  <c r="AE1572" i="8" l="1"/>
  <c r="AD1572" i="8" s="1"/>
  <c r="D1604" i="6"/>
  <c r="E1605" i="6"/>
  <c r="AE1573" i="8" l="1"/>
  <c r="AD1573" i="8" s="1"/>
  <c r="E1606" i="6"/>
  <c r="D1605" i="6"/>
  <c r="AE1574" i="8" l="1"/>
  <c r="AD1574" i="8" s="1"/>
  <c r="D1606" i="6"/>
  <c r="E1607" i="6"/>
  <c r="AE1575" i="8" l="1"/>
  <c r="AD1575" i="8" s="1"/>
  <c r="E1608" i="6"/>
  <c r="D1607" i="6"/>
  <c r="AE1576" i="8" l="1"/>
  <c r="AD1576" i="8" s="1"/>
  <c r="D1608" i="6"/>
  <c r="E1609" i="6"/>
  <c r="AE1577" i="8" l="1"/>
  <c r="AD1577" i="8" s="1"/>
  <c r="E1610" i="6"/>
  <c r="D1609" i="6"/>
  <c r="AE1578" i="8" l="1"/>
  <c r="AD1578" i="8" s="1"/>
  <c r="D1610" i="6"/>
  <c r="E1611" i="6"/>
  <c r="AE1579" i="8" l="1"/>
  <c r="AD1579" i="8" s="1"/>
  <c r="E1612" i="6"/>
  <c r="D1611" i="6"/>
  <c r="AE1580" i="8" l="1"/>
  <c r="AD1580" i="8" s="1"/>
  <c r="D1612" i="6"/>
  <c r="E1613" i="6"/>
  <c r="AE1581" i="8" l="1"/>
  <c r="AD1581" i="8" s="1"/>
  <c r="E1614" i="6"/>
  <c r="D1613" i="6"/>
  <c r="AE1582" i="8" l="1"/>
  <c r="AD1582" i="8" s="1"/>
  <c r="D1614" i="6"/>
  <c r="E1615" i="6"/>
  <c r="AE1583" i="8" l="1"/>
  <c r="AD1583" i="8" s="1"/>
  <c r="E1616" i="6"/>
  <c r="D1615" i="6"/>
  <c r="AE1584" i="8" l="1"/>
  <c r="AD1584" i="8" s="1"/>
  <c r="D1616" i="6"/>
  <c r="E1617" i="6"/>
  <c r="AE1585" i="8" l="1"/>
  <c r="AD1585" i="8" s="1"/>
  <c r="E1618" i="6"/>
  <c r="D1617" i="6"/>
  <c r="AE1586" i="8" l="1"/>
  <c r="AD1586" i="8" s="1"/>
  <c r="D1618" i="6"/>
  <c r="E1619" i="6"/>
  <c r="AE1587" i="8" l="1"/>
  <c r="AD1587" i="8" s="1"/>
  <c r="E1620" i="6"/>
  <c r="D1619" i="6"/>
  <c r="AE1588" i="8" l="1"/>
  <c r="AD1588" i="8" s="1"/>
  <c r="D1620" i="6"/>
  <c r="E1621" i="6"/>
  <c r="AE1589" i="8" l="1"/>
  <c r="AD1589" i="8" s="1"/>
  <c r="E1622" i="6"/>
  <c r="D1621" i="6"/>
  <c r="AE1590" i="8" l="1"/>
  <c r="AD1590" i="8" s="1"/>
  <c r="D1622" i="6"/>
  <c r="E1623" i="6"/>
  <c r="AE1591" i="8" l="1"/>
  <c r="AD1591" i="8" s="1"/>
  <c r="E1624" i="6"/>
  <c r="D1623" i="6"/>
  <c r="AE1592" i="8" l="1"/>
  <c r="AD1592" i="8" s="1"/>
  <c r="D1624" i="6"/>
  <c r="E1625" i="6"/>
  <c r="AE1593" i="8" l="1"/>
  <c r="AD1593" i="8" s="1"/>
  <c r="E1626" i="6"/>
  <c r="D1625" i="6"/>
  <c r="AE1594" i="8" l="1"/>
  <c r="AD1594" i="8" s="1"/>
  <c r="D1626" i="6"/>
  <c r="E1627" i="6"/>
  <c r="AE1595" i="8" l="1"/>
  <c r="AD1595" i="8" s="1"/>
  <c r="E1628" i="6"/>
  <c r="D1627" i="6"/>
  <c r="AE1596" i="8" l="1"/>
  <c r="AD1596" i="8" s="1"/>
  <c r="D1628" i="6"/>
  <c r="E1629" i="6"/>
  <c r="AE1597" i="8" l="1"/>
  <c r="AD1597" i="8" s="1"/>
  <c r="E1630" i="6"/>
  <c r="D1629" i="6"/>
  <c r="AE1598" i="8" l="1"/>
  <c r="AD1598" i="8" s="1"/>
  <c r="D1630" i="6"/>
  <c r="E1631" i="6"/>
  <c r="AE1599" i="8" l="1"/>
  <c r="AD1599" i="8" s="1"/>
  <c r="E1632" i="6"/>
  <c r="D1631" i="6"/>
  <c r="AE1600" i="8" l="1"/>
  <c r="AD1600" i="8" s="1"/>
  <c r="D1632" i="6"/>
  <c r="E1633" i="6"/>
  <c r="AE1601" i="8" l="1"/>
  <c r="AD1601" i="8" s="1"/>
  <c r="E1634" i="6"/>
  <c r="D1633" i="6"/>
  <c r="AE1602" i="8" l="1"/>
  <c r="AD1602" i="8" s="1"/>
  <c r="D1634" i="6"/>
  <c r="E1635" i="6"/>
  <c r="AE1603" i="8" l="1"/>
  <c r="AD1603" i="8" s="1"/>
  <c r="E1636" i="6"/>
  <c r="D1635" i="6"/>
  <c r="AE1604" i="8" l="1"/>
  <c r="AD1604" i="8" s="1"/>
  <c r="D1636" i="6"/>
  <c r="E1637" i="6"/>
  <c r="AE1605" i="8" l="1"/>
  <c r="AD1605" i="8" s="1"/>
  <c r="E1638" i="6"/>
  <c r="D1637" i="6"/>
  <c r="AE1606" i="8" l="1"/>
  <c r="AD1606" i="8" s="1"/>
  <c r="D1638" i="6"/>
  <c r="E1639" i="6"/>
  <c r="AE1607" i="8" l="1"/>
  <c r="AD1607" i="8" s="1"/>
  <c r="E1640" i="6"/>
  <c r="D1639" i="6"/>
  <c r="AE1608" i="8" l="1"/>
  <c r="AD1608" i="8" s="1"/>
  <c r="D1640" i="6"/>
  <c r="E1641" i="6"/>
  <c r="AE1609" i="8" l="1"/>
  <c r="AD1609" i="8" s="1"/>
  <c r="E1642" i="6"/>
  <c r="D1641" i="6"/>
  <c r="AE1610" i="8" l="1"/>
  <c r="AD1610" i="8" s="1"/>
  <c r="D1642" i="6"/>
  <c r="E1643" i="6"/>
  <c r="AE1611" i="8" l="1"/>
  <c r="AD1611" i="8" s="1"/>
  <c r="E1644" i="6"/>
  <c r="D1643" i="6"/>
  <c r="AE1612" i="8" l="1"/>
  <c r="AD1612" i="8" s="1"/>
  <c r="D1644" i="6"/>
  <c r="E1645" i="6"/>
  <c r="AE1613" i="8" l="1"/>
  <c r="AD1613" i="8" s="1"/>
  <c r="E1646" i="6"/>
  <c r="D1645" i="6"/>
  <c r="AE1614" i="8" l="1"/>
  <c r="AD1614" i="8" s="1"/>
  <c r="D1646" i="6"/>
  <c r="E1647" i="6"/>
  <c r="AE1615" i="8" l="1"/>
  <c r="AD1615" i="8" s="1"/>
  <c r="E1648" i="6"/>
  <c r="D1647" i="6"/>
  <c r="AE1616" i="8" l="1"/>
  <c r="AD1616" i="8" s="1"/>
  <c r="D1648" i="6"/>
  <c r="E1649" i="6"/>
  <c r="AE1617" i="8" l="1"/>
  <c r="AD1617" i="8" s="1"/>
  <c r="E1650" i="6"/>
  <c r="D1649" i="6"/>
  <c r="AE1618" i="8" l="1"/>
  <c r="AD1618" i="8" s="1"/>
  <c r="D1650" i="6"/>
  <c r="E1651" i="6"/>
  <c r="AE1619" i="8" l="1"/>
  <c r="AD1619" i="8" s="1"/>
  <c r="E1652" i="6"/>
  <c r="D1651" i="6"/>
  <c r="AE1620" i="8" l="1"/>
  <c r="AD1620" i="8" s="1"/>
  <c r="D1652" i="6"/>
  <c r="E1653" i="6"/>
  <c r="AE1621" i="8" l="1"/>
  <c r="AD1621" i="8" s="1"/>
  <c r="E1654" i="6"/>
  <c r="D1653" i="6"/>
  <c r="AE1622" i="8" l="1"/>
  <c r="AD1622" i="8" s="1"/>
  <c r="D1654" i="6"/>
  <c r="E1655" i="6"/>
  <c r="AE1623" i="8" l="1"/>
  <c r="AD1623" i="8" s="1"/>
  <c r="E1656" i="6"/>
  <c r="D1655" i="6"/>
  <c r="AE1624" i="8" l="1"/>
  <c r="AD1624" i="8" s="1"/>
  <c r="D1656" i="6"/>
  <c r="E1657" i="6"/>
  <c r="AE1625" i="8" l="1"/>
  <c r="AD1625" i="8" s="1"/>
  <c r="E1658" i="6"/>
  <c r="D1657" i="6"/>
  <c r="AE1626" i="8" l="1"/>
  <c r="AD1626" i="8" s="1"/>
  <c r="D1658" i="6"/>
  <c r="E1659" i="6"/>
  <c r="AE1627" i="8" l="1"/>
  <c r="AD1627" i="8" s="1"/>
  <c r="E1660" i="6"/>
  <c r="D1659" i="6"/>
  <c r="AE1628" i="8" l="1"/>
  <c r="AD1628" i="8" s="1"/>
  <c r="D1660" i="6"/>
  <c r="E1661" i="6"/>
  <c r="AE1629" i="8" l="1"/>
  <c r="AD1629" i="8" s="1"/>
  <c r="E1662" i="6"/>
  <c r="D1661" i="6"/>
  <c r="AE1630" i="8" l="1"/>
  <c r="AD1630" i="8" s="1"/>
  <c r="D1662" i="6"/>
  <c r="E1663" i="6"/>
  <c r="AE1631" i="8" l="1"/>
  <c r="AD1631" i="8" s="1"/>
  <c r="E1664" i="6"/>
  <c r="D1663" i="6"/>
  <c r="AE1632" i="8" l="1"/>
  <c r="AD1632" i="8" s="1"/>
  <c r="D1664" i="6"/>
  <c r="E1665" i="6"/>
  <c r="AE1633" i="8" l="1"/>
  <c r="AD1633" i="8" s="1"/>
  <c r="E1666" i="6"/>
  <c r="D1665" i="6"/>
  <c r="AE1634" i="8" l="1"/>
  <c r="AD1634" i="8" s="1"/>
  <c r="D1666" i="6"/>
  <c r="E1667" i="6"/>
  <c r="AE1635" i="8" l="1"/>
  <c r="AD1635" i="8" s="1"/>
  <c r="E1668" i="6"/>
  <c r="D1667" i="6"/>
  <c r="AE1636" i="8" l="1"/>
  <c r="AD1636" i="8" s="1"/>
  <c r="D1668" i="6"/>
  <c r="E1669" i="6"/>
  <c r="AE1637" i="8" l="1"/>
  <c r="AD1637" i="8" s="1"/>
  <c r="E1670" i="6"/>
  <c r="D1669" i="6"/>
  <c r="AE1638" i="8" l="1"/>
  <c r="AD1638" i="8" s="1"/>
  <c r="D1670" i="6"/>
  <c r="E1671" i="6"/>
  <c r="AE1639" i="8" l="1"/>
  <c r="AD1639" i="8" s="1"/>
  <c r="E1672" i="6"/>
  <c r="D1671" i="6"/>
  <c r="AE1640" i="8" l="1"/>
  <c r="AD1640" i="8" s="1"/>
  <c r="D1672" i="6"/>
  <c r="E1673" i="6"/>
  <c r="AE1641" i="8" l="1"/>
  <c r="AD1641" i="8" s="1"/>
  <c r="E1674" i="6"/>
  <c r="D1673" i="6"/>
  <c r="AE1642" i="8" l="1"/>
  <c r="AD1642" i="8" s="1"/>
  <c r="D1674" i="6"/>
  <c r="E1675" i="6"/>
  <c r="AE1643" i="8" l="1"/>
  <c r="AD1643" i="8" s="1"/>
  <c r="E1676" i="6"/>
  <c r="D1675" i="6"/>
  <c r="AE1644" i="8" l="1"/>
  <c r="AD1644" i="8" s="1"/>
  <c r="D1676" i="6"/>
  <c r="E1677" i="6"/>
  <c r="AE1645" i="8" l="1"/>
  <c r="AD1645" i="8" s="1"/>
  <c r="E1678" i="6"/>
  <c r="D1677" i="6"/>
  <c r="AE1646" i="8" l="1"/>
  <c r="AD1646" i="8" s="1"/>
  <c r="D1678" i="6"/>
  <c r="E1679" i="6"/>
  <c r="AE1647" i="8" l="1"/>
  <c r="AD1647" i="8" s="1"/>
  <c r="E1680" i="6"/>
  <c r="D1679" i="6"/>
  <c r="AE1648" i="8" l="1"/>
  <c r="AD1648" i="8" s="1"/>
  <c r="D1680" i="6"/>
  <c r="E1681" i="6"/>
  <c r="AE1649" i="8" l="1"/>
  <c r="AD1649" i="8" s="1"/>
  <c r="E1682" i="6"/>
  <c r="D1681" i="6"/>
  <c r="AE1650" i="8" l="1"/>
  <c r="AD1650" i="8" s="1"/>
  <c r="D1682" i="6"/>
  <c r="E1683" i="6"/>
  <c r="AE1651" i="8" l="1"/>
  <c r="AD1651" i="8" s="1"/>
  <c r="E1684" i="6"/>
  <c r="D1683" i="6"/>
  <c r="AE1652" i="8" l="1"/>
  <c r="AD1652" i="8" s="1"/>
  <c r="D1684" i="6"/>
  <c r="E1685" i="6"/>
  <c r="AE1653" i="8" l="1"/>
  <c r="AD1653" i="8" s="1"/>
  <c r="E1686" i="6"/>
  <c r="D1685" i="6"/>
  <c r="AE1654" i="8" l="1"/>
  <c r="AD1654" i="8" s="1"/>
  <c r="D1686" i="6"/>
  <c r="E1687" i="6"/>
  <c r="AE1655" i="8" l="1"/>
  <c r="AD1655" i="8" s="1"/>
  <c r="E1688" i="6"/>
  <c r="D1687" i="6"/>
  <c r="AE1656" i="8" l="1"/>
  <c r="AD1656" i="8" s="1"/>
  <c r="D1688" i="6"/>
  <c r="E1689" i="6"/>
  <c r="AE1657" i="8" l="1"/>
  <c r="AD1657" i="8" s="1"/>
  <c r="E1690" i="6"/>
  <c r="D1689" i="6"/>
  <c r="AE1658" i="8" l="1"/>
  <c r="AD1658" i="8" s="1"/>
  <c r="D1690" i="6"/>
  <c r="E1691" i="6"/>
  <c r="AE1659" i="8" l="1"/>
  <c r="AD1659" i="8" s="1"/>
  <c r="E1692" i="6"/>
  <c r="D1691" i="6"/>
  <c r="AE1660" i="8" l="1"/>
  <c r="AD1660" i="8" s="1"/>
  <c r="D1692" i="6"/>
  <c r="E1693" i="6"/>
  <c r="AE1661" i="8" l="1"/>
  <c r="AD1661" i="8" s="1"/>
  <c r="E1694" i="6"/>
  <c r="D1693" i="6"/>
  <c r="AE1662" i="8" l="1"/>
  <c r="AD1662" i="8" s="1"/>
  <c r="D1694" i="6"/>
  <c r="E1695" i="6"/>
  <c r="AE1663" i="8" l="1"/>
  <c r="AD1663" i="8" s="1"/>
  <c r="E1696" i="6"/>
  <c r="D1695" i="6"/>
  <c r="AE1664" i="8" l="1"/>
  <c r="AD1664" i="8" s="1"/>
  <c r="D1696" i="6"/>
  <c r="E1697" i="6"/>
  <c r="AE1665" i="8" l="1"/>
  <c r="AD1665" i="8" s="1"/>
  <c r="E1698" i="6"/>
  <c r="D1697" i="6"/>
  <c r="AE1666" i="8" l="1"/>
  <c r="AD1666" i="8" s="1"/>
  <c r="D1698" i="6"/>
  <c r="E1699" i="6"/>
  <c r="AE1667" i="8" l="1"/>
  <c r="AD1667" i="8" s="1"/>
  <c r="E1700" i="6"/>
  <c r="D1699" i="6"/>
  <c r="AE1668" i="8" l="1"/>
  <c r="AD1668" i="8" s="1"/>
  <c r="D1700" i="6"/>
  <c r="E1701" i="6"/>
  <c r="AE1669" i="8" l="1"/>
  <c r="AD1669" i="8" s="1"/>
  <c r="E1702" i="6"/>
  <c r="D1701" i="6"/>
  <c r="AE1670" i="8" l="1"/>
  <c r="AD1670" i="8" s="1"/>
  <c r="D1702" i="6"/>
  <c r="E1703" i="6"/>
  <c r="AE1671" i="8" l="1"/>
  <c r="AD1671" i="8" s="1"/>
  <c r="E1704" i="6"/>
  <c r="D1703" i="6"/>
  <c r="AE1672" i="8" l="1"/>
  <c r="AD1672" i="8" s="1"/>
  <c r="D1704" i="6"/>
  <c r="E1705" i="6"/>
  <c r="AE1673" i="8" l="1"/>
  <c r="AD1673" i="8" s="1"/>
  <c r="D1705" i="6"/>
  <c r="E1706" i="6"/>
  <c r="AE1674" i="8" l="1"/>
  <c r="AD1674" i="8" s="1"/>
  <c r="D1706" i="6"/>
  <c r="E1707" i="6"/>
  <c r="AE1675" i="8" l="1"/>
  <c r="AD1675" i="8" s="1"/>
  <c r="D1707" i="6"/>
  <c r="E1708" i="6"/>
  <c r="AE1676" i="8" l="1"/>
  <c r="AD1676" i="8" s="1"/>
  <c r="D1708" i="6"/>
  <c r="E1709" i="6"/>
  <c r="AE1677" i="8" l="1"/>
  <c r="AD1677" i="8" s="1"/>
  <c r="D1709" i="6"/>
  <c r="E1710" i="6"/>
  <c r="AE1678" i="8" l="1"/>
  <c r="AD1678" i="8" s="1"/>
  <c r="D1710" i="6"/>
  <c r="E1711" i="6"/>
  <c r="AE1679" i="8" l="1"/>
  <c r="AD1679" i="8" s="1"/>
  <c r="D1711" i="6"/>
  <c r="E1712" i="6"/>
  <c r="AE1680" i="8" l="1"/>
  <c r="AD1680" i="8" s="1"/>
  <c r="D1712" i="6"/>
  <c r="E1713" i="6"/>
  <c r="AE1681" i="8" l="1"/>
  <c r="AD1681" i="8" s="1"/>
  <c r="D1713" i="6"/>
  <c r="E1714" i="6"/>
  <c r="AE1682" i="8" l="1"/>
  <c r="AD1682" i="8" s="1"/>
  <c r="D1714" i="6"/>
  <c r="E1715" i="6"/>
  <c r="AE1683" i="8" l="1"/>
  <c r="AD1683" i="8" s="1"/>
  <c r="D1715" i="6"/>
  <c r="E1716" i="6"/>
  <c r="AE1684" i="8" l="1"/>
  <c r="AD1684" i="8" s="1"/>
  <c r="D1716" i="6"/>
  <c r="E1717" i="6"/>
  <c r="AE1685" i="8" l="1"/>
  <c r="AD1685" i="8" s="1"/>
  <c r="D1717" i="6"/>
  <c r="E1718" i="6"/>
  <c r="AE1686" i="8" l="1"/>
  <c r="AD1686" i="8" s="1"/>
  <c r="D1718" i="6"/>
  <c r="E1719" i="6"/>
  <c r="AE1687" i="8" l="1"/>
  <c r="AD1687" i="8" s="1"/>
  <c r="D1719" i="6"/>
  <c r="E1720" i="6"/>
  <c r="AE1688" i="8" l="1"/>
  <c r="AD1688" i="8" s="1"/>
  <c r="D1720" i="6"/>
  <c r="E1721" i="6"/>
  <c r="AE1689" i="8" l="1"/>
  <c r="AD1689" i="8" s="1"/>
  <c r="D1721" i="6"/>
  <c r="E1722" i="6"/>
  <c r="AE1690" i="8" l="1"/>
  <c r="AD1690" i="8" s="1"/>
  <c r="D1722" i="6"/>
  <c r="E1723" i="6"/>
  <c r="AE1691" i="8" l="1"/>
  <c r="AD1691" i="8" s="1"/>
  <c r="D1723" i="6"/>
  <c r="E1724" i="6"/>
  <c r="AE1692" i="8" l="1"/>
  <c r="AD1692" i="8" s="1"/>
  <c r="D1724" i="6"/>
  <c r="E1725" i="6"/>
  <c r="AE1693" i="8" l="1"/>
  <c r="AD1693" i="8" s="1"/>
  <c r="D1725" i="6"/>
  <c r="E1726" i="6"/>
  <c r="AE1694" i="8" l="1"/>
  <c r="AD1694" i="8" s="1"/>
  <c r="D1726" i="6"/>
  <c r="E1727" i="6"/>
  <c r="AE1695" i="8" l="1"/>
  <c r="AD1695" i="8" s="1"/>
  <c r="D1727" i="6"/>
  <c r="E1728" i="6"/>
  <c r="AE1696" i="8" l="1"/>
  <c r="AD1696" i="8" s="1"/>
  <c r="D1728" i="6"/>
  <c r="E1729" i="6"/>
  <c r="AE1697" i="8" l="1"/>
  <c r="AD1697" i="8" s="1"/>
  <c r="D1729" i="6"/>
  <c r="E1730" i="6"/>
  <c r="AE1698" i="8" l="1"/>
  <c r="AD1698" i="8" s="1"/>
  <c r="D1730" i="6"/>
  <c r="E1731" i="6"/>
  <c r="AE1699" i="8" l="1"/>
  <c r="AD1699" i="8" s="1"/>
  <c r="D1731" i="6"/>
  <c r="E1732" i="6"/>
  <c r="AE1700" i="8" l="1"/>
  <c r="AD1700" i="8" s="1"/>
  <c r="D1732" i="6"/>
  <c r="E1733" i="6"/>
  <c r="AE1701" i="8" l="1"/>
  <c r="AD1701" i="8" s="1"/>
  <c r="D1733" i="6"/>
  <c r="E1734" i="6"/>
  <c r="AE1702" i="8" l="1"/>
  <c r="AD1702" i="8" s="1"/>
  <c r="D1734" i="6"/>
  <c r="E1735" i="6"/>
  <c r="AE1703" i="8" l="1"/>
  <c r="AD1703" i="8" s="1"/>
  <c r="D1735" i="6"/>
  <c r="E1736" i="6"/>
  <c r="AE1704" i="8" l="1"/>
  <c r="AD1704" i="8" s="1"/>
  <c r="D1736" i="6"/>
  <c r="E1737" i="6"/>
  <c r="AE1705" i="8" l="1"/>
  <c r="AD1705" i="8" s="1"/>
  <c r="D1737" i="6"/>
  <c r="E1738" i="6"/>
  <c r="AE1706" i="8" l="1"/>
  <c r="AD1706" i="8" s="1"/>
  <c r="D1738" i="6"/>
  <c r="E1739" i="6"/>
  <c r="AE1707" i="8" l="1"/>
  <c r="AD1707" i="8" s="1"/>
  <c r="D1739" i="6"/>
  <c r="E1740" i="6"/>
  <c r="AE1708" i="8" l="1"/>
  <c r="AD1708" i="8" s="1"/>
  <c r="D1740" i="6"/>
  <c r="E1741" i="6"/>
  <c r="AE1709" i="8" l="1"/>
  <c r="AD1709" i="8" s="1"/>
  <c r="D1741" i="6"/>
  <c r="E1742" i="6"/>
  <c r="AE1710" i="8" l="1"/>
  <c r="AD1710" i="8" s="1"/>
  <c r="D1742" i="6"/>
  <c r="E1743" i="6"/>
  <c r="AE1711" i="8" l="1"/>
  <c r="AD1711" i="8" s="1"/>
  <c r="D1743" i="6"/>
  <c r="E1744" i="6"/>
  <c r="AE1712" i="8" l="1"/>
  <c r="AD1712" i="8" s="1"/>
  <c r="D1744" i="6"/>
  <c r="E1745" i="6"/>
  <c r="AE1713" i="8" l="1"/>
  <c r="AD1713" i="8" s="1"/>
  <c r="D1745" i="6"/>
  <c r="E1746" i="6"/>
  <c r="AE1714" i="8" l="1"/>
  <c r="AD1714" i="8" s="1"/>
  <c r="D1746" i="6"/>
  <c r="E1747" i="6"/>
  <c r="AE1715" i="8" l="1"/>
  <c r="AD1715" i="8" s="1"/>
  <c r="D1747" i="6"/>
  <c r="E1748" i="6"/>
  <c r="AE1716" i="8" l="1"/>
  <c r="AD1716" i="8" s="1"/>
  <c r="D1748" i="6"/>
  <c r="E1749" i="6"/>
  <c r="AE1717" i="8" l="1"/>
  <c r="AD1717" i="8" s="1"/>
  <c r="D1749" i="6"/>
  <c r="E1750" i="6"/>
  <c r="AE1718" i="8" l="1"/>
  <c r="AD1718" i="8" s="1"/>
  <c r="D1750" i="6"/>
  <c r="E1751" i="6"/>
  <c r="AE1719" i="8" l="1"/>
  <c r="AD1719" i="8" s="1"/>
  <c r="D1751" i="6"/>
  <c r="E1752" i="6"/>
  <c r="AE1720" i="8" l="1"/>
  <c r="AD1720" i="8" s="1"/>
  <c r="D1752" i="6"/>
  <c r="E1753" i="6"/>
  <c r="AE1721" i="8" l="1"/>
  <c r="AD1721" i="8" s="1"/>
  <c r="D1753" i="6"/>
  <c r="E1754" i="6"/>
  <c r="AE1722" i="8" l="1"/>
  <c r="AD1722" i="8" s="1"/>
  <c r="D1754" i="6"/>
  <c r="E1755" i="6"/>
  <c r="AE1723" i="8" l="1"/>
  <c r="AD1723" i="8" s="1"/>
  <c r="D1755" i="6"/>
  <c r="E1756" i="6"/>
  <c r="AE1724" i="8" l="1"/>
  <c r="AD1724" i="8" s="1"/>
  <c r="D1756" i="6"/>
  <c r="E1757" i="6"/>
  <c r="AE1725" i="8" l="1"/>
  <c r="AD1725" i="8" s="1"/>
  <c r="D1757" i="6"/>
  <c r="E1758" i="6"/>
  <c r="AE1726" i="8" l="1"/>
  <c r="AD1726" i="8" s="1"/>
  <c r="D1758" i="6"/>
  <c r="E1759" i="6"/>
  <c r="AE1727" i="8" l="1"/>
  <c r="AD1727" i="8" s="1"/>
  <c r="D1759" i="6"/>
  <c r="E1760" i="6"/>
  <c r="AE1728" i="8" l="1"/>
  <c r="AD1728" i="8" s="1"/>
  <c r="D1760" i="6"/>
  <c r="E1761" i="6"/>
  <c r="AE1729" i="8" l="1"/>
  <c r="AD1729" i="8" s="1"/>
  <c r="D1761" i="6"/>
  <c r="E1762" i="6"/>
  <c r="AE1730" i="8" l="1"/>
  <c r="AD1730" i="8" s="1"/>
  <c r="D1762" i="6"/>
  <c r="E1763" i="6"/>
  <c r="AE1731" i="8" l="1"/>
  <c r="AD1731" i="8" s="1"/>
  <c r="D1763" i="6"/>
  <c r="E1764" i="6"/>
  <c r="AE1732" i="8" l="1"/>
  <c r="AD1732" i="8" s="1"/>
  <c r="D1764" i="6"/>
  <c r="E1765" i="6"/>
  <c r="AE1733" i="8" l="1"/>
  <c r="AD1733" i="8" s="1"/>
  <c r="D1765" i="6"/>
  <c r="E1766" i="6"/>
  <c r="AE1734" i="8" l="1"/>
  <c r="AD1734" i="8" s="1"/>
  <c r="D1766" i="6"/>
  <c r="E1767" i="6"/>
  <c r="AE1735" i="8" l="1"/>
  <c r="AD1735" i="8" s="1"/>
  <c r="D1767" i="6"/>
  <c r="E1768" i="6"/>
  <c r="AE1736" i="8" l="1"/>
  <c r="AD1736" i="8" s="1"/>
  <c r="D1768" i="6"/>
  <c r="E1769" i="6"/>
  <c r="AE1737" i="8" l="1"/>
  <c r="AD1737" i="8" s="1"/>
  <c r="D1769" i="6"/>
  <c r="E1770" i="6"/>
  <c r="AE1738" i="8" l="1"/>
  <c r="AD1738" i="8" s="1"/>
  <c r="D1770" i="6"/>
  <c r="E1771" i="6"/>
  <c r="AE1739" i="8" l="1"/>
  <c r="AD1739" i="8" s="1"/>
  <c r="D1771" i="6"/>
  <c r="E1772" i="6"/>
  <c r="AE1740" i="8" l="1"/>
  <c r="AD1740" i="8" s="1"/>
  <c r="D1772" i="6"/>
  <c r="E1773" i="6"/>
  <c r="AE1741" i="8" l="1"/>
  <c r="AD1741" i="8" s="1"/>
  <c r="D1773" i="6"/>
  <c r="E1774" i="6"/>
  <c r="AE1742" i="8" l="1"/>
  <c r="AD1742" i="8" s="1"/>
  <c r="D1774" i="6"/>
  <c r="E1775" i="6"/>
  <c r="AE1743" i="8" l="1"/>
  <c r="AD1743" i="8" s="1"/>
  <c r="D1775" i="6"/>
  <c r="E1776" i="6"/>
  <c r="AE1744" i="8" l="1"/>
  <c r="AD1744" i="8" s="1"/>
  <c r="D1776" i="6"/>
  <c r="E1777" i="6"/>
  <c r="AE1745" i="8" l="1"/>
  <c r="AD1745" i="8" s="1"/>
  <c r="D1777" i="6"/>
  <c r="E1778" i="6"/>
  <c r="AE1746" i="8" l="1"/>
  <c r="AD1746" i="8" s="1"/>
  <c r="D1778" i="6"/>
  <c r="E1779" i="6"/>
  <c r="AE1747" i="8" l="1"/>
  <c r="AD1747" i="8" s="1"/>
  <c r="D1779" i="6"/>
  <c r="E1780" i="6"/>
  <c r="AE1748" i="8" l="1"/>
  <c r="AD1748" i="8" s="1"/>
  <c r="D1780" i="6"/>
  <c r="E1781" i="6"/>
  <c r="AE1749" i="8" l="1"/>
  <c r="AD1749" i="8" s="1"/>
  <c r="D1781" i="6"/>
  <c r="E1782" i="6"/>
  <c r="AE1750" i="8" l="1"/>
  <c r="AD1750" i="8" s="1"/>
  <c r="D1782" i="6"/>
  <c r="E1783" i="6"/>
  <c r="AE1751" i="8" l="1"/>
  <c r="AD1751" i="8" s="1"/>
  <c r="D1783" i="6"/>
  <c r="E1784" i="6"/>
  <c r="AE1752" i="8" l="1"/>
  <c r="AD1752" i="8" s="1"/>
  <c r="D1784" i="6"/>
  <c r="E1785" i="6"/>
  <c r="AE1753" i="8" l="1"/>
  <c r="AD1753" i="8" s="1"/>
  <c r="D1785" i="6"/>
  <c r="E1786" i="6"/>
  <c r="AE1754" i="8" l="1"/>
  <c r="AD1754" i="8" s="1"/>
  <c r="D1786" i="6"/>
  <c r="E1787" i="6"/>
  <c r="AE1755" i="8" l="1"/>
  <c r="AD1755" i="8" s="1"/>
  <c r="D1787" i="6"/>
  <c r="E1788" i="6"/>
  <c r="AE1756" i="8" l="1"/>
  <c r="AD1756" i="8" s="1"/>
  <c r="D1788" i="6"/>
  <c r="E1789" i="6"/>
  <c r="AE1757" i="8" l="1"/>
  <c r="AD1757" i="8" s="1"/>
  <c r="D1789" i="6"/>
  <c r="E1790" i="6"/>
  <c r="AE1758" i="8" l="1"/>
  <c r="AD1758" i="8" s="1"/>
  <c r="D1790" i="6"/>
  <c r="E1791" i="6"/>
  <c r="AE1759" i="8" l="1"/>
  <c r="AD1759" i="8" s="1"/>
  <c r="D1791" i="6"/>
  <c r="E1792" i="6"/>
  <c r="AE1760" i="8" l="1"/>
  <c r="AD1760" i="8" s="1"/>
  <c r="D1792" i="6"/>
  <c r="E1793" i="6"/>
  <c r="AE1761" i="8" l="1"/>
  <c r="AD1761" i="8" s="1"/>
  <c r="D1793" i="6"/>
  <c r="E1794" i="6"/>
  <c r="AE1762" i="8" l="1"/>
  <c r="AD1762" i="8" s="1"/>
  <c r="D1794" i="6"/>
  <c r="E1795" i="6"/>
  <c r="AE1763" i="8" l="1"/>
  <c r="AD1763" i="8" s="1"/>
  <c r="D1795" i="6"/>
  <c r="E1796" i="6"/>
  <c r="AE1764" i="8" l="1"/>
  <c r="AD1764" i="8" s="1"/>
  <c r="D1796" i="6"/>
  <c r="E1797" i="6"/>
  <c r="AE1765" i="8" l="1"/>
  <c r="AD1765" i="8" s="1"/>
  <c r="D1797" i="6"/>
  <c r="E1798" i="6"/>
  <c r="AE1766" i="8" l="1"/>
  <c r="AD1766" i="8" s="1"/>
  <c r="D1798" i="6"/>
  <c r="E1799" i="6"/>
  <c r="AE1767" i="8" l="1"/>
  <c r="AD1767" i="8" s="1"/>
  <c r="D1799" i="6"/>
  <c r="E1800" i="6"/>
  <c r="AE1768" i="8" l="1"/>
  <c r="AD1768" i="8" s="1"/>
  <c r="D1800" i="6"/>
  <c r="E1801" i="6"/>
  <c r="AE1769" i="8" l="1"/>
  <c r="AD1769" i="8" s="1"/>
  <c r="D1801" i="6"/>
  <c r="E1802" i="6"/>
  <c r="AE1770" i="8" l="1"/>
  <c r="AD1770" i="8" s="1"/>
  <c r="D1802" i="6"/>
  <c r="E1803" i="6"/>
  <c r="AE1771" i="8" l="1"/>
  <c r="AD1771" i="8" s="1"/>
  <c r="D1803" i="6"/>
  <c r="E1804" i="6"/>
  <c r="AE1772" i="8" l="1"/>
  <c r="AD1772" i="8" s="1"/>
  <c r="D1804" i="6"/>
  <c r="E1805" i="6"/>
  <c r="AE1773" i="8" l="1"/>
  <c r="AD1773" i="8" s="1"/>
  <c r="D1805" i="6"/>
  <c r="E1806" i="6"/>
  <c r="AE1774" i="8" l="1"/>
  <c r="AD1774" i="8" s="1"/>
  <c r="D1806" i="6"/>
  <c r="E1807" i="6"/>
  <c r="AE1775" i="8" l="1"/>
  <c r="AD1775" i="8" s="1"/>
  <c r="D1807" i="6"/>
  <c r="E1808" i="6"/>
  <c r="AE1776" i="8" l="1"/>
  <c r="AD1776" i="8" s="1"/>
  <c r="D1808" i="6"/>
  <c r="E1809" i="6"/>
  <c r="AE1777" i="8" l="1"/>
  <c r="AD1777" i="8" s="1"/>
  <c r="D1809" i="6"/>
  <c r="E1810" i="6"/>
  <c r="AE1778" i="8" l="1"/>
  <c r="AD1778" i="8" s="1"/>
  <c r="D1810" i="6"/>
  <c r="E1811" i="6"/>
  <c r="AE1779" i="8" l="1"/>
  <c r="AD1779" i="8" s="1"/>
  <c r="D1811" i="6"/>
  <c r="E1812" i="6"/>
  <c r="AE1780" i="8" l="1"/>
  <c r="AD1780" i="8" s="1"/>
  <c r="D1812" i="6"/>
  <c r="E1813" i="6"/>
  <c r="AE1781" i="8" l="1"/>
  <c r="AD1781" i="8" s="1"/>
  <c r="D1813" i="6"/>
  <c r="E1814" i="6"/>
  <c r="AE1782" i="8" l="1"/>
  <c r="AD1782" i="8" s="1"/>
  <c r="D1814" i="6"/>
  <c r="E1815" i="6"/>
  <c r="AE1783" i="8" l="1"/>
  <c r="AD1783" i="8" s="1"/>
  <c r="D1815" i="6"/>
  <c r="E1816" i="6"/>
  <c r="AE1784" i="8" l="1"/>
  <c r="AD1784" i="8" s="1"/>
  <c r="D1816" i="6"/>
  <c r="E1817" i="6"/>
  <c r="AE1785" i="8" l="1"/>
  <c r="AD1785" i="8" s="1"/>
  <c r="D1817" i="6"/>
  <c r="E1818" i="6"/>
  <c r="AE1786" i="8" l="1"/>
  <c r="AD1786" i="8" s="1"/>
  <c r="D1818" i="6"/>
  <c r="E1819" i="6"/>
  <c r="AE1787" i="8" l="1"/>
  <c r="AD1787" i="8" s="1"/>
  <c r="D1819" i="6"/>
  <c r="E1820" i="6"/>
  <c r="AE1788" i="8" l="1"/>
  <c r="AD1788" i="8" s="1"/>
  <c r="D1820" i="6"/>
  <c r="E1821" i="6"/>
  <c r="AE1789" i="8" l="1"/>
  <c r="AD1789" i="8" s="1"/>
  <c r="D1821" i="6"/>
  <c r="E1822" i="6"/>
  <c r="AE1790" i="8" l="1"/>
  <c r="AD1790" i="8" s="1"/>
  <c r="D1822" i="6"/>
  <c r="E1823" i="6"/>
  <c r="AE1791" i="8" l="1"/>
  <c r="AD1791" i="8" s="1"/>
  <c r="D1823" i="6"/>
  <c r="E1824" i="6"/>
  <c r="AE1792" i="8" l="1"/>
  <c r="AD1792" i="8" s="1"/>
  <c r="D1824" i="6"/>
  <c r="E1825" i="6"/>
  <c r="AE1793" i="8" l="1"/>
  <c r="AD1793" i="8" s="1"/>
  <c r="D1825" i="6"/>
  <c r="E1826" i="6"/>
  <c r="AE1794" i="8" l="1"/>
  <c r="AD1794" i="8" s="1"/>
  <c r="D1826" i="6"/>
  <c r="E1827" i="6"/>
  <c r="AE1795" i="8" l="1"/>
  <c r="AD1795" i="8" s="1"/>
  <c r="D1827" i="6"/>
  <c r="E1828" i="6"/>
  <c r="AE1796" i="8" l="1"/>
  <c r="AD1796" i="8" s="1"/>
  <c r="D1828" i="6"/>
  <c r="E1829" i="6"/>
  <c r="AE1797" i="8" l="1"/>
  <c r="AD1797" i="8" s="1"/>
  <c r="D1829" i="6"/>
  <c r="E1830" i="6"/>
  <c r="AE1798" i="8" l="1"/>
  <c r="AD1798" i="8" s="1"/>
  <c r="D1830" i="6"/>
  <c r="E1831" i="6"/>
  <c r="AE1799" i="8" l="1"/>
  <c r="AD1799" i="8" s="1"/>
  <c r="D1831" i="6"/>
  <c r="E1832" i="6"/>
  <c r="AE1800" i="8" l="1"/>
  <c r="AD1800" i="8" s="1"/>
  <c r="D1832" i="6"/>
  <c r="E1833" i="6"/>
  <c r="AE1801" i="8" l="1"/>
  <c r="AD1801" i="8" s="1"/>
  <c r="D1833" i="6"/>
  <c r="E1834" i="6"/>
  <c r="AE1802" i="8" l="1"/>
  <c r="AD1802" i="8" s="1"/>
  <c r="D1834" i="6"/>
  <c r="E1835" i="6"/>
  <c r="AE1803" i="8" l="1"/>
  <c r="AD1803" i="8" s="1"/>
  <c r="D1835" i="6"/>
  <c r="E1836" i="6"/>
  <c r="AE1804" i="8" l="1"/>
  <c r="AD1804" i="8" s="1"/>
  <c r="D1836" i="6"/>
  <c r="E1837" i="6"/>
  <c r="AE1805" i="8" l="1"/>
  <c r="AD1805" i="8" s="1"/>
  <c r="D1837" i="6"/>
  <c r="E1838" i="6"/>
  <c r="AE1806" i="8" l="1"/>
  <c r="AD1806" i="8" s="1"/>
  <c r="D1838" i="6"/>
  <c r="E1839" i="6"/>
  <c r="AE1807" i="8" l="1"/>
  <c r="AD1807" i="8" s="1"/>
  <c r="D1839" i="6"/>
  <c r="E1840" i="6"/>
  <c r="AE1808" i="8" l="1"/>
  <c r="AD1808" i="8" s="1"/>
  <c r="D1840" i="6"/>
  <c r="E1841" i="6"/>
  <c r="AE1809" i="8" l="1"/>
  <c r="AD1809" i="8" s="1"/>
  <c r="D1841" i="6"/>
  <c r="E1842" i="6"/>
  <c r="AE1810" i="8" l="1"/>
  <c r="AD1810" i="8" s="1"/>
  <c r="D1842" i="6"/>
  <c r="E1843" i="6"/>
  <c r="AE1811" i="8" l="1"/>
  <c r="AD1811" i="8" s="1"/>
  <c r="D1843" i="6"/>
  <c r="E1844" i="6"/>
  <c r="AE1812" i="8" l="1"/>
  <c r="AD1812" i="8" s="1"/>
  <c r="D1844" i="6"/>
  <c r="E1845" i="6"/>
  <c r="AE1813" i="8" l="1"/>
  <c r="AD1813" i="8" s="1"/>
  <c r="D1845" i="6"/>
  <c r="E1846" i="6"/>
  <c r="AE1814" i="8" l="1"/>
  <c r="AD1814" i="8" s="1"/>
  <c r="D1846" i="6"/>
  <c r="E1847" i="6"/>
  <c r="AE1815" i="8" l="1"/>
  <c r="AD1815" i="8" s="1"/>
  <c r="D1847" i="6"/>
  <c r="E1848" i="6"/>
  <c r="AE1816" i="8" l="1"/>
  <c r="AD1816" i="8" s="1"/>
  <c r="D1848" i="6"/>
  <c r="E1849" i="6"/>
  <c r="AE1817" i="8" l="1"/>
  <c r="AD1817" i="8" s="1"/>
  <c r="D1849" i="6"/>
  <c r="E1850" i="6"/>
  <c r="AE1818" i="8" l="1"/>
  <c r="AD1818" i="8" s="1"/>
  <c r="D1850" i="6"/>
  <c r="E1851" i="6"/>
  <c r="AE1819" i="8" l="1"/>
  <c r="AD1819" i="8" s="1"/>
  <c r="D1851" i="6"/>
  <c r="E1852" i="6"/>
  <c r="AE1820" i="8" l="1"/>
  <c r="AD1820" i="8" s="1"/>
  <c r="D1852" i="6"/>
  <c r="E1853" i="6"/>
  <c r="AE1821" i="8" l="1"/>
  <c r="AD1821" i="8" s="1"/>
  <c r="D1853" i="6"/>
  <c r="E1854" i="6"/>
  <c r="AE1822" i="8" l="1"/>
  <c r="AD1822" i="8" s="1"/>
  <c r="D1854" i="6"/>
  <c r="E1855" i="6"/>
  <c r="AE1823" i="8" l="1"/>
  <c r="AD1823" i="8" s="1"/>
  <c r="D1855" i="6"/>
  <c r="E1856" i="6"/>
  <c r="AE1824" i="8" l="1"/>
  <c r="AD1824" i="8" s="1"/>
  <c r="D1856" i="6"/>
  <c r="E1857" i="6"/>
  <c r="AE1825" i="8" l="1"/>
  <c r="AD1825" i="8" s="1"/>
  <c r="D1857" i="6"/>
  <c r="E1858" i="6"/>
  <c r="AE1826" i="8" l="1"/>
  <c r="AD1826" i="8" s="1"/>
  <c r="D1858" i="6"/>
  <c r="E1859" i="6"/>
  <c r="AE1827" i="8" l="1"/>
  <c r="AD1827" i="8" s="1"/>
  <c r="D1859" i="6"/>
  <c r="E1860" i="6"/>
  <c r="AE1828" i="8" l="1"/>
  <c r="AD1828" i="8" s="1"/>
  <c r="D1860" i="6"/>
  <c r="E1861" i="6"/>
  <c r="AE1829" i="8" l="1"/>
  <c r="AD1829" i="8" s="1"/>
  <c r="D1861" i="6"/>
  <c r="E1862" i="6"/>
  <c r="AE1830" i="8" l="1"/>
  <c r="AD1830" i="8" s="1"/>
  <c r="D1862" i="6"/>
  <c r="E1863" i="6"/>
  <c r="AE1831" i="8" l="1"/>
  <c r="AD1831" i="8" s="1"/>
  <c r="D1863" i="6"/>
  <c r="E1864" i="6"/>
  <c r="AE1832" i="8" l="1"/>
  <c r="AD1832" i="8" s="1"/>
  <c r="D1864" i="6"/>
  <c r="E1865" i="6"/>
  <c r="AE1833" i="8" l="1"/>
  <c r="AD1833" i="8" s="1"/>
  <c r="D1865" i="6"/>
  <c r="E1866" i="6"/>
  <c r="AE1834" i="8" l="1"/>
  <c r="AD1834" i="8" s="1"/>
  <c r="D1866" i="6"/>
  <c r="E1867" i="6"/>
  <c r="AE1835" i="8" l="1"/>
  <c r="AD1835" i="8" s="1"/>
  <c r="D1867" i="6"/>
  <c r="E1868" i="6"/>
  <c r="AE1836" i="8" l="1"/>
  <c r="AD1836" i="8" s="1"/>
  <c r="D1868" i="6"/>
  <c r="E1869" i="6"/>
  <c r="AE1837" i="8" l="1"/>
  <c r="AD1837" i="8" s="1"/>
  <c r="D1869" i="6"/>
  <c r="E1870" i="6"/>
  <c r="AE1838" i="8" l="1"/>
  <c r="AD1838" i="8" s="1"/>
  <c r="D1870" i="6"/>
  <c r="E1871" i="6"/>
  <c r="AE1839" i="8" l="1"/>
  <c r="AD1839" i="8" s="1"/>
  <c r="D1871" i="6"/>
  <c r="E1872" i="6"/>
  <c r="AE1840" i="8" l="1"/>
  <c r="AD1840" i="8" s="1"/>
  <c r="D1872" i="6"/>
  <c r="E1873" i="6"/>
  <c r="AE1841" i="8" l="1"/>
  <c r="AD1841" i="8" s="1"/>
  <c r="D1873" i="6"/>
  <c r="E1874" i="6"/>
  <c r="AE1842" i="8" l="1"/>
  <c r="AD1842" i="8" s="1"/>
  <c r="D1874" i="6"/>
  <c r="E1875" i="6"/>
  <c r="AE1843" i="8" l="1"/>
  <c r="AD1843" i="8" s="1"/>
  <c r="D1875" i="6"/>
  <c r="E1876" i="6"/>
  <c r="AE1844" i="8" l="1"/>
  <c r="AD1844" i="8" s="1"/>
  <c r="D1876" i="6"/>
  <c r="E1877" i="6"/>
  <c r="AE1845" i="8" l="1"/>
  <c r="AD1845" i="8" s="1"/>
  <c r="D1877" i="6"/>
  <c r="E1878" i="6"/>
  <c r="AE1846" i="8" l="1"/>
  <c r="AD1846" i="8" s="1"/>
  <c r="D1878" i="6"/>
  <c r="E1879" i="6"/>
  <c r="AE1847" i="8" l="1"/>
  <c r="AD1847" i="8" s="1"/>
  <c r="D1879" i="6"/>
  <c r="E1880" i="6"/>
  <c r="AE1848" i="8" l="1"/>
  <c r="AD1848" i="8" s="1"/>
  <c r="D1880" i="6"/>
  <c r="E1881" i="6"/>
  <c r="AE1849" i="8" l="1"/>
  <c r="AD1849" i="8" s="1"/>
  <c r="D1881" i="6"/>
  <c r="E1882" i="6"/>
  <c r="AE1850" i="8" l="1"/>
  <c r="AD1850" i="8" s="1"/>
  <c r="D1882" i="6"/>
  <c r="E1883" i="6"/>
  <c r="AE1851" i="8" l="1"/>
  <c r="AD1851" i="8" s="1"/>
  <c r="D1883" i="6"/>
  <c r="E1884" i="6"/>
  <c r="AE1852" i="8" l="1"/>
  <c r="AD1852" i="8" s="1"/>
  <c r="D1884" i="6"/>
  <c r="E1885" i="6"/>
  <c r="AE1853" i="8" l="1"/>
  <c r="AD1853" i="8" s="1"/>
  <c r="D1885" i="6"/>
  <c r="E1886" i="6"/>
  <c r="AE1854" i="8" l="1"/>
  <c r="AD1854" i="8" s="1"/>
  <c r="D1886" i="6"/>
  <c r="E1887" i="6"/>
  <c r="AE1855" i="8" l="1"/>
  <c r="AD1855" i="8" s="1"/>
  <c r="D1887" i="6"/>
  <c r="E1888" i="6"/>
  <c r="AE1856" i="8" l="1"/>
  <c r="AD1856" i="8" s="1"/>
  <c r="D1888" i="6"/>
  <c r="E1889" i="6"/>
  <c r="AE1857" i="8" l="1"/>
  <c r="AD1857" i="8" s="1"/>
  <c r="D1889" i="6"/>
  <c r="E1890" i="6"/>
  <c r="AE1858" i="8" l="1"/>
  <c r="AD1858" i="8" s="1"/>
  <c r="D1890" i="6"/>
  <c r="E1891" i="6"/>
  <c r="AE1859" i="8" l="1"/>
  <c r="AD1859" i="8" s="1"/>
  <c r="D1891" i="6"/>
  <c r="E1892" i="6"/>
  <c r="AE1860" i="8" l="1"/>
  <c r="AD1860" i="8" s="1"/>
  <c r="D1892" i="6"/>
  <c r="E1893" i="6"/>
  <c r="AE1861" i="8" l="1"/>
  <c r="AD1861" i="8" s="1"/>
  <c r="D1893" i="6"/>
  <c r="E1894" i="6"/>
  <c r="AE1862" i="8" l="1"/>
  <c r="AD1862" i="8" s="1"/>
  <c r="D1894" i="6"/>
  <c r="E1895" i="6"/>
  <c r="AE1863" i="8" l="1"/>
  <c r="AD1863" i="8" s="1"/>
  <c r="D1895" i="6"/>
  <c r="E1896" i="6"/>
  <c r="AE1864" i="8" l="1"/>
  <c r="AD1864" i="8" s="1"/>
  <c r="D1896" i="6"/>
  <c r="E1897" i="6"/>
  <c r="AE1865" i="8" l="1"/>
  <c r="AD1865" i="8" s="1"/>
  <c r="D1897" i="6"/>
  <c r="E1898" i="6"/>
  <c r="AE1866" i="8" l="1"/>
  <c r="AD1866" i="8" s="1"/>
  <c r="D1898" i="6"/>
  <c r="E1899" i="6"/>
  <c r="AE1867" i="8" l="1"/>
  <c r="AD1867" i="8" s="1"/>
  <c r="D1899" i="6"/>
  <c r="E1900" i="6"/>
  <c r="AE1868" i="8" l="1"/>
  <c r="AD1868" i="8" s="1"/>
  <c r="D1900" i="6"/>
  <c r="E1901" i="6"/>
  <c r="AE1869" i="8" l="1"/>
  <c r="AD1869" i="8" s="1"/>
  <c r="D1901" i="6"/>
  <c r="E1902" i="6"/>
  <c r="AE1870" i="8" l="1"/>
  <c r="AD1870" i="8" s="1"/>
  <c r="D1902" i="6"/>
  <c r="E1903" i="6"/>
  <c r="AE1871" i="8" l="1"/>
  <c r="AD1871" i="8" s="1"/>
  <c r="D1903" i="6"/>
  <c r="E1904" i="6"/>
  <c r="AE1872" i="8" l="1"/>
  <c r="AD1872" i="8" s="1"/>
  <c r="D1904" i="6"/>
  <c r="E1905" i="6"/>
  <c r="AE1873" i="8" l="1"/>
  <c r="AD1873" i="8" s="1"/>
  <c r="D1905" i="6"/>
  <c r="E1906" i="6"/>
  <c r="AE1874" i="8" l="1"/>
  <c r="AD1874" i="8" s="1"/>
  <c r="D1906" i="6"/>
  <c r="E1907" i="6"/>
  <c r="AE1875" i="8" l="1"/>
  <c r="AD1875" i="8" s="1"/>
  <c r="D1907" i="6"/>
  <c r="E1908" i="6"/>
  <c r="AE1876" i="8" l="1"/>
  <c r="AD1876" i="8" s="1"/>
  <c r="D1908" i="6"/>
  <c r="E1909" i="6"/>
  <c r="AE1877" i="8" l="1"/>
  <c r="AD1877" i="8" s="1"/>
  <c r="D1909" i="6"/>
  <c r="E1910" i="6"/>
  <c r="AE1878" i="8" l="1"/>
  <c r="AD1878" i="8" s="1"/>
  <c r="D1910" i="6"/>
  <c r="E1911" i="6"/>
  <c r="AE1879" i="8" l="1"/>
  <c r="AD1879" i="8" s="1"/>
  <c r="D1911" i="6"/>
  <c r="E1912" i="6"/>
  <c r="AE1880" i="8" l="1"/>
  <c r="AD1880" i="8" s="1"/>
  <c r="D1912" i="6"/>
  <c r="E1913" i="6"/>
  <c r="AE1881" i="8" l="1"/>
  <c r="AD1881" i="8" s="1"/>
  <c r="D1913" i="6"/>
  <c r="E1914" i="6"/>
  <c r="AE1882" i="8" l="1"/>
  <c r="AD1882" i="8" s="1"/>
  <c r="D1914" i="6"/>
  <c r="E1915" i="6"/>
  <c r="AE1883" i="8" l="1"/>
  <c r="AD1883" i="8" s="1"/>
  <c r="D1915" i="6"/>
  <c r="E1916" i="6"/>
  <c r="AE1884" i="8" l="1"/>
  <c r="AD1884" i="8" s="1"/>
  <c r="D1916" i="6"/>
  <c r="E1917" i="6"/>
  <c r="AE1885" i="8" l="1"/>
  <c r="AD1885" i="8" s="1"/>
  <c r="D1917" i="6"/>
  <c r="E1918" i="6"/>
  <c r="AE1886" i="8" l="1"/>
  <c r="AD1886" i="8" s="1"/>
  <c r="D1918" i="6"/>
  <c r="E1919" i="6"/>
  <c r="AE1887" i="8" l="1"/>
  <c r="AD1887" i="8" s="1"/>
  <c r="D1919" i="6"/>
  <c r="E1920" i="6"/>
  <c r="AE1888" i="8" l="1"/>
  <c r="AD1888" i="8" s="1"/>
  <c r="D1920" i="6"/>
  <c r="E1921" i="6"/>
  <c r="AE1889" i="8" l="1"/>
  <c r="AD1889" i="8" s="1"/>
  <c r="D1921" i="6"/>
  <c r="E1922" i="6"/>
  <c r="AE1890" i="8" l="1"/>
  <c r="AD1890" i="8" s="1"/>
  <c r="D1922" i="6"/>
  <c r="E1923" i="6"/>
  <c r="AE1891" i="8" l="1"/>
  <c r="AD1891" i="8" s="1"/>
  <c r="D1923" i="6"/>
  <c r="E1924" i="6"/>
  <c r="AE1892" i="8" l="1"/>
  <c r="AD1892" i="8" s="1"/>
  <c r="D1924" i="6"/>
  <c r="E1925" i="6"/>
  <c r="AE1893" i="8" l="1"/>
  <c r="AD1893" i="8" s="1"/>
  <c r="D1925" i="6"/>
  <c r="E1926" i="6"/>
  <c r="AE1894" i="8" l="1"/>
  <c r="AD1894" i="8" s="1"/>
  <c r="D1926" i="6"/>
  <c r="E1927" i="6"/>
  <c r="AE1895" i="8" l="1"/>
  <c r="AD1895" i="8" s="1"/>
  <c r="D1927" i="6"/>
  <c r="E1928" i="6"/>
  <c r="AE1896" i="8" l="1"/>
  <c r="AD1896" i="8" s="1"/>
  <c r="D1928" i="6"/>
  <c r="E1929" i="6"/>
  <c r="AE1897" i="8" l="1"/>
  <c r="AD1897" i="8" s="1"/>
  <c r="D1929" i="6"/>
  <c r="E1930" i="6"/>
  <c r="AE1898" i="8" l="1"/>
  <c r="AD1898" i="8" s="1"/>
  <c r="D1930" i="6"/>
  <c r="E1931" i="6"/>
  <c r="AE1899" i="8" l="1"/>
  <c r="AD1899" i="8" s="1"/>
  <c r="D1931" i="6"/>
  <c r="E1932" i="6"/>
  <c r="AE1900" i="8" l="1"/>
  <c r="AD1900" i="8" s="1"/>
  <c r="D1932" i="6"/>
  <c r="E1933" i="6"/>
  <c r="AE1901" i="8" l="1"/>
  <c r="AD1901" i="8" s="1"/>
  <c r="D1933" i="6"/>
  <c r="E1934" i="6"/>
  <c r="AE1902" i="8" l="1"/>
  <c r="AD1902" i="8" s="1"/>
  <c r="D1934" i="6"/>
  <c r="E1935" i="6"/>
  <c r="AE1903" i="8" l="1"/>
  <c r="AD1903" i="8" s="1"/>
  <c r="D1935" i="6"/>
  <c r="E1936" i="6"/>
  <c r="AE1904" i="8" l="1"/>
  <c r="AD1904" i="8" s="1"/>
  <c r="D1936" i="6"/>
  <c r="E1937" i="6"/>
  <c r="AE1905" i="8" l="1"/>
  <c r="AD1905" i="8" s="1"/>
  <c r="D1937" i="6"/>
  <c r="E1938" i="6"/>
  <c r="AE1906" i="8" l="1"/>
  <c r="AD1906" i="8" s="1"/>
  <c r="D1938" i="6"/>
  <c r="E1939" i="6"/>
  <c r="AE1907" i="8" l="1"/>
  <c r="AD1907" i="8" s="1"/>
  <c r="D1939" i="6"/>
  <c r="E1940" i="6"/>
  <c r="AE1908" i="8" l="1"/>
  <c r="AD1908" i="8" s="1"/>
  <c r="D1940" i="6"/>
  <c r="E1941" i="6"/>
  <c r="AE1909" i="8" l="1"/>
  <c r="AD1909" i="8" s="1"/>
  <c r="D1941" i="6"/>
  <c r="E1942" i="6"/>
  <c r="AE1910" i="8" l="1"/>
  <c r="AD1910" i="8" s="1"/>
  <c r="D1942" i="6"/>
  <c r="E1943" i="6"/>
  <c r="AE1911" i="8" l="1"/>
  <c r="AD1911" i="8" s="1"/>
  <c r="D1943" i="6"/>
  <c r="E1944" i="6"/>
  <c r="AE1912" i="8" l="1"/>
  <c r="AD1912" i="8" s="1"/>
  <c r="D1944" i="6"/>
  <c r="E1945" i="6"/>
  <c r="AE1913" i="8" l="1"/>
  <c r="AD1913" i="8" s="1"/>
  <c r="D1945" i="6"/>
  <c r="E1946" i="6"/>
  <c r="AE1914" i="8" l="1"/>
  <c r="AD1914" i="8" s="1"/>
  <c r="D1946" i="6"/>
  <c r="E1947" i="6"/>
  <c r="AE1915" i="8" l="1"/>
  <c r="AD1915" i="8" s="1"/>
  <c r="D1947" i="6"/>
  <c r="E1948" i="6"/>
  <c r="AE1916" i="8" l="1"/>
  <c r="AD1916" i="8" s="1"/>
  <c r="E1949" i="6"/>
  <c r="D1948" i="6"/>
  <c r="AE1917" i="8" l="1"/>
  <c r="AD1917" i="8" s="1"/>
  <c r="D1949" i="6"/>
  <c r="E1950" i="6"/>
  <c r="AE1918" i="8" l="1"/>
  <c r="AD1918" i="8" s="1"/>
  <c r="D1950" i="6"/>
  <c r="E1951" i="6"/>
  <c r="AE1919" i="8" l="1"/>
  <c r="AD1919" i="8" s="1"/>
  <c r="D1951" i="6"/>
  <c r="E1952" i="6"/>
  <c r="AE1920" i="8" l="1"/>
  <c r="AD1920" i="8" s="1"/>
  <c r="D1952" i="6"/>
  <c r="E1953" i="6"/>
  <c r="AE1921" i="8" l="1"/>
  <c r="AD1921" i="8" s="1"/>
  <c r="D1953" i="6"/>
  <c r="E1954" i="6"/>
  <c r="AE1922" i="8" l="1"/>
  <c r="AD1922" i="8" s="1"/>
  <c r="D1954" i="6"/>
  <c r="E1955" i="6"/>
  <c r="AE1923" i="8" l="1"/>
  <c r="AD1923" i="8" s="1"/>
  <c r="D1955" i="6"/>
  <c r="E1956" i="6"/>
  <c r="AE1924" i="8" l="1"/>
  <c r="AD1924" i="8" s="1"/>
  <c r="D1956" i="6"/>
  <c r="E1957" i="6"/>
  <c r="AE1925" i="8" l="1"/>
  <c r="AD1925" i="8" s="1"/>
  <c r="D1957" i="6"/>
  <c r="E1958" i="6"/>
  <c r="AE1926" i="8" l="1"/>
  <c r="AD1926" i="8" s="1"/>
  <c r="D1958" i="6"/>
  <c r="E1959" i="6"/>
  <c r="AE1927" i="8" l="1"/>
  <c r="AD1927" i="8" s="1"/>
  <c r="D1959" i="6"/>
  <c r="E1960" i="6"/>
  <c r="AE1928" i="8" l="1"/>
  <c r="AD1928" i="8" s="1"/>
  <c r="D1960" i="6"/>
  <c r="E1961" i="6"/>
  <c r="AE1929" i="8" l="1"/>
  <c r="AD1929" i="8" s="1"/>
  <c r="D1961" i="6"/>
  <c r="E1962" i="6"/>
  <c r="AE1930" i="8" l="1"/>
  <c r="AD1930" i="8" s="1"/>
  <c r="D1962" i="6"/>
  <c r="E1963" i="6"/>
  <c r="AE1931" i="8" l="1"/>
  <c r="AD1931" i="8" s="1"/>
  <c r="D1963" i="6"/>
  <c r="E1964" i="6"/>
  <c r="AE1932" i="8" l="1"/>
  <c r="AD1932" i="8" s="1"/>
  <c r="D1964" i="6"/>
  <c r="E1965" i="6"/>
  <c r="AE1933" i="8" l="1"/>
  <c r="AD1933" i="8" s="1"/>
  <c r="D1965" i="6"/>
  <c r="E1966" i="6"/>
  <c r="AE1934" i="8" l="1"/>
  <c r="AD1934" i="8" s="1"/>
  <c r="D1966" i="6"/>
  <c r="E1967" i="6"/>
  <c r="AE1935" i="8" l="1"/>
  <c r="AD1935" i="8" s="1"/>
  <c r="D1967" i="6"/>
  <c r="E1968" i="6"/>
  <c r="AE1936" i="8" l="1"/>
  <c r="AD1936" i="8" s="1"/>
  <c r="D1968" i="6"/>
  <c r="E1969" i="6"/>
  <c r="AE1937" i="8" l="1"/>
  <c r="AD1937" i="8" s="1"/>
  <c r="D1969" i="6"/>
  <c r="E1970" i="6"/>
  <c r="AE1938" i="8" l="1"/>
  <c r="AD1938" i="8" s="1"/>
  <c r="D1970" i="6"/>
  <c r="E1971" i="6"/>
  <c r="AE1939" i="8" l="1"/>
  <c r="AD1939" i="8" s="1"/>
  <c r="D1971" i="6"/>
  <c r="E1972" i="6"/>
  <c r="AE1940" i="8" l="1"/>
  <c r="AD1940" i="8" s="1"/>
  <c r="D1972" i="6"/>
  <c r="E1973" i="6"/>
  <c r="AE1941" i="8" l="1"/>
  <c r="AD1941" i="8" s="1"/>
  <c r="D1973" i="6"/>
  <c r="E1974" i="6"/>
  <c r="AE1942" i="8" l="1"/>
  <c r="AD1942" i="8" s="1"/>
  <c r="D1974" i="6"/>
  <c r="E1975" i="6"/>
  <c r="AE1943" i="8" l="1"/>
  <c r="AD1943" i="8" s="1"/>
  <c r="D1975" i="6"/>
  <c r="E1976" i="6"/>
  <c r="AE1944" i="8" l="1"/>
  <c r="AD1944" i="8" s="1"/>
  <c r="D1976" i="6"/>
  <c r="E1977" i="6"/>
  <c r="AE1945" i="8" l="1"/>
  <c r="AD1945" i="8" s="1"/>
  <c r="D1977" i="6"/>
  <c r="E1978" i="6"/>
  <c r="AE1946" i="8" l="1"/>
  <c r="AD1946" i="8" s="1"/>
  <c r="D1978" i="6"/>
  <c r="E1979" i="6"/>
  <c r="AE1947" i="8" l="1"/>
  <c r="AD1947" i="8" s="1"/>
  <c r="D1979" i="6"/>
  <c r="E1980" i="6"/>
  <c r="AE1948" i="8" l="1"/>
  <c r="AD1948" i="8" s="1"/>
  <c r="D1980" i="6"/>
  <c r="E1981" i="6"/>
  <c r="AE1949" i="8" l="1"/>
  <c r="AD1949" i="8" s="1"/>
  <c r="D1981" i="6"/>
  <c r="E1982" i="6"/>
  <c r="AE1950" i="8" l="1"/>
  <c r="AD1950" i="8" s="1"/>
  <c r="D1982" i="6"/>
  <c r="E1983" i="6"/>
  <c r="AE1951" i="8" l="1"/>
  <c r="AD1951" i="8" s="1"/>
  <c r="D1983" i="6"/>
  <c r="E1984" i="6"/>
  <c r="AE1952" i="8" l="1"/>
  <c r="AD1952" i="8" s="1"/>
  <c r="D1984" i="6"/>
  <c r="E1985" i="6"/>
  <c r="AE1953" i="8" l="1"/>
  <c r="AD1953" i="8" s="1"/>
  <c r="D1985" i="6"/>
  <c r="E1986" i="6"/>
  <c r="AE1954" i="8" l="1"/>
  <c r="AD1954" i="8" s="1"/>
  <c r="D1986" i="6"/>
  <c r="E1987" i="6"/>
  <c r="AE1955" i="8" l="1"/>
  <c r="AD1955" i="8" s="1"/>
  <c r="D1987" i="6"/>
  <c r="E1988" i="6"/>
  <c r="AE1956" i="8" l="1"/>
  <c r="AD1956" i="8" s="1"/>
  <c r="D1988" i="6"/>
  <c r="E1989" i="6"/>
  <c r="AE1957" i="8" l="1"/>
  <c r="AD1957" i="8" s="1"/>
  <c r="D1989" i="6"/>
  <c r="E1990" i="6"/>
  <c r="AE1958" i="8" l="1"/>
  <c r="AD1958" i="8" s="1"/>
  <c r="D1990" i="6"/>
  <c r="E1991" i="6"/>
  <c r="AE1959" i="8" l="1"/>
  <c r="AD1959" i="8" s="1"/>
  <c r="D1991" i="6"/>
  <c r="E1992" i="6"/>
  <c r="AE1960" i="8" l="1"/>
  <c r="AD1960" i="8" s="1"/>
  <c r="D1992" i="6"/>
  <c r="E1993" i="6"/>
  <c r="AE1961" i="8" l="1"/>
  <c r="AD1961" i="8" s="1"/>
  <c r="D1993" i="6"/>
  <c r="E1994" i="6"/>
  <c r="AE1962" i="8" l="1"/>
  <c r="AD1962" i="8" s="1"/>
  <c r="D1994" i="6"/>
  <c r="E1995" i="6"/>
  <c r="AE1963" i="8" l="1"/>
  <c r="AD1963" i="8" s="1"/>
  <c r="D1995" i="6"/>
  <c r="E1996" i="6"/>
  <c r="AE1964" i="8" l="1"/>
  <c r="AD1964" i="8" s="1"/>
  <c r="D1996" i="6"/>
  <c r="E1997" i="6"/>
  <c r="AE1965" i="8" l="1"/>
  <c r="AD1965" i="8" s="1"/>
  <c r="D1997" i="6"/>
  <c r="E1998" i="6"/>
  <c r="AE1966" i="8" l="1"/>
  <c r="AD1966" i="8" s="1"/>
  <c r="D1998" i="6"/>
  <c r="E1999" i="6"/>
  <c r="AE1967" i="8" l="1"/>
  <c r="AD1967" i="8" s="1"/>
  <c r="D1999" i="6"/>
  <c r="E2000" i="6"/>
  <c r="AE1968" i="8" l="1"/>
  <c r="AD1968" i="8" s="1"/>
  <c r="D2000" i="6"/>
  <c r="E2001" i="6"/>
  <c r="AE1969" i="8" l="1"/>
  <c r="AD1969" i="8" s="1"/>
  <c r="D2001" i="6"/>
  <c r="E2002" i="6"/>
  <c r="AE1970" i="8" l="1"/>
  <c r="AD1970" i="8" s="1"/>
  <c r="D2002" i="6"/>
  <c r="E2003" i="6"/>
  <c r="AE1971" i="8" l="1"/>
  <c r="AD1971" i="8" s="1"/>
  <c r="D2003" i="6"/>
  <c r="E2004" i="6"/>
  <c r="AE1972" i="8" l="1"/>
  <c r="AD1972" i="8" s="1"/>
  <c r="D2004" i="6"/>
  <c r="E2005" i="6"/>
  <c r="AE1973" i="8" l="1"/>
  <c r="AD1973" i="8" s="1"/>
  <c r="D2005" i="6"/>
  <c r="E2006" i="6"/>
  <c r="AE1974" i="8" l="1"/>
  <c r="AD1974" i="8" s="1"/>
  <c r="D2006" i="6"/>
  <c r="E2007" i="6"/>
  <c r="AE1975" i="8" l="1"/>
  <c r="AD1975" i="8" s="1"/>
  <c r="D2007" i="6"/>
  <c r="E2008" i="6"/>
  <c r="AE1976" i="8" l="1"/>
  <c r="AD1976" i="8" s="1"/>
  <c r="D2008" i="6"/>
  <c r="E2009" i="6"/>
  <c r="AE1977" i="8" l="1"/>
  <c r="AD1977" i="8" s="1"/>
  <c r="D2009" i="6"/>
  <c r="E2010" i="6"/>
  <c r="AE1978" i="8" l="1"/>
  <c r="AD1978" i="8" s="1"/>
  <c r="D2010" i="6"/>
  <c r="E2011" i="6"/>
  <c r="AE1979" i="8" l="1"/>
  <c r="AD1979" i="8" s="1"/>
  <c r="D2011" i="6"/>
  <c r="E2012" i="6"/>
  <c r="AE1980" i="8" l="1"/>
  <c r="AD1980" i="8" s="1"/>
  <c r="D2012" i="6"/>
  <c r="E2013" i="6"/>
  <c r="AE1981" i="8" l="1"/>
  <c r="AD1981" i="8" s="1"/>
  <c r="D2013" i="6"/>
  <c r="E2014" i="6"/>
  <c r="AE1982" i="8" l="1"/>
  <c r="AD1982" i="8" s="1"/>
  <c r="D2014" i="6"/>
  <c r="E2015" i="6"/>
  <c r="AE1983" i="8" l="1"/>
  <c r="AD1983" i="8" s="1"/>
  <c r="D2015" i="6"/>
  <c r="E2016" i="6"/>
  <c r="AE1984" i="8" l="1"/>
  <c r="AD1984" i="8" s="1"/>
  <c r="D2016" i="6"/>
  <c r="E2017" i="6"/>
  <c r="AE1985" i="8" l="1"/>
  <c r="AD1985" i="8" s="1"/>
  <c r="D2017" i="6"/>
  <c r="E2018" i="6"/>
  <c r="AE1986" i="8" l="1"/>
  <c r="AD1986" i="8" s="1"/>
  <c r="D2018" i="6"/>
  <c r="E2019" i="6"/>
  <c r="AE1987" i="8" l="1"/>
  <c r="AD1987" i="8" s="1"/>
  <c r="D2019" i="6"/>
  <c r="E2020" i="6"/>
  <c r="AE1988" i="8" l="1"/>
  <c r="AD1988" i="8" s="1"/>
  <c r="D2020" i="6"/>
  <c r="E2021" i="6"/>
  <c r="AE1989" i="8" l="1"/>
  <c r="AD1989" i="8" s="1"/>
  <c r="D2021" i="6"/>
  <c r="E2022" i="6"/>
  <c r="AE1990" i="8" l="1"/>
  <c r="AD1990" i="8" s="1"/>
  <c r="D2022" i="6"/>
  <c r="E2023" i="6"/>
  <c r="AE1991" i="8" l="1"/>
  <c r="AD1991" i="8" s="1"/>
  <c r="D2023" i="6"/>
  <c r="E2024" i="6"/>
  <c r="AE1992" i="8" l="1"/>
  <c r="AD1992" i="8" s="1"/>
  <c r="D2024" i="6"/>
  <c r="E2025" i="6"/>
  <c r="AE1993" i="8" l="1"/>
  <c r="AD1993" i="8" s="1"/>
  <c r="D2025" i="6"/>
  <c r="E2026" i="6"/>
  <c r="AE1994" i="8" l="1"/>
  <c r="AD1994" i="8" s="1"/>
  <c r="D2026" i="6"/>
  <c r="E2027" i="6"/>
  <c r="AE1995" i="8" l="1"/>
  <c r="AD1995" i="8" s="1"/>
  <c r="D2027" i="6"/>
  <c r="E2028" i="6"/>
  <c r="AE1996" i="8" l="1"/>
  <c r="AD1996" i="8" s="1"/>
  <c r="D2028" i="6"/>
  <c r="E2029" i="6"/>
  <c r="AE1997" i="8" l="1"/>
  <c r="AD1997" i="8" s="1"/>
  <c r="D2029" i="6"/>
  <c r="E2030" i="6"/>
  <c r="AE1998" i="8" l="1"/>
  <c r="AD1998" i="8" s="1"/>
  <c r="D2030" i="6"/>
  <c r="E2031" i="6"/>
  <c r="AE1999" i="8" l="1"/>
  <c r="AD1999" i="8" s="1"/>
  <c r="D2031" i="6"/>
  <c r="E2032" i="6"/>
  <c r="AE2000" i="8" l="1"/>
  <c r="AD2000" i="8" s="1"/>
  <c r="D2032" i="6"/>
  <c r="E2033" i="6"/>
  <c r="AE2001" i="8" l="1"/>
  <c r="AD2001" i="8" s="1"/>
  <c r="D2033" i="6"/>
  <c r="E2034" i="6"/>
  <c r="AE2002" i="8" l="1"/>
  <c r="AD2002" i="8" s="1"/>
  <c r="D2034" i="6"/>
  <c r="E2035" i="6"/>
  <c r="AE2003" i="8" l="1"/>
  <c r="AD2003" i="8" s="1"/>
  <c r="D2035" i="6"/>
  <c r="E2036" i="6"/>
  <c r="AE2004" i="8" l="1"/>
  <c r="AD2004" i="8" s="1"/>
  <c r="D2036" i="6"/>
  <c r="E2037" i="6"/>
  <c r="AE2005" i="8" l="1"/>
  <c r="AD2005" i="8" s="1"/>
  <c r="D2037" i="6"/>
  <c r="E2038" i="6"/>
  <c r="AE2006" i="8" l="1"/>
  <c r="AD2006" i="8" s="1"/>
  <c r="D2038" i="6"/>
  <c r="E2039" i="6"/>
  <c r="AE2007" i="8" l="1"/>
  <c r="AD2007" i="8" s="1"/>
  <c r="D2039" i="6"/>
  <c r="E2040" i="6"/>
  <c r="AE2008" i="8" l="1"/>
  <c r="AD2008" i="8" s="1"/>
  <c r="D2040" i="6"/>
  <c r="E2041" i="6"/>
  <c r="AE2009" i="8" l="1"/>
  <c r="AD2009" i="8" s="1"/>
  <c r="D2041" i="6"/>
  <c r="E2042" i="6"/>
  <c r="AE2010" i="8" l="1"/>
  <c r="AD2010" i="8" s="1"/>
  <c r="D2042" i="6"/>
  <c r="E2043" i="6"/>
  <c r="AE2011" i="8" l="1"/>
  <c r="AD2011" i="8" s="1"/>
  <c r="D2043" i="6"/>
  <c r="E2044" i="6"/>
  <c r="AE2012" i="8" l="1"/>
  <c r="AD2012" i="8" s="1"/>
  <c r="D2044" i="6"/>
  <c r="E2045" i="6"/>
  <c r="AE2013" i="8" l="1"/>
  <c r="AD2013" i="8" s="1"/>
  <c r="D2045" i="6"/>
  <c r="E2046" i="6"/>
  <c r="AE2014" i="8" l="1"/>
  <c r="AD2014" i="8" s="1"/>
  <c r="D2046" i="6"/>
  <c r="E2047" i="6"/>
  <c r="AE2015" i="8" l="1"/>
  <c r="AD2015" i="8" s="1"/>
  <c r="D2047" i="6"/>
  <c r="E2048" i="6"/>
  <c r="AE2016" i="8" l="1"/>
  <c r="AD2016" i="8" s="1"/>
  <c r="D2048" i="6"/>
  <c r="E2049" i="6"/>
  <c r="AE2017" i="8" l="1"/>
  <c r="AD2017" i="8" s="1"/>
  <c r="D2049" i="6"/>
  <c r="E2050" i="6"/>
  <c r="AE2018" i="8" l="1"/>
  <c r="AD2018" i="8" s="1"/>
  <c r="D2050" i="6"/>
  <c r="E2051" i="6"/>
  <c r="AE2019" i="8" l="1"/>
  <c r="AD2019" i="8" s="1"/>
  <c r="D2051" i="6"/>
  <c r="E2052" i="6"/>
  <c r="AE2020" i="8" l="1"/>
  <c r="AD2020" i="8" s="1"/>
  <c r="D2052" i="6"/>
  <c r="E2053" i="6"/>
  <c r="AE2021" i="8" l="1"/>
  <c r="AD2021" i="8" s="1"/>
  <c r="D2053" i="6"/>
  <c r="E2054" i="6"/>
  <c r="AE2022" i="8" l="1"/>
  <c r="AD2022" i="8" s="1"/>
  <c r="D2054" i="6"/>
  <c r="E2055" i="6"/>
  <c r="AE2023" i="8" l="1"/>
  <c r="AD2023" i="8" s="1"/>
  <c r="D2055" i="6"/>
  <c r="E2056" i="6"/>
  <c r="AE2024" i="8" l="1"/>
  <c r="AD2024" i="8" s="1"/>
  <c r="D2056" i="6"/>
  <c r="E2057" i="6"/>
  <c r="AE2025" i="8" l="1"/>
  <c r="AD2025" i="8" s="1"/>
  <c r="D2057" i="6"/>
  <c r="E2058" i="6"/>
  <c r="AE2026" i="8" l="1"/>
  <c r="AD2026" i="8" s="1"/>
  <c r="D2058" i="6"/>
  <c r="E2059" i="6"/>
  <c r="AE2027" i="8" l="1"/>
  <c r="AD2027" i="8" s="1"/>
  <c r="D2059" i="6"/>
  <c r="E2060" i="6"/>
  <c r="AE2028" i="8" l="1"/>
  <c r="AD2028" i="8" s="1"/>
  <c r="D2060" i="6"/>
  <c r="E2061" i="6"/>
  <c r="AE2029" i="8" l="1"/>
  <c r="AD2029" i="8" s="1"/>
  <c r="D2061" i="6"/>
  <c r="E2062" i="6"/>
  <c r="AE2030" i="8" l="1"/>
  <c r="AD2030" i="8" s="1"/>
  <c r="D2062" i="6"/>
  <c r="E2063" i="6"/>
  <c r="AE2031" i="8" l="1"/>
  <c r="AD2031" i="8" s="1"/>
  <c r="D2063" i="6"/>
  <c r="E2064" i="6"/>
  <c r="AE2032" i="8" l="1"/>
  <c r="AD2032" i="8" s="1"/>
  <c r="D2064" i="6"/>
  <c r="E2065" i="6"/>
  <c r="AE2033" i="8" l="1"/>
  <c r="AD2033" i="8" s="1"/>
  <c r="D2065" i="6"/>
  <c r="E2066" i="6"/>
  <c r="AE2034" i="8" l="1"/>
  <c r="AD2034" i="8" s="1"/>
  <c r="D2066" i="6"/>
  <c r="E2067" i="6"/>
  <c r="AE2035" i="8" l="1"/>
  <c r="AD2035" i="8" s="1"/>
  <c r="D2067" i="6"/>
  <c r="E2068" i="6"/>
  <c r="AE2036" i="8" l="1"/>
  <c r="AD2036" i="8" s="1"/>
  <c r="D2068" i="6"/>
  <c r="E2069" i="6"/>
  <c r="AE2037" i="8" l="1"/>
  <c r="AD2037" i="8" s="1"/>
  <c r="D2069" i="6"/>
  <c r="E2070" i="6"/>
  <c r="AE2038" i="8" l="1"/>
  <c r="AD2038" i="8" s="1"/>
  <c r="D2070" i="6"/>
  <c r="E2071" i="6"/>
  <c r="AE2039" i="8" l="1"/>
  <c r="AD2039" i="8" s="1"/>
  <c r="D2071" i="6"/>
  <c r="E2072" i="6"/>
  <c r="AE2040" i="8" l="1"/>
  <c r="AD2040" i="8" s="1"/>
  <c r="D2072" i="6"/>
  <c r="E2073" i="6"/>
  <c r="AE2041" i="8" l="1"/>
  <c r="AD2041" i="8" s="1"/>
  <c r="D2073" i="6"/>
  <c r="E2074" i="6"/>
  <c r="AE2042" i="8" l="1"/>
  <c r="AD2042" i="8" s="1"/>
  <c r="D2074" i="6"/>
  <c r="E2075" i="6"/>
  <c r="AE2043" i="8" l="1"/>
  <c r="AD2043" i="8" s="1"/>
  <c r="D2075" i="6"/>
  <c r="E2076" i="6"/>
  <c r="AE2044" i="8" l="1"/>
  <c r="AD2044" i="8" s="1"/>
  <c r="D2076" i="6"/>
  <c r="E2077" i="6"/>
  <c r="AE2045" i="8" l="1"/>
  <c r="AD2045" i="8" s="1"/>
  <c r="D2077" i="6"/>
  <c r="E2078" i="6"/>
  <c r="AE2046" i="8" l="1"/>
  <c r="AD2046" i="8" s="1"/>
  <c r="D2078" i="6"/>
  <c r="E2079" i="6"/>
  <c r="AE2047" i="8" l="1"/>
  <c r="AD2047" i="8" s="1"/>
  <c r="D2079" i="6"/>
  <c r="E2080" i="6"/>
  <c r="AE2048" i="8" l="1"/>
  <c r="AD2048" i="8" s="1"/>
  <c r="D2080" i="6"/>
  <c r="E2081" i="6"/>
  <c r="AE2049" i="8" l="1"/>
  <c r="AD2049" i="8" s="1"/>
  <c r="D2081" i="6"/>
  <c r="E2082" i="6"/>
  <c r="AE2050" i="8" l="1"/>
  <c r="AD2050" i="8" s="1"/>
  <c r="D2082" i="6"/>
  <c r="E2083" i="6"/>
  <c r="AE2051" i="8" l="1"/>
  <c r="AD2051" i="8" s="1"/>
  <c r="D2083" i="6"/>
  <c r="E2084" i="6"/>
  <c r="AE2052" i="8" l="1"/>
  <c r="AD2052" i="8" s="1"/>
  <c r="D2084" i="6"/>
  <c r="E2085" i="6"/>
  <c r="AE2053" i="8" l="1"/>
  <c r="AD2053" i="8" s="1"/>
  <c r="D2085" i="6"/>
  <c r="E2086" i="6"/>
  <c r="AE2054" i="8" l="1"/>
  <c r="AD2054" i="8" s="1"/>
  <c r="D2086" i="6"/>
  <c r="E2087" i="6"/>
  <c r="AE2055" i="8" l="1"/>
  <c r="AD2055" i="8" s="1"/>
  <c r="D2087" i="6"/>
  <c r="E2088" i="6"/>
  <c r="AE2056" i="8" l="1"/>
  <c r="AD2056" i="8" s="1"/>
  <c r="D2088" i="6"/>
  <c r="E2089" i="6"/>
  <c r="AE2057" i="8" l="1"/>
  <c r="AD2057" i="8" s="1"/>
  <c r="D2089" i="6"/>
  <c r="E2090" i="6"/>
  <c r="AE2058" i="8" l="1"/>
  <c r="AD2058" i="8" s="1"/>
  <c r="D2090" i="6"/>
  <c r="E2091" i="6"/>
  <c r="AE2059" i="8" l="1"/>
  <c r="AD2059" i="8" s="1"/>
  <c r="D2091" i="6"/>
  <c r="E2092" i="6"/>
  <c r="AE2060" i="8" l="1"/>
  <c r="AD2060" i="8" s="1"/>
  <c r="D2092" i="6"/>
  <c r="E2093" i="6"/>
  <c r="AE2061" i="8" l="1"/>
  <c r="AD2061" i="8" s="1"/>
  <c r="D2093" i="6"/>
  <c r="E2094" i="6"/>
  <c r="AE2062" i="8" l="1"/>
  <c r="AD2062" i="8" s="1"/>
  <c r="D2094" i="6"/>
  <c r="E2095" i="6"/>
  <c r="AE2063" i="8" l="1"/>
  <c r="AD2063" i="8" s="1"/>
  <c r="D2095" i="6"/>
  <c r="E2096" i="6"/>
  <c r="AE2064" i="8" l="1"/>
  <c r="AD2064" i="8" s="1"/>
  <c r="D2096" i="6"/>
  <c r="E2097" i="6"/>
  <c r="AE2065" i="8" l="1"/>
  <c r="AD2065" i="8" s="1"/>
  <c r="D2097" i="6"/>
  <c r="E2098" i="6"/>
  <c r="AE2066" i="8" l="1"/>
  <c r="AD2066" i="8" s="1"/>
  <c r="D2098" i="6"/>
  <c r="E2099" i="6"/>
  <c r="AE2067" i="8" l="1"/>
  <c r="AD2067" i="8" s="1"/>
  <c r="D2099" i="6"/>
  <c r="E2100" i="6"/>
  <c r="AE2068" i="8" l="1"/>
  <c r="AD2068" i="8" s="1"/>
  <c r="D2100" i="6"/>
  <c r="E2101" i="6"/>
  <c r="AE2069" i="8" l="1"/>
  <c r="AD2069" i="8" s="1"/>
  <c r="D2101" i="6"/>
  <c r="E2102" i="6"/>
  <c r="AE2070" i="8" l="1"/>
  <c r="AD2070" i="8" s="1"/>
  <c r="D2102" i="6"/>
  <c r="E2103" i="6"/>
  <c r="AE2071" i="8" l="1"/>
  <c r="AD2071" i="8" s="1"/>
  <c r="D2103" i="6"/>
  <c r="E2104" i="6"/>
  <c r="AE2072" i="8" l="1"/>
  <c r="AD2072" i="8" s="1"/>
  <c r="D2104" i="6"/>
  <c r="E2105" i="6"/>
  <c r="AE2073" i="8" l="1"/>
  <c r="AD2073" i="8" s="1"/>
  <c r="D2105" i="6"/>
  <c r="E2106" i="6"/>
  <c r="AE2074" i="8" l="1"/>
  <c r="AD2074" i="8" s="1"/>
  <c r="D2106" i="6"/>
  <c r="E2107" i="6"/>
  <c r="AE2075" i="8" l="1"/>
  <c r="AD2075" i="8" s="1"/>
  <c r="D2107" i="6"/>
  <c r="E2108" i="6"/>
  <c r="AE2076" i="8" l="1"/>
  <c r="AD2076" i="8" s="1"/>
  <c r="D2108" i="6"/>
  <c r="E2109" i="6"/>
  <c r="AE2077" i="8" l="1"/>
  <c r="AD2077" i="8" s="1"/>
  <c r="D2109" i="6"/>
  <c r="E2110" i="6"/>
  <c r="AE2078" i="8" l="1"/>
  <c r="AD2078" i="8" s="1"/>
  <c r="D2110" i="6"/>
  <c r="E2111" i="6"/>
  <c r="AE2079" i="8" l="1"/>
  <c r="AD2079" i="8" s="1"/>
  <c r="D2111" i="6"/>
  <c r="E2112" i="6"/>
  <c r="AE2080" i="8" l="1"/>
  <c r="AD2080" i="8" s="1"/>
  <c r="D2112" i="6"/>
  <c r="E2113" i="6"/>
  <c r="AE2081" i="8" l="1"/>
  <c r="AD2081" i="8" s="1"/>
  <c r="D2113" i="6"/>
  <c r="E2114" i="6"/>
  <c r="AE2082" i="8" l="1"/>
  <c r="AD2082" i="8" s="1"/>
  <c r="D2114" i="6"/>
  <c r="E2115" i="6"/>
  <c r="AE2083" i="8" l="1"/>
  <c r="AD2083" i="8" s="1"/>
  <c r="D2115" i="6"/>
  <c r="E2116" i="6"/>
  <c r="AE2084" i="8" l="1"/>
  <c r="AD2084" i="8" s="1"/>
  <c r="D2116" i="6"/>
  <c r="E2117" i="6"/>
  <c r="AE2085" i="8" l="1"/>
  <c r="AD2085" i="8" s="1"/>
  <c r="D2117" i="6"/>
  <c r="E2118" i="6"/>
  <c r="AE2086" i="8" l="1"/>
  <c r="AD2086" i="8" s="1"/>
  <c r="D2118" i="6"/>
  <c r="E2119" i="6"/>
  <c r="AE2087" i="8" l="1"/>
  <c r="AD2087" i="8" s="1"/>
  <c r="D2119" i="6"/>
  <c r="E2120" i="6"/>
  <c r="AE2088" i="8" l="1"/>
  <c r="AD2088" i="8" s="1"/>
  <c r="D2120" i="6"/>
  <c r="E2121" i="6"/>
  <c r="AE2089" i="8" l="1"/>
  <c r="AD2089" i="8" s="1"/>
  <c r="D2121" i="6"/>
  <c r="E2122" i="6"/>
  <c r="AE2090" i="8" l="1"/>
  <c r="AD2090" i="8" s="1"/>
  <c r="D2122" i="6"/>
  <c r="E2123" i="6"/>
  <c r="AE2091" i="8" l="1"/>
  <c r="AD2091" i="8" s="1"/>
  <c r="D2123" i="6"/>
  <c r="E2124" i="6"/>
  <c r="AE2092" i="8" l="1"/>
  <c r="AD2092" i="8" s="1"/>
  <c r="D2124" i="6"/>
  <c r="E2125" i="6"/>
  <c r="AE2093" i="8" l="1"/>
  <c r="AD2093" i="8" s="1"/>
  <c r="D2125" i="6"/>
  <c r="E2126" i="6"/>
  <c r="AE2094" i="8" l="1"/>
  <c r="AD2094" i="8" s="1"/>
  <c r="D2126" i="6"/>
  <c r="E2127" i="6"/>
  <c r="AE2095" i="8" l="1"/>
  <c r="AD2095" i="8" s="1"/>
  <c r="D2127" i="6"/>
  <c r="E2128" i="6"/>
  <c r="AE2096" i="8" l="1"/>
  <c r="AD2096" i="8" s="1"/>
  <c r="D2128" i="6"/>
  <c r="E2129" i="6"/>
  <c r="AE2097" i="8" l="1"/>
  <c r="AD2097" i="8" s="1"/>
  <c r="D2129" i="6"/>
  <c r="E2130" i="6"/>
  <c r="AE2098" i="8" l="1"/>
  <c r="AD2098" i="8" s="1"/>
  <c r="D2130" i="6"/>
  <c r="E2131" i="6"/>
  <c r="AE2099" i="8" l="1"/>
  <c r="AD2099" i="8" s="1"/>
  <c r="D2131" i="6"/>
  <c r="E2132" i="6"/>
  <c r="AE2100" i="8" l="1"/>
  <c r="AD2100" i="8" s="1"/>
  <c r="D2132" i="6"/>
  <c r="E2133" i="6"/>
  <c r="AE2101" i="8" l="1"/>
  <c r="AD2101" i="8" s="1"/>
  <c r="D2133" i="6"/>
  <c r="E2134" i="6"/>
  <c r="AE2102" i="8" l="1"/>
  <c r="AD2102" i="8" s="1"/>
  <c r="D2134" i="6"/>
  <c r="E2135" i="6"/>
  <c r="AE2103" i="8" l="1"/>
  <c r="AD2103" i="8" s="1"/>
  <c r="D2135" i="6"/>
  <c r="E2136" i="6"/>
  <c r="AE2104" i="8" l="1"/>
  <c r="AD2104" i="8" s="1"/>
  <c r="D2136" i="6"/>
  <c r="E2137" i="6"/>
  <c r="AE2105" i="8" l="1"/>
  <c r="AD2105" i="8" s="1"/>
  <c r="D2137" i="6"/>
  <c r="E2138" i="6"/>
  <c r="AE2106" i="8" l="1"/>
  <c r="AD2106" i="8" s="1"/>
  <c r="D2138" i="6"/>
  <c r="E2139" i="6"/>
  <c r="AE2107" i="8" l="1"/>
  <c r="AD2107" i="8" s="1"/>
  <c r="D2139" i="6"/>
  <c r="E2140" i="6"/>
  <c r="AE2108" i="8" l="1"/>
  <c r="AD2108" i="8" s="1"/>
  <c r="D2140" i="6"/>
  <c r="E2141" i="6"/>
  <c r="AE2109" i="8" l="1"/>
  <c r="AD2109" i="8" s="1"/>
  <c r="D2141" i="6"/>
  <c r="E2142" i="6"/>
  <c r="AE2110" i="8" l="1"/>
  <c r="AD2110" i="8" s="1"/>
  <c r="D2142" i="6"/>
  <c r="E2143" i="6"/>
  <c r="AE2111" i="8" l="1"/>
  <c r="AD2111" i="8" s="1"/>
  <c r="D2143" i="6"/>
  <c r="E2144" i="6"/>
  <c r="AE2112" i="8" l="1"/>
  <c r="AD2112" i="8" s="1"/>
  <c r="D2144" i="6"/>
  <c r="E2145" i="6"/>
  <c r="AE2113" i="8" l="1"/>
  <c r="AD2113" i="8" s="1"/>
  <c r="D2145" i="6"/>
  <c r="E2146" i="6"/>
  <c r="AE2114" i="8" l="1"/>
  <c r="AD2114" i="8" s="1"/>
  <c r="D2146" i="6"/>
  <c r="E2147" i="6"/>
  <c r="AE2115" i="8" l="1"/>
  <c r="AD2115" i="8" s="1"/>
  <c r="D2147" i="6"/>
  <c r="E2148" i="6"/>
  <c r="AE2116" i="8" l="1"/>
  <c r="AD2116" i="8" s="1"/>
  <c r="D2148" i="6"/>
  <c r="E2149" i="6"/>
  <c r="AE2117" i="8" l="1"/>
  <c r="AD2117" i="8" s="1"/>
  <c r="D2149" i="6"/>
  <c r="E2150" i="6"/>
  <c r="AE2118" i="8" l="1"/>
  <c r="AD2118" i="8" s="1"/>
  <c r="D2150" i="6"/>
  <c r="E2151" i="6"/>
  <c r="AE2119" i="8" l="1"/>
  <c r="AD2119" i="8" s="1"/>
  <c r="D2151" i="6"/>
  <c r="E2152" i="6"/>
  <c r="AE2120" i="8" l="1"/>
  <c r="AD2120" i="8" s="1"/>
  <c r="D2152" i="6"/>
  <c r="E2153" i="6"/>
  <c r="AE2121" i="8" l="1"/>
  <c r="AD2121" i="8" s="1"/>
  <c r="D2153" i="6"/>
  <c r="E2154" i="6"/>
  <c r="AE2122" i="8" l="1"/>
  <c r="AD2122" i="8" s="1"/>
  <c r="D2154" i="6"/>
  <c r="E2155" i="6"/>
  <c r="AE2123" i="8" l="1"/>
  <c r="AD2123" i="8" s="1"/>
  <c r="D2155" i="6"/>
  <c r="E2156" i="6"/>
  <c r="AE2124" i="8" l="1"/>
  <c r="AD2124" i="8" s="1"/>
  <c r="D2156" i="6"/>
  <c r="E2157" i="6"/>
  <c r="AE2125" i="8" l="1"/>
  <c r="AD2125" i="8" s="1"/>
  <c r="D2157" i="6"/>
  <c r="E2158" i="6"/>
  <c r="AE2126" i="8" l="1"/>
  <c r="AD2126" i="8" s="1"/>
  <c r="D2158" i="6"/>
  <c r="E2159" i="6"/>
  <c r="AE2127" i="8" l="1"/>
  <c r="AD2127" i="8" s="1"/>
  <c r="D2159" i="6"/>
  <c r="E2160" i="6"/>
  <c r="AE2128" i="8" l="1"/>
  <c r="AD2128" i="8" s="1"/>
  <c r="D2160" i="6"/>
  <c r="E2161" i="6"/>
  <c r="AE2129" i="8" l="1"/>
  <c r="AD2129" i="8" s="1"/>
  <c r="D2161" i="6"/>
  <c r="E2162" i="6"/>
  <c r="AE2130" i="8" l="1"/>
  <c r="AD2130" i="8" s="1"/>
  <c r="D2162" i="6"/>
  <c r="E2163" i="6"/>
  <c r="AE2131" i="8" l="1"/>
  <c r="AD2131" i="8" s="1"/>
  <c r="D2163" i="6"/>
  <c r="E2164" i="6"/>
  <c r="AE2132" i="8" l="1"/>
  <c r="AD2132" i="8" s="1"/>
  <c r="D2164" i="6"/>
  <c r="E2165" i="6"/>
  <c r="AE2133" i="8" l="1"/>
  <c r="AD2133" i="8" s="1"/>
  <c r="D2165" i="6"/>
  <c r="E2166" i="6"/>
  <c r="AE2134" i="8" l="1"/>
  <c r="AD2134" i="8" s="1"/>
  <c r="D2166" i="6"/>
  <c r="E2167" i="6"/>
  <c r="AE2135" i="8" l="1"/>
  <c r="AD2135" i="8" s="1"/>
  <c r="D2167" i="6"/>
  <c r="E2168" i="6"/>
  <c r="AE2136" i="8" l="1"/>
  <c r="AD2136" i="8" s="1"/>
  <c r="D2168" i="6"/>
  <c r="E2169" i="6"/>
  <c r="AE2137" i="8" l="1"/>
  <c r="AD2137" i="8" s="1"/>
  <c r="D2169" i="6"/>
  <c r="E2170" i="6"/>
  <c r="AE2138" i="8" l="1"/>
  <c r="AD2138" i="8" s="1"/>
  <c r="D2170" i="6"/>
  <c r="E2171" i="6"/>
  <c r="AE2139" i="8" l="1"/>
  <c r="AD2139" i="8" s="1"/>
  <c r="D2171" i="6"/>
  <c r="E2172" i="6"/>
  <c r="AE2140" i="8" l="1"/>
  <c r="AD2140" i="8" s="1"/>
  <c r="D2172" i="6"/>
  <c r="E2173" i="6"/>
  <c r="AE2141" i="8" l="1"/>
  <c r="AD2141" i="8" s="1"/>
  <c r="D2173" i="6"/>
  <c r="E2174" i="6"/>
  <c r="AE2142" i="8" l="1"/>
  <c r="AD2142" i="8" s="1"/>
  <c r="D2174" i="6"/>
  <c r="E2175" i="6"/>
  <c r="AE2143" i="8" l="1"/>
  <c r="AD2143" i="8" s="1"/>
  <c r="D2175" i="6"/>
  <c r="E2176" i="6"/>
  <c r="AE2144" i="8" l="1"/>
  <c r="AD2144" i="8" s="1"/>
  <c r="D2176" i="6"/>
  <c r="E2177" i="6"/>
  <c r="AE2145" i="8" l="1"/>
  <c r="AD2145" i="8" s="1"/>
  <c r="D2177" i="6"/>
  <c r="E2178" i="6"/>
  <c r="AE2146" i="8" l="1"/>
  <c r="AD2146" i="8" s="1"/>
  <c r="D2178" i="6"/>
  <c r="E2179" i="6"/>
  <c r="AE2147" i="8" l="1"/>
  <c r="AD2147" i="8" s="1"/>
  <c r="D2179" i="6"/>
  <c r="E2180" i="6"/>
  <c r="AE2148" i="8" l="1"/>
  <c r="AD2148" i="8" s="1"/>
  <c r="D2180" i="6"/>
  <c r="E2181" i="6"/>
  <c r="AE2149" i="8" l="1"/>
  <c r="AD2149" i="8" s="1"/>
  <c r="D2181" i="6"/>
  <c r="E2182" i="6"/>
  <c r="AE2150" i="8" l="1"/>
  <c r="AD2150" i="8" s="1"/>
  <c r="D2182" i="6"/>
  <c r="E2183" i="6"/>
  <c r="AE2151" i="8" l="1"/>
  <c r="AD2151" i="8" s="1"/>
  <c r="D2183" i="6"/>
  <c r="E2184" i="6"/>
  <c r="AE2152" i="8" l="1"/>
  <c r="AD2152" i="8" s="1"/>
  <c r="D2184" i="6"/>
  <c r="E2185" i="6"/>
  <c r="AE2153" i="8" l="1"/>
  <c r="AD2153" i="8" s="1"/>
  <c r="D2185" i="6"/>
  <c r="E2186" i="6"/>
  <c r="AE2154" i="8" l="1"/>
  <c r="AD2154" i="8" s="1"/>
  <c r="D2186" i="6"/>
  <c r="E2187" i="6"/>
  <c r="AE2155" i="8" l="1"/>
  <c r="AD2155" i="8" s="1"/>
  <c r="D2187" i="6"/>
  <c r="E2188" i="6"/>
  <c r="AE2156" i="8" l="1"/>
  <c r="AD2156" i="8" s="1"/>
  <c r="D2188" i="6"/>
  <c r="E2189" i="6"/>
  <c r="AE2157" i="8" l="1"/>
  <c r="AD2157" i="8" s="1"/>
  <c r="D2189" i="6"/>
  <c r="E2190" i="6"/>
  <c r="AE2158" i="8" l="1"/>
  <c r="AD2158" i="8" s="1"/>
  <c r="D2190" i="6"/>
  <c r="E2191" i="6"/>
  <c r="AE2159" i="8" l="1"/>
  <c r="AD2159" i="8" s="1"/>
  <c r="D2191" i="6"/>
  <c r="E2192" i="6"/>
  <c r="AE2160" i="8" l="1"/>
  <c r="AD2160" i="8" s="1"/>
  <c r="D2192" i="6"/>
  <c r="E2193" i="6"/>
  <c r="AE2161" i="8" l="1"/>
  <c r="AD2161" i="8" s="1"/>
  <c r="D2193" i="6"/>
  <c r="E2194" i="6"/>
  <c r="AE2162" i="8" l="1"/>
  <c r="AD2162" i="8" s="1"/>
  <c r="D2194" i="6"/>
  <c r="E2195" i="6"/>
  <c r="AE2163" i="8" l="1"/>
  <c r="AD2163" i="8" s="1"/>
  <c r="D2195" i="6"/>
  <c r="E2196" i="6"/>
  <c r="AE2164" i="8" l="1"/>
  <c r="AD2164" i="8" s="1"/>
  <c r="D2196" i="6"/>
  <c r="E2197" i="6"/>
  <c r="AE2165" i="8" l="1"/>
  <c r="AD2165" i="8" s="1"/>
  <c r="D2197" i="6"/>
  <c r="E2198" i="6"/>
  <c r="AE2166" i="8" l="1"/>
  <c r="AD2166" i="8" s="1"/>
  <c r="D2198" i="6"/>
  <c r="E2199" i="6"/>
  <c r="AE2167" i="8" l="1"/>
  <c r="AD2167" i="8" s="1"/>
  <c r="D2199" i="6"/>
  <c r="E2200" i="6"/>
  <c r="AE2168" i="8" l="1"/>
  <c r="AD2168" i="8" s="1"/>
  <c r="D2200" i="6"/>
  <c r="E2201" i="6"/>
  <c r="AE2169" i="8" l="1"/>
  <c r="AD2169" i="8" s="1"/>
  <c r="D2201" i="6"/>
  <c r="E2202" i="6"/>
  <c r="AE2170" i="8" l="1"/>
  <c r="AD2170" i="8" s="1"/>
  <c r="D2202" i="6"/>
  <c r="E2203" i="6"/>
  <c r="AE2171" i="8" l="1"/>
  <c r="AD2171" i="8" s="1"/>
  <c r="D2203" i="6"/>
  <c r="E2204" i="6"/>
  <c r="AE2172" i="8" l="1"/>
  <c r="AD2172" i="8" s="1"/>
  <c r="D2204" i="6"/>
  <c r="E2205" i="6"/>
  <c r="AE2173" i="8" l="1"/>
  <c r="AD2173" i="8" s="1"/>
  <c r="D2205" i="6"/>
  <c r="E2206" i="6"/>
  <c r="AE2174" i="8" l="1"/>
  <c r="AD2174" i="8" s="1"/>
  <c r="D2206" i="6"/>
  <c r="E2207" i="6"/>
  <c r="AE2175" i="8" l="1"/>
  <c r="AD2175" i="8" s="1"/>
  <c r="D2207" i="6"/>
  <c r="E2208" i="6"/>
  <c r="AE2176" i="8" l="1"/>
  <c r="AD2176" i="8" s="1"/>
  <c r="D2208" i="6"/>
  <c r="E2209" i="6"/>
  <c r="AE2177" i="8" l="1"/>
  <c r="AD2177" i="8" s="1"/>
  <c r="D2209" i="6"/>
  <c r="E2210" i="6"/>
  <c r="AE2178" i="8" l="1"/>
  <c r="AD2178" i="8" s="1"/>
  <c r="D2210" i="6"/>
  <c r="E2211" i="6"/>
  <c r="AE2179" i="8" l="1"/>
  <c r="AD2179" i="8" s="1"/>
  <c r="D2211" i="6"/>
  <c r="E2212" i="6"/>
  <c r="AE2180" i="8" l="1"/>
  <c r="AD2180" i="8" s="1"/>
  <c r="D2212" i="6"/>
  <c r="E2213" i="6"/>
  <c r="AE2181" i="8" l="1"/>
  <c r="AD2181" i="8" s="1"/>
  <c r="D2213" i="6"/>
  <c r="E2214" i="6"/>
  <c r="AE2182" i="8" l="1"/>
  <c r="AD2182" i="8" s="1"/>
  <c r="D2214" i="6"/>
  <c r="E2215" i="6"/>
  <c r="AE2183" i="8" l="1"/>
  <c r="AD2183" i="8" s="1"/>
  <c r="D2215" i="6"/>
  <c r="E2216" i="6"/>
  <c r="AE2184" i="8" l="1"/>
  <c r="AD2184" i="8" s="1"/>
  <c r="D2216" i="6"/>
  <c r="E2217" i="6"/>
  <c r="AE2185" i="8" l="1"/>
  <c r="AD2185" i="8" s="1"/>
  <c r="D2217" i="6"/>
  <c r="E2218" i="6"/>
  <c r="AE2186" i="8" l="1"/>
  <c r="AD2186" i="8" s="1"/>
  <c r="D2218" i="6"/>
  <c r="E2219" i="6"/>
  <c r="AE2187" i="8" l="1"/>
  <c r="AD2187" i="8" s="1"/>
  <c r="D2219" i="6"/>
  <c r="E2220" i="6"/>
  <c r="AE2188" i="8" l="1"/>
  <c r="AD2188" i="8" s="1"/>
  <c r="D2220" i="6"/>
  <c r="E2221" i="6"/>
  <c r="AE2189" i="8" l="1"/>
  <c r="AD2189" i="8" s="1"/>
  <c r="D2221" i="6"/>
  <c r="E2222" i="6"/>
  <c r="AE2190" i="8" l="1"/>
  <c r="AD2190" i="8" s="1"/>
  <c r="D2222" i="6"/>
  <c r="E2223" i="6"/>
  <c r="AE2191" i="8" l="1"/>
  <c r="AD2191" i="8" s="1"/>
  <c r="D2223" i="6"/>
  <c r="E2224" i="6"/>
  <c r="AE2192" i="8" l="1"/>
  <c r="AD2192" i="8" s="1"/>
  <c r="D2224" i="6"/>
  <c r="E2225" i="6"/>
  <c r="AE2193" i="8" l="1"/>
  <c r="AD2193" i="8" s="1"/>
  <c r="D2225" i="6"/>
  <c r="E2226" i="6"/>
  <c r="AE2194" i="8" l="1"/>
  <c r="AD2194" i="8" s="1"/>
  <c r="D2226" i="6"/>
  <c r="E2227" i="6"/>
  <c r="AE2195" i="8" l="1"/>
  <c r="AD2195" i="8" s="1"/>
  <c r="D2227" i="6"/>
  <c r="E2228" i="6"/>
  <c r="AE2196" i="8" l="1"/>
  <c r="AD2196" i="8" s="1"/>
  <c r="D2228" i="6"/>
  <c r="E2229" i="6"/>
  <c r="AE2197" i="8" l="1"/>
  <c r="AD2197" i="8" s="1"/>
  <c r="D2229" i="6"/>
  <c r="E2230" i="6"/>
  <c r="AE2198" i="8" l="1"/>
  <c r="AD2198" i="8" s="1"/>
  <c r="D2230" i="6"/>
  <c r="E2231" i="6"/>
  <c r="AE2199" i="8" l="1"/>
  <c r="AD2199" i="8" s="1"/>
  <c r="D2231" i="6"/>
  <c r="E2232" i="6"/>
  <c r="AE2200" i="8" l="1"/>
  <c r="AD2200" i="8" s="1"/>
  <c r="D2232" i="6"/>
  <c r="E2233" i="6"/>
  <c r="AE2201" i="8" l="1"/>
  <c r="AD2201" i="8" s="1"/>
  <c r="D2233" i="6"/>
  <c r="E2234" i="6"/>
  <c r="AE2202" i="8" l="1"/>
  <c r="AD2202" i="8" s="1"/>
  <c r="D2234" i="6"/>
  <c r="E2235" i="6"/>
  <c r="AE2203" i="8" l="1"/>
  <c r="AD2203" i="8" s="1"/>
  <c r="D2235" i="6"/>
  <c r="E2236" i="6"/>
  <c r="AE2204" i="8" l="1"/>
  <c r="AD2204" i="8" s="1"/>
  <c r="D2236" i="6"/>
  <c r="E2237" i="6"/>
  <c r="AE2205" i="8" l="1"/>
  <c r="AD2205" i="8" s="1"/>
  <c r="D2237" i="6"/>
  <c r="E2238" i="6"/>
  <c r="AE2206" i="8" l="1"/>
  <c r="AD2206" i="8" s="1"/>
  <c r="D2238" i="6"/>
  <c r="E2239" i="6"/>
  <c r="AE2207" i="8" l="1"/>
  <c r="AD2207" i="8" s="1"/>
  <c r="D2239" i="6"/>
  <c r="E2240" i="6"/>
  <c r="AE2208" i="8" l="1"/>
  <c r="AD2208" i="8" s="1"/>
  <c r="D2240" i="6"/>
  <c r="E2241" i="6"/>
  <c r="AE2209" i="8" l="1"/>
  <c r="AD2209" i="8" s="1"/>
  <c r="D2241" i="6"/>
  <c r="E2242" i="6"/>
  <c r="AE2210" i="8" l="1"/>
  <c r="AD2210" i="8" s="1"/>
  <c r="D2242" i="6"/>
  <c r="E2243" i="6"/>
  <c r="AE2211" i="8" l="1"/>
  <c r="AD2211" i="8" s="1"/>
  <c r="D2243" i="6"/>
  <c r="E2244" i="6"/>
  <c r="AE2212" i="8" l="1"/>
  <c r="AD2212" i="8" s="1"/>
  <c r="D2244" i="6"/>
  <c r="E2245" i="6"/>
  <c r="AE2213" i="8" l="1"/>
  <c r="AD2213" i="8" s="1"/>
  <c r="D2245" i="6"/>
  <c r="E2246" i="6"/>
  <c r="AE2214" i="8" l="1"/>
  <c r="AD2214" i="8" s="1"/>
  <c r="D2246" i="6"/>
  <c r="E2247" i="6"/>
  <c r="AE2215" i="8" l="1"/>
  <c r="AD2215" i="8" s="1"/>
  <c r="D2247" i="6"/>
  <c r="E2248" i="6"/>
  <c r="AE2216" i="8" l="1"/>
  <c r="AD2216" i="8" s="1"/>
  <c r="D2248" i="6"/>
  <c r="E2249" i="6"/>
  <c r="AE2217" i="8" l="1"/>
  <c r="AD2217" i="8" s="1"/>
  <c r="D2249" i="6"/>
  <c r="E2250" i="6"/>
  <c r="AE2218" i="8" l="1"/>
  <c r="AD2218" i="8" s="1"/>
  <c r="D2250" i="6"/>
  <c r="E2251" i="6"/>
  <c r="AE2219" i="8" l="1"/>
  <c r="AD2219" i="8" s="1"/>
  <c r="D2251" i="6"/>
  <c r="E2252" i="6"/>
  <c r="AE2220" i="8" l="1"/>
  <c r="AD2220" i="8" s="1"/>
  <c r="D2252" i="6"/>
  <c r="E2253" i="6"/>
  <c r="AE2221" i="8" l="1"/>
  <c r="AD2221" i="8" s="1"/>
  <c r="D2253" i="6"/>
  <c r="E2254" i="6"/>
  <c r="AE2222" i="8" l="1"/>
  <c r="AD2222" i="8" s="1"/>
  <c r="D2254" i="6"/>
  <c r="E2255" i="6"/>
  <c r="AE2223" i="8" l="1"/>
  <c r="AD2223" i="8" s="1"/>
  <c r="D2255" i="6"/>
  <c r="E2256" i="6"/>
  <c r="AE2224" i="8" l="1"/>
  <c r="AD2224" i="8" s="1"/>
  <c r="D2256" i="6"/>
  <c r="E2257" i="6"/>
  <c r="AE2225" i="8" l="1"/>
  <c r="AD2225" i="8" s="1"/>
  <c r="D2257" i="6"/>
  <c r="E2258" i="6"/>
  <c r="AE2226" i="8" l="1"/>
  <c r="AD2226" i="8" s="1"/>
  <c r="D2258" i="6"/>
  <c r="E2259" i="6"/>
  <c r="AE2227" i="8" l="1"/>
  <c r="AD2227" i="8" s="1"/>
  <c r="D2259" i="6"/>
  <c r="E2260" i="6"/>
  <c r="AE2228" i="8" l="1"/>
  <c r="AD2228" i="8" s="1"/>
  <c r="D2260" i="6"/>
  <c r="E2261" i="6"/>
  <c r="AE2229" i="8" l="1"/>
  <c r="AD2229" i="8" s="1"/>
  <c r="D2261" i="6"/>
  <c r="E2262" i="6"/>
  <c r="AE2230" i="8" l="1"/>
  <c r="AD2230" i="8" s="1"/>
  <c r="D2262" i="6"/>
  <c r="E2263" i="6"/>
  <c r="AE2231" i="8" l="1"/>
  <c r="AD2231" i="8" s="1"/>
  <c r="D2263" i="6"/>
  <c r="E2264" i="6"/>
  <c r="AE2232" i="8" l="1"/>
  <c r="AD2232" i="8" s="1"/>
  <c r="D2264" i="6"/>
  <c r="E2265" i="6"/>
  <c r="AE2233" i="8" l="1"/>
  <c r="AD2233" i="8" s="1"/>
  <c r="D2265" i="6"/>
  <c r="E2266" i="6"/>
  <c r="AE2234" i="8" l="1"/>
  <c r="AD2234" i="8" s="1"/>
  <c r="D2266" i="6"/>
  <c r="E2267" i="6"/>
  <c r="AE2235" i="8" l="1"/>
  <c r="AD2235" i="8" s="1"/>
  <c r="D2267" i="6"/>
  <c r="E2268" i="6"/>
  <c r="AE2236" i="8" l="1"/>
  <c r="AD2236" i="8" s="1"/>
  <c r="D2268" i="6"/>
  <c r="E2269" i="6"/>
  <c r="AE2237" i="8" l="1"/>
  <c r="AD2237" i="8" s="1"/>
  <c r="D2269" i="6"/>
  <c r="E2270" i="6"/>
  <c r="AE2238" i="8" l="1"/>
  <c r="AD2238" i="8" s="1"/>
  <c r="D2270" i="6"/>
  <c r="E2271" i="6"/>
  <c r="AE2239" i="8" l="1"/>
  <c r="AD2239" i="8" s="1"/>
  <c r="D2271" i="6"/>
  <c r="E2272" i="6"/>
  <c r="AE2240" i="8" l="1"/>
  <c r="AD2240" i="8" s="1"/>
  <c r="D2272" i="6"/>
  <c r="E2273" i="6"/>
  <c r="AE2241" i="8" l="1"/>
  <c r="AD2241" i="8" s="1"/>
  <c r="D2273" i="6"/>
  <c r="E2274" i="6"/>
  <c r="AE2242" i="8" l="1"/>
  <c r="AD2242" i="8" s="1"/>
  <c r="D2274" i="6"/>
  <c r="E2275" i="6"/>
  <c r="AE2243" i="8" l="1"/>
  <c r="AD2243" i="8" s="1"/>
  <c r="D2275" i="6"/>
  <c r="E2276" i="6"/>
  <c r="AE2244" i="8" l="1"/>
  <c r="AD2244" i="8" s="1"/>
  <c r="D2276" i="6"/>
  <c r="E2277" i="6"/>
  <c r="AE2245" i="8" l="1"/>
  <c r="AD2245" i="8" s="1"/>
  <c r="D2277" i="6"/>
  <c r="E2278" i="6"/>
  <c r="AE2246" i="8" l="1"/>
  <c r="AD2246" i="8" s="1"/>
  <c r="D2278" i="6"/>
  <c r="E2279" i="6"/>
  <c r="AE2247" i="8" l="1"/>
  <c r="AD2247" i="8" s="1"/>
  <c r="D2279" i="6"/>
  <c r="E2280" i="6"/>
  <c r="AE2248" i="8" l="1"/>
  <c r="AD2248" i="8" s="1"/>
  <c r="D2280" i="6"/>
  <c r="E2281" i="6"/>
  <c r="AE2249" i="8" l="1"/>
  <c r="AD2249" i="8" s="1"/>
  <c r="D2281" i="6"/>
  <c r="E2282" i="6"/>
  <c r="AE2250" i="8" l="1"/>
  <c r="AD2250" i="8" s="1"/>
  <c r="D2282" i="6"/>
  <c r="E2283" i="6"/>
  <c r="AE2251" i="8" l="1"/>
  <c r="AD2251" i="8" s="1"/>
  <c r="D2283" i="6"/>
  <c r="E2284" i="6"/>
  <c r="AE2252" i="8" l="1"/>
  <c r="AD2252" i="8" s="1"/>
  <c r="D2284" i="6"/>
  <c r="E2285" i="6"/>
  <c r="AE2253" i="8" l="1"/>
  <c r="AD2253" i="8" s="1"/>
  <c r="D2285" i="6"/>
  <c r="E2286" i="6"/>
  <c r="AE2254" i="8" l="1"/>
  <c r="AD2254" i="8" s="1"/>
  <c r="D2286" i="6"/>
  <c r="E2287" i="6"/>
  <c r="AE2255" i="8" l="1"/>
  <c r="AD2255" i="8" s="1"/>
  <c r="D2287" i="6"/>
  <c r="E2288" i="6"/>
  <c r="AE2256" i="8" l="1"/>
  <c r="AD2256" i="8" s="1"/>
  <c r="D2288" i="6"/>
  <c r="E2289" i="6"/>
  <c r="AE2257" i="8" l="1"/>
  <c r="AD2257" i="8" s="1"/>
  <c r="D2289" i="6"/>
  <c r="E2290" i="6"/>
  <c r="AE2258" i="8" l="1"/>
  <c r="AD2258" i="8" s="1"/>
  <c r="D2290" i="6"/>
  <c r="E2291" i="6"/>
  <c r="AE2259" i="8" l="1"/>
  <c r="AD2259" i="8" s="1"/>
  <c r="D2291" i="6"/>
  <c r="E2292" i="6"/>
  <c r="AE2260" i="8" l="1"/>
  <c r="AD2260" i="8" s="1"/>
  <c r="D2292" i="6"/>
  <c r="E2293" i="6"/>
  <c r="AE2261" i="8" l="1"/>
  <c r="AD2261" i="8" s="1"/>
  <c r="D2293" i="6"/>
  <c r="E2294" i="6"/>
  <c r="AE2262" i="8" l="1"/>
  <c r="AD2262" i="8" s="1"/>
  <c r="D2294" i="6"/>
  <c r="E2295" i="6"/>
  <c r="AE2263" i="8" l="1"/>
  <c r="AD2263" i="8" s="1"/>
  <c r="D2295" i="6"/>
  <c r="E2296" i="6"/>
  <c r="AE2264" i="8" l="1"/>
  <c r="AD2264" i="8" s="1"/>
  <c r="D2296" i="6"/>
  <c r="E2297" i="6"/>
  <c r="AE2265" i="8" l="1"/>
  <c r="AD2265" i="8" s="1"/>
  <c r="D2297" i="6"/>
  <c r="E2298" i="6"/>
  <c r="AE2266" i="8" l="1"/>
  <c r="AD2266" i="8" s="1"/>
  <c r="D2298" i="6"/>
  <c r="E2299" i="6"/>
  <c r="AE2267" i="8" l="1"/>
  <c r="AD2267" i="8" s="1"/>
  <c r="D2299" i="6"/>
  <c r="E2300" i="6"/>
  <c r="AE2268" i="8" l="1"/>
  <c r="AD2268" i="8" s="1"/>
  <c r="D2300" i="6"/>
  <c r="E2301" i="6"/>
  <c r="AE2269" i="8" l="1"/>
  <c r="AD2269" i="8" s="1"/>
  <c r="D2301" i="6"/>
  <c r="E2302" i="6"/>
  <c r="AE2270" i="8" l="1"/>
  <c r="AD2270" i="8" s="1"/>
  <c r="D2302" i="6"/>
  <c r="E2303" i="6"/>
  <c r="AE2271" i="8" l="1"/>
  <c r="AD2271" i="8" s="1"/>
  <c r="D2303" i="6"/>
  <c r="E2304" i="6"/>
  <c r="AE2272" i="8" l="1"/>
  <c r="AD2272" i="8" s="1"/>
  <c r="D2304" i="6"/>
  <c r="E2305" i="6"/>
  <c r="AE2273" i="8" l="1"/>
  <c r="AD2273" i="8" s="1"/>
  <c r="D2305" i="6"/>
  <c r="E2306" i="6"/>
  <c r="AE2274" i="8" l="1"/>
  <c r="AD2274" i="8" s="1"/>
  <c r="D2306" i="6"/>
  <c r="E2307" i="6"/>
  <c r="AE2275" i="8" l="1"/>
  <c r="AD2275" i="8" s="1"/>
  <c r="D2307" i="6"/>
  <c r="E2308" i="6"/>
  <c r="AE2276" i="8" l="1"/>
  <c r="AD2276" i="8" s="1"/>
  <c r="D2308" i="6"/>
  <c r="E2309" i="6"/>
  <c r="AE2277" i="8" l="1"/>
  <c r="AD2277" i="8" s="1"/>
  <c r="D2309" i="6"/>
  <c r="E2310" i="6"/>
  <c r="AE2278" i="8" l="1"/>
  <c r="AD2278" i="8" s="1"/>
  <c r="D2310" i="6"/>
  <c r="E2311" i="6"/>
  <c r="AE2279" i="8" l="1"/>
  <c r="AD2279" i="8" s="1"/>
  <c r="D2311" i="6"/>
  <c r="E2312" i="6"/>
  <c r="AE2280" i="8" l="1"/>
  <c r="AD2280" i="8" s="1"/>
  <c r="D2312" i="6"/>
  <c r="E2313" i="6"/>
  <c r="AE2281" i="8" l="1"/>
  <c r="AD2281" i="8" s="1"/>
  <c r="D2313" i="6"/>
  <c r="E2314" i="6"/>
  <c r="AE2282" i="8" l="1"/>
  <c r="AD2282" i="8" s="1"/>
  <c r="D2314" i="6"/>
  <c r="E2315" i="6"/>
  <c r="AE2283" i="8" l="1"/>
  <c r="AD2283" i="8" s="1"/>
  <c r="D2315" i="6"/>
  <c r="E2316" i="6"/>
  <c r="AE2284" i="8" l="1"/>
  <c r="AD2284" i="8" s="1"/>
  <c r="D2316" i="6"/>
  <c r="E2317" i="6"/>
  <c r="AE2285" i="8" l="1"/>
  <c r="AD2285" i="8" s="1"/>
  <c r="D2317" i="6"/>
  <c r="E2318" i="6"/>
  <c r="AE2286" i="8" l="1"/>
  <c r="AD2286" i="8" s="1"/>
  <c r="D2318" i="6"/>
  <c r="E2319" i="6"/>
  <c r="AE2287" i="8" l="1"/>
  <c r="AD2287" i="8" s="1"/>
  <c r="D2319" i="6"/>
  <c r="E2320" i="6"/>
  <c r="AE2288" i="8" l="1"/>
  <c r="AD2288" i="8" s="1"/>
  <c r="D2320" i="6"/>
  <c r="E2321" i="6"/>
  <c r="AE2289" i="8" l="1"/>
  <c r="AD2289" i="8" s="1"/>
  <c r="D2321" i="6"/>
  <c r="E2322" i="6"/>
  <c r="AE2290" i="8" l="1"/>
  <c r="AD2290" i="8" s="1"/>
  <c r="D2322" i="6"/>
  <c r="E2323" i="6"/>
  <c r="AE2291" i="8" l="1"/>
  <c r="AD2291" i="8" s="1"/>
  <c r="D2323" i="6"/>
  <c r="E2324" i="6"/>
  <c r="AE2292" i="8" l="1"/>
  <c r="AD2292" i="8" s="1"/>
  <c r="D2324" i="6"/>
  <c r="E2325" i="6"/>
  <c r="AE2293" i="8" l="1"/>
  <c r="AD2293" i="8" s="1"/>
  <c r="D2325" i="6"/>
  <c r="E2326" i="6"/>
  <c r="AE2294" i="8" l="1"/>
  <c r="AD2294" i="8" s="1"/>
  <c r="D2326" i="6"/>
  <c r="E2327" i="6"/>
  <c r="AE2295" i="8" l="1"/>
  <c r="AD2295" i="8" s="1"/>
  <c r="D2327" i="6"/>
  <c r="E2328" i="6"/>
  <c r="AE2296" i="8" l="1"/>
  <c r="AD2296" i="8" s="1"/>
  <c r="D2328" i="6"/>
  <c r="E2329" i="6"/>
  <c r="AE2297" i="8" l="1"/>
  <c r="AD2297" i="8" s="1"/>
  <c r="D2329" i="6"/>
  <c r="E2330" i="6"/>
  <c r="AE2298" i="8" l="1"/>
  <c r="AD2298" i="8" s="1"/>
  <c r="D2330" i="6"/>
  <c r="E2331" i="6"/>
  <c r="AE2299" i="8" l="1"/>
  <c r="AD2299" i="8" s="1"/>
  <c r="D2331" i="6"/>
  <c r="E2332" i="6"/>
  <c r="AE2300" i="8" l="1"/>
  <c r="AD2300" i="8" s="1"/>
  <c r="D2332" i="6"/>
  <c r="E2333" i="6"/>
  <c r="AE2301" i="8" l="1"/>
  <c r="AD2301" i="8" s="1"/>
  <c r="D2333" i="6"/>
  <c r="E2334" i="6"/>
  <c r="AE2302" i="8" l="1"/>
  <c r="AD2302" i="8" s="1"/>
  <c r="D2334" i="6"/>
  <c r="E2335" i="6"/>
  <c r="AE2303" i="8" l="1"/>
  <c r="AD2303" i="8" s="1"/>
  <c r="D2335" i="6"/>
  <c r="E2336" i="6"/>
  <c r="AE2304" i="8" l="1"/>
  <c r="AD2304" i="8" s="1"/>
  <c r="D2336" i="6"/>
  <c r="E2337" i="6"/>
  <c r="AE2305" i="8" l="1"/>
  <c r="AD2305" i="8" s="1"/>
  <c r="D2337" i="6"/>
  <c r="E2338" i="6"/>
  <c r="AE2306" i="8" l="1"/>
  <c r="AD2306" i="8" s="1"/>
  <c r="D2338" i="6"/>
  <c r="E2339" i="6"/>
  <c r="AE2307" i="8" l="1"/>
  <c r="AD2307" i="8" s="1"/>
  <c r="D2339" i="6"/>
  <c r="E2340" i="6"/>
  <c r="AE2308" i="8" l="1"/>
  <c r="AD2308" i="8" s="1"/>
  <c r="D2340" i="6"/>
  <c r="E2341" i="6"/>
  <c r="AE2309" i="8" l="1"/>
  <c r="AD2309" i="8" s="1"/>
  <c r="D2341" i="6"/>
  <c r="E2342" i="6"/>
  <c r="AE2310" i="8" l="1"/>
  <c r="AD2310" i="8" s="1"/>
  <c r="D2342" i="6"/>
  <c r="E2343" i="6"/>
  <c r="AE2311" i="8" l="1"/>
  <c r="AD2311" i="8" s="1"/>
  <c r="D2343" i="6"/>
  <c r="E2344" i="6"/>
  <c r="AE2312" i="8" l="1"/>
  <c r="AD2312" i="8" s="1"/>
  <c r="D2344" i="6"/>
  <c r="E2345" i="6"/>
  <c r="AE2313" i="8" l="1"/>
  <c r="AD2313" i="8" s="1"/>
  <c r="D2345" i="6"/>
  <c r="E2346" i="6"/>
  <c r="AE2314" i="8" l="1"/>
  <c r="AD2314" i="8" s="1"/>
  <c r="D2346" i="6"/>
  <c r="E2347" i="6"/>
  <c r="AE2315" i="8" l="1"/>
  <c r="AD2315" i="8" s="1"/>
  <c r="D2347" i="6"/>
  <c r="E2348" i="6"/>
  <c r="AE2316" i="8" l="1"/>
  <c r="AD2316" i="8" s="1"/>
  <c r="D2348" i="6"/>
  <c r="E2349" i="6"/>
  <c r="AE2317" i="8" l="1"/>
  <c r="AD2317" i="8" s="1"/>
  <c r="D2349" i="6"/>
  <c r="E2350" i="6"/>
  <c r="AE2318" i="8" l="1"/>
  <c r="AD2318" i="8" s="1"/>
  <c r="D2350" i="6"/>
  <c r="E2351" i="6"/>
  <c r="AE2319" i="8" l="1"/>
  <c r="AD2319" i="8" s="1"/>
  <c r="D2351" i="6"/>
  <c r="E2352" i="6"/>
  <c r="AE2320" i="8" l="1"/>
  <c r="AD2320" i="8" s="1"/>
  <c r="D2352" i="6"/>
  <c r="E2353" i="6"/>
  <c r="AE2321" i="8" l="1"/>
  <c r="AD2321" i="8" s="1"/>
  <c r="D2353" i="6"/>
  <c r="E2354" i="6"/>
  <c r="AE2322" i="8" l="1"/>
  <c r="AD2322" i="8" s="1"/>
  <c r="E2355" i="6"/>
  <c r="D2354" i="6"/>
  <c r="AE2323" i="8" l="1"/>
  <c r="AD2323" i="8" s="1"/>
  <c r="D2355" i="6"/>
  <c r="E2356" i="6"/>
  <c r="AE2324" i="8" l="1"/>
  <c r="AD2324" i="8" s="1"/>
  <c r="E2357" i="6"/>
  <c r="D2356" i="6"/>
  <c r="AE2325" i="8" l="1"/>
  <c r="AD2325" i="8" s="1"/>
  <c r="D2357" i="6"/>
  <c r="E2358" i="6"/>
  <c r="AE2326" i="8" l="1"/>
  <c r="AD2326" i="8" s="1"/>
  <c r="E2359" i="6"/>
  <c r="D2358" i="6"/>
  <c r="AE2327" i="8" l="1"/>
  <c r="AD2327" i="8" s="1"/>
  <c r="D2359" i="6"/>
  <c r="E2360" i="6"/>
  <c r="AE2328" i="8" l="1"/>
  <c r="AD2328" i="8" s="1"/>
  <c r="E2361" i="6"/>
  <c r="D2360" i="6"/>
  <c r="AE2329" i="8" l="1"/>
  <c r="AD2329" i="8" s="1"/>
  <c r="D2361" i="6"/>
  <c r="E2362" i="6"/>
  <c r="AE2330" i="8" l="1"/>
  <c r="AD2330" i="8" s="1"/>
  <c r="E2363" i="6"/>
  <c r="D2362" i="6"/>
  <c r="AE2331" i="8" l="1"/>
  <c r="AD2331" i="8" s="1"/>
  <c r="D2363" i="6"/>
  <c r="E2364" i="6"/>
  <c r="AE2332" i="8" l="1"/>
  <c r="AD2332" i="8" s="1"/>
  <c r="E2365" i="6"/>
  <c r="D2364" i="6"/>
  <c r="AE2333" i="8" l="1"/>
  <c r="AD2333" i="8" s="1"/>
  <c r="D2365" i="6"/>
  <c r="E2366" i="6"/>
  <c r="AE2334" i="8" l="1"/>
  <c r="AD2334" i="8" s="1"/>
  <c r="E2367" i="6"/>
  <c r="D2366" i="6"/>
  <c r="AE2335" i="8" l="1"/>
  <c r="AD2335" i="8" s="1"/>
  <c r="D2367" i="6"/>
  <c r="E2368" i="6"/>
  <c r="AE2336" i="8" l="1"/>
  <c r="AD2336" i="8" s="1"/>
  <c r="E2369" i="6"/>
  <c r="D2368" i="6"/>
  <c r="AE2337" i="8" l="1"/>
  <c r="AD2337" i="8" s="1"/>
  <c r="D2369" i="6"/>
  <c r="E2370" i="6"/>
  <c r="AE2338" i="8" l="1"/>
  <c r="AD2338" i="8" s="1"/>
  <c r="D2370" i="6"/>
  <c r="E2371" i="6"/>
  <c r="AE2339" i="8" l="1"/>
  <c r="AD2339" i="8" s="1"/>
  <c r="D2371" i="6"/>
  <c r="E2372" i="6"/>
  <c r="AE2340" i="8" l="1"/>
  <c r="AD2340" i="8" s="1"/>
  <c r="D2372" i="6"/>
  <c r="E2373" i="6"/>
  <c r="AE2341" i="8" l="1"/>
  <c r="AD2341" i="8" s="1"/>
  <c r="D2373" i="6"/>
  <c r="E2374" i="6"/>
  <c r="AE2342" i="8" l="1"/>
  <c r="AD2342" i="8" s="1"/>
  <c r="D2374" i="6"/>
  <c r="E2375" i="6"/>
  <c r="AE2343" i="8" l="1"/>
  <c r="AD2343" i="8" s="1"/>
  <c r="D2375" i="6"/>
  <c r="E2376" i="6"/>
  <c r="AE2344" i="8" l="1"/>
  <c r="AD2344" i="8" s="1"/>
  <c r="D2376" i="6"/>
  <c r="E2377" i="6"/>
  <c r="AE2345" i="8" l="1"/>
  <c r="AD2345" i="8" s="1"/>
  <c r="D2377" i="6"/>
  <c r="E2378" i="6"/>
  <c r="AE2346" i="8" l="1"/>
  <c r="AD2346" i="8" s="1"/>
  <c r="D2378" i="6"/>
  <c r="E2379" i="6"/>
  <c r="AE2347" i="8" l="1"/>
  <c r="AD2347" i="8" s="1"/>
  <c r="D2379" i="6"/>
  <c r="E2380" i="6"/>
  <c r="AE2348" i="8" l="1"/>
  <c r="AD2348" i="8" s="1"/>
  <c r="D2380" i="6"/>
  <c r="E2381" i="6"/>
  <c r="AE2349" i="8" l="1"/>
  <c r="AD2349" i="8" s="1"/>
  <c r="D2381" i="6"/>
  <c r="E2382" i="6"/>
  <c r="AE2350" i="8" l="1"/>
  <c r="AD2350" i="8" s="1"/>
  <c r="D2382" i="6"/>
  <c r="E2383" i="6"/>
  <c r="AE2351" i="8" l="1"/>
  <c r="AD2351" i="8" s="1"/>
  <c r="D2383" i="6"/>
  <c r="E2384" i="6"/>
  <c r="AE2352" i="8" l="1"/>
  <c r="AD2352" i="8" s="1"/>
  <c r="D2384" i="6"/>
  <c r="E2385" i="6"/>
  <c r="AE2353" i="8" l="1"/>
  <c r="AD2353" i="8" s="1"/>
  <c r="D2385" i="6"/>
  <c r="E2386" i="6"/>
  <c r="AE2354" i="8" l="1"/>
  <c r="AD2354" i="8" s="1"/>
  <c r="D2386" i="6"/>
  <c r="E2387" i="6"/>
  <c r="AE2355" i="8" l="1"/>
  <c r="AD2355" i="8" s="1"/>
  <c r="D2387" i="6"/>
  <c r="E2388" i="6"/>
  <c r="AE2356" i="8" l="1"/>
  <c r="AD2356" i="8" s="1"/>
  <c r="D2388" i="6"/>
  <c r="E2389" i="6"/>
  <c r="AE2357" i="8" l="1"/>
  <c r="AD2357" i="8" s="1"/>
  <c r="D2389" i="6"/>
  <c r="E2390" i="6"/>
  <c r="AE2358" i="8" l="1"/>
  <c r="AD2358" i="8" s="1"/>
  <c r="D2390" i="6"/>
  <c r="E2391" i="6"/>
  <c r="AE2359" i="8" l="1"/>
  <c r="AD2359" i="8" s="1"/>
  <c r="D2391" i="6"/>
  <c r="E2392" i="6"/>
  <c r="AE2360" i="8" l="1"/>
  <c r="AD2360" i="8" s="1"/>
  <c r="D2392" i="6"/>
  <c r="E2393" i="6"/>
  <c r="AE2361" i="8" l="1"/>
  <c r="AD2361" i="8" s="1"/>
  <c r="D2393" i="6"/>
  <c r="E2394" i="6"/>
  <c r="AE2362" i="8" l="1"/>
  <c r="AD2362" i="8" s="1"/>
  <c r="D2394" i="6"/>
  <c r="E2395" i="6"/>
  <c r="AE2363" i="8" l="1"/>
  <c r="AD2363" i="8" s="1"/>
  <c r="D2395" i="6"/>
  <c r="E2396" i="6"/>
  <c r="AE2364" i="8" l="1"/>
  <c r="AD2364" i="8" s="1"/>
  <c r="D2396" i="6"/>
  <c r="E2397" i="6"/>
  <c r="AE2365" i="8" l="1"/>
  <c r="AD2365" i="8" s="1"/>
  <c r="D2397" i="6"/>
  <c r="E2398" i="6"/>
  <c r="AE2366" i="8" l="1"/>
  <c r="AD2366" i="8" s="1"/>
  <c r="D2398" i="6"/>
  <c r="E2399" i="6"/>
  <c r="AE2367" i="8" l="1"/>
  <c r="AD2367" i="8" s="1"/>
  <c r="D2399" i="6"/>
  <c r="E2400" i="6"/>
  <c r="AE2368" i="8" l="1"/>
  <c r="AD2368" i="8" s="1"/>
  <c r="D2400" i="6"/>
  <c r="E2401" i="6"/>
  <c r="AE2369" i="8" l="1"/>
  <c r="AD2369" i="8" s="1"/>
  <c r="D2401" i="6"/>
  <c r="E2402" i="6"/>
  <c r="AE2370" i="8" l="1"/>
  <c r="AD2370" i="8" s="1"/>
  <c r="D2402" i="6"/>
  <c r="E2403" i="6"/>
  <c r="AE2371" i="8" l="1"/>
  <c r="AD2371" i="8" s="1"/>
  <c r="D2403" i="6"/>
  <c r="E2404" i="6"/>
  <c r="AE2372" i="8" l="1"/>
  <c r="AD2372" i="8" s="1"/>
  <c r="D2404" i="6"/>
  <c r="E2405" i="6"/>
  <c r="AE2373" i="8" l="1"/>
  <c r="AD2373" i="8" s="1"/>
  <c r="D2405" i="6"/>
  <c r="E2406" i="6"/>
  <c r="AE2374" i="8" l="1"/>
  <c r="AD2374" i="8" s="1"/>
  <c r="D2406" i="6"/>
  <c r="E2407" i="6"/>
  <c r="AE2375" i="8" l="1"/>
  <c r="AD2375" i="8" s="1"/>
  <c r="D2407" i="6"/>
  <c r="E2408" i="6"/>
  <c r="AE2376" i="8" l="1"/>
  <c r="AD2376" i="8" s="1"/>
  <c r="D2408" i="6"/>
  <c r="E2409" i="6"/>
  <c r="AE2377" i="8" l="1"/>
  <c r="AD2377" i="8" s="1"/>
  <c r="D2409" i="6"/>
  <c r="E2410" i="6"/>
  <c r="AE2378" i="8" l="1"/>
  <c r="AD2378" i="8" s="1"/>
  <c r="D2410" i="6"/>
  <c r="E2411" i="6"/>
  <c r="AE2379" i="8" l="1"/>
  <c r="AD2379" i="8" s="1"/>
  <c r="D2411" i="6"/>
  <c r="E2412" i="6"/>
  <c r="AE2380" i="8" l="1"/>
  <c r="AD2380" i="8" s="1"/>
  <c r="D2412" i="6"/>
  <c r="E2413" i="6"/>
  <c r="AE2381" i="8" l="1"/>
  <c r="AD2381" i="8" s="1"/>
  <c r="D2413" i="6"/>
  <c r="E2414" i="6"/>
  <c r="AE2382" i="8" l="1"/>
  <c r="AD2382" i="8" s="1"/>
  <c r="D2414" i="6"/>
  <c r="E2415" i="6"/>
  <c r="AE2383" i="8" l="1"/>
  <c r="AD2383" i="8" s="1"/>
  <c r="D2415" i="6"/>
  <c r="E2416" i="6"/>
  <c r="AE2384" i="8" l="1"/>
  <c r="AD2384" i="8" s="1"/>
  <c r="D2416" i="6"/>
  <c r="E2417" i="6"/>
  <c r="AE2385" i="8" l="1"/>
  <c r="AD2385" i="8" s="1"/>
  <c r="D2417" i="6"/>
  <c r="E2418" i="6"/>
  <c r="AE2386" i="8" l="1"/>
  <c r="AD2386" i="8" s="1"/>
  <c r="D2418" i="6"/>
  <c r="E2419" i="6"/>
  <c r="AE2387" i="8" l="1"/>
  <c r="AD2387" i="8" s="1"/>
  <c r="D2419" i="6"/>
  <c r="E2420" i="6"/>
  <c r="AE2388" i="8" l="1"/>
  <c r="AD2388" i="8" s="1"/>
  <c r="D2420" i="6"/>
  <c r="E2421" i="6"/>
  <c r="AE2389" i="8" l="1"/>
  <c r="AD2389" i="8" s="1"/>
  <c r="D2421" i="6"/>
  <c r="E2422" i="6"/>
  <c r="AE2390" i="8" l="1"/>
  <c r="AD2390" i="8" s="1"/>
  <c r="D2422" i="6"/>
  <c r="E2423" i="6"/>
  <c r="AE2391" i="8" l="1"/>
  <c r="AD2391" i="8" s="1"/>
  <c r="D2423" i="6"/>
  <c r="E2424" i="6"/>
  <c r="AE2392" i="8" l="1"/>
  <c r="AD2392" i="8" s="1"/>
  <c r="D2424" i="6"/>
  <c r="E2425" i="6"/>
  <c r="AE2393" i="8" l="1"/>
  <c r="AD2393" i="8" s="1"/>
  <c r="D2425" i="6"/>
  <c r="E2426" i="6"/>
  <c r="AE2394" i="8" l="1"/>
  <c r="AD2394" i="8" s="1"/>
  <c r="D2426" i="6"/>
  <c r="E2427" i="6"/>
  <c r="AE2395" i="8" l="1"/>
  <c r="AD2395" i="8" s="1"/>
  <c r="D2427" i="6"/>
  <c r="E2428" i="6"/>
  <c r="AE2396" i="8" l="1"/>
  <c r="AD2396" i="8" s="1"/>
  <c r="D2428" i="6"/>
  <c r="E2429" i="6"/>
  <c r="AE2397" i="8" l="1"/>
  <c r="AD2397" i="8" s="1"/>
  <c r="D2429" i="6"/>
  <c r="E2430" i="6"/>
  <c r="AE2398" i="8" l="1"/>
  <c r="AD2398" i="8" s="1"/>
  <c r="D2430" i="6"/>
  <c r="E2431" i="6"/>
  <c r="AE2399" i="8" l="1"/>
  <c r="AD2399" i="8" s="1"/>
  <c r="D2431" i="6"/>
  <c r="E2432" i="6"/>
  <c r="AE2400" i="8" l="1"/>
  <c r="AD2400" i="8" s="1"/>
  <c r="D2432" i="6"/>
  <c r="E2433" i="6"/>
  <c r="AE2401" i="8" l="1"/>
  <c r="AD2401" i="8" s="1"/>
  <c r="D2433" i="6"/>
  <c r="E2434" i="6"/>
  <c r="AE2402" i="8" l="1"/>
  <c r="AD2402" i="8" s="1"/>
  <c r="D2434" i="6"/>
  <c r="E2435" i="6"/>
  <c r="AE2403" i="8" l="1"/>
  <c r="AD2403" i="8" s="1"/>
  <c r="D2435" i="6"/>
  <c r="E2436" i="6"/>
  <c r="AE2404" i="8" l="1"/>
  <c r="AD2404" i="8" s="1"/>
  <c r="D2436" i="6"/>
  <c r="E2437" i="6"/>
  <c r="AE2405" i="8" l="1"/>
  <c r="AD2405" i="8" s="1"/>
  <c r="D2437" i="6"/>
  <c r="E2438" i="6"/>
  <c r="AE2406" i="8" l="1"/>
  <c r="AD2406" i="8" s="1"/>
  <c r="D2438" i="6"/>
  <c r="E2439" i="6"/>
  <c r="AE2407" i="8" l="1"/>
  <c r="AD2407" i="8" s="1"/>
  <c r="D2439" i="6"/>
  <c r="E2440" i="6"/>
  <c r="AE2408" i="8" l="1"/>
  <c r="AD2408" i="8" s="1"/>
  <c r="D2440" i="6"/>
  <c r="E2441" i="6"/>
  <c r="AE2409" i="8" l="1"/>
  <c r="AD2409" i="8" s="1"/>
  <c r="D2441" i="6"/>
  <c r="E2442" i="6"/>
  <c r="AE2410" i="8" l="1"/>
  <c r="AD2410" i="8" s="1"/>
  <c r="D2442" i="6"/>
  <c r="E2443" i="6"/>
  <c r="AE2411" i="8" l="1"/>
  <c r="AD2411" i="8" s="1"/>
  <c r="D2443" i="6"/>
  <c r="E2444" i="6"/>
  <c r="AE2412" i="8" l="1"/>
  <c r="AD2412" i="8" s="1"/>
  <c r="D2444" i="6"/>
  <c r="E2445" i="6"/>
  <c r="AE2413" i="8" l="1"/>
  <c r="AD2413" i="8" s="1"/>
  <c r="D2445" i="6"/>
  <c r="E2446" i="6"/>
  <c r="AE2414" i="8" l="1"/>
  <c r="AD2414" i="8" s="1"/>
  <c r="D2446" i="6"/>
  <c r="E2447" i="6"/>
  <c r="AE2415" i="8" l="1"/>
  <c r="AD2415" i="8" s="1"/>
  <c r="D2447" i="6"/>
  <c r="E2448" i="6"/>
  <c r="AE2416" i="8" l="1"/>
  <c r="AD2416" i="8" s="1"/>
  <c r="D2448" i="6"/>
  <c r="E2449" i="6"/>
  <c r="AE2417" i="8" l="1"/>
  <c r="AD2417" i="8" s="1"/>
  <c r="D2449" i="6"/>
  <c r="E2450" i="6"/>
  <c r="AE2418" i="8" l="1"/>
  <c r="AD2418" i="8" s="1"/>
  <c r="D2450" i="6"/>
  <c r="E2451" i="6"/>
  <c r="AE2419" i="8" l="1"/>
  <c r="AD2419" i="8" s="1"/>
  <c r="D2451" i="6"/>
  <c r="E2452" i="6"/>
  <c r="AE2420" i="8" l="1"/>
  <c r="AD2420" i="8" s="1"/>
  <c r="D2452" i="6"/>
  <c r="E2453" i="6"/>
  <c r="AE2421" i="8" l="1"/>
  <c r="AD2421" i="8" s="1"/>
  <c r="D2453" i="6"/>
  <c r="E2454" i="6"/>
  <c r="AE2422" i="8" l="1"/>
  <c r="AD2422" i="8" s="1"/>
  <c r="D2454" i="6"/>
  <c r="E2455" i="6"/>
  <c r="AE2423" i="8" l="1"/>
  <c r="AD2423" i="8" s="1"/>
  <c r="D2455" i="6"/>
  <c r="E2456" i="6"/>
  <c r="AE2424" i="8" l="1"/>
  <c r="AD2424" i="8" s="1"/>
  <c r="D2456" i="6"/>
  <c r="E2457" i="6"/>
  <c r="AE2425" i="8" l="1"/>
  <c r="AD2425" i="8" s="1"/>
  <c r="D2457" i="6"/>
  <c r="E2458" i="6"/>
  <c r="AE2426" i="8" l="1"/>
  <c r="AD2426" i="8" s="1"/>
  <c r="D2458" i="6"/>
  <c r="E2459" i="6"/>
  <c r="AE2427" i="8" l="1"/>
  <c r="AD2427" i="8" s="1"/>
  <c r="D2459" i="6"/>
  <c r="E2460" i="6"/>
  <c r="AE2428" i="8" l="1"/>
  <c r="AD2428" i="8" s="1"/>
  <c r="D2460" i="6"/>
  <c r="E2461" i="6"/>
  <c r="AE2429" i="8" l="1"/>
  <c r="AD2429" i="8" s="1"/>
  <c r="D2461" i="6"/>
  <c r="E2462" i="6"/>
  <c r="AE2430" i="8" l="1"/>
  <c r="AD2430" i="8" s="1"/>
  <c r="D2462" i="6"/>
  <c r="E2463" i="6"/>
  <c r="AE2431" i="8" l="1"/>
  <c r="AD2431" i="8" s="1"/>
  <c r="D2463" i="6"/>
  <c r="E2464" i="6"/>
  <c r="AE2432" i="8" l="1"/>
  <c r="AD2432" i="8" s="1"/>
  <c r="D2464" i="6"/>
  <c r="E2465" i="6"/>
  <c r="AE2433" i="8" l="1"/>
  <c r="AD2433" i="8" s="1"/>
  <c r="D2465" i="6"/>
  <c r="E2466" i="6"/>
  <c r="AE2434" i="8" l="1"/>
  <c r="AD2434" i="8" s="1"/>
  <c r="D2466" i="6"/>
  <c r="E2467" i="6"/>
  <c r="AE2435" i="8" l="1"/>
  <c r="AD2435" i="8" s="1"/>
  <c r="D2467" i="6"/>
  <c r="E2468" i="6"/>
  <c r="AE2436" i="8" l="1"/>
  <c r="AD2436" i="8" s="1"/>
  <c r="D2468" i="6"/>
  <c r="E2469" i="6"/>
  <c r="AE2437" i="8" l="1"/>
  <c r="AD2437" i="8" s="1"/>
  <c r="D2469" i="6"/>
  <c r="E2470" i="6"/>
  <c r="AE2438" i="8" l="1"/>
  <c r="AD2438" i="8" s="1"/>
  <c r="D2470" i="6"/>
  <c r="E2471" i="6"/>
  <c r="AE2439" i="8" l="1"/>
  <c r="AD2439" i="8" s="1"/>
  <c r="D2471" i="6"/>
  <c r="E2472" i="6"/>
  <c r="AE2440" i="8" l="1"/>
  <c r="AD2440" i="8" s="1"/>
  <c r="D2472" i="6"/>
  <c r="E2473" i="6"/>
  <c r="AE2441" i="8" l="1"/>
  <c r="AD2441" i="8" s="1"/>
  <c r="D2473" i="6"/>
  <c r="E2474" i="6"/>
  <c r="AE2442" i="8" l="1"/>
  <c r="AD2442" i="8" s="1"/>
  <c r="D2474" i="6"/>
  <c r="E2475" i="6"/>
  <c r="AE2443" i="8" l="1"/>
  <c r="AD2443" i="8" s="1"/>
  <c r="D2475" i="6"/>
  <c r="E2476" i="6"/>
  <c r="AE2444" i="8" l="1"/>
  <c r="AD2444" i="8" s="1"/>
  <c r="D2476" i="6"/>
  <c r="E2477" i="6"/>
  <c r="AE2445" i="8" l="1"/>
  <c r="AD2445" i="8" s="1"/>
  <c r="D2477" i="6"/>
  <c r="E2478" i="6"/>
  <c r="AE2446" i="8" l="1"/>
  <c r="AD2446" i="8" s="1"/>
  <c r="D2478" i="6"/>
  <c r="E2479" i="6"/>
  <c r="AE2447" i="8" l="1"/>
  <c r="AD2447" i="8" s="1"/>
  <c r="D2479" i="6"/>
  <c r="E2480" i="6"/>
  <c r="AE2448" i="8" l="1"/>
  <c r="AD2448" i="8" s="1"/>
  <c r="D2480" i="6"/>
  <c r="E2481" i="6"/>
  <c r="AE2449" i="8" l="1"/>
  <c r="AD2449" i="8" s="1"/>
  <c r="E2482" i="6"/>
  <c r="D2481" i="6"/>
  <c r="AE2450" i="8" l="1"/>
  <c r="AD2450" i="8" s="1"/>
  <c r="D2482" i="6"/>
  <c r="E2483" i="6"/>
  <c r="AE2451" i="8" l="1"/>
  <c r="AD2451" i="8" s="1"/>
  <c r="D2483" i="6"/>
  <c r="E2484" i="6"/>
  <c r="AE2452" i="8" l="1"/>
  <c r="AD2452" i="8" s="1"/>
  <c r="D2484" i="6"/>
  <c r="E2485" i="6"/>
  <c r="AE2453" i="8" l="1"/>
  <c r="AD2453" i="8" s="1"/>
  <c r="D2485" i="6"/>
  <c r="E2486" i="6"/>
  <c r="AE2454" i="8" l="1"/>
  <c r="AD2454" i="8" s="1"/>
  <c r="D2486" i="6"/>
  <c r="E2487" i="6"/>
  <c r="AE2455" i="8" l="1"/>
  <c r="AD2455" i="8" s="1"/>
  <c r="D2487" i="6"/>
  <c r="E2488" i="6"/>
  <c r="AE2456" i="8" l="1"/>
  <c r="AD2456" i="8" s="1"/>
  <c r="D2488" i="6"/>
  <c r="E2489" i="6"/>
  <c r="AE2457" i="8" l="1"/>
  <c r="AD2457" i="8" s="1"/>
  <c r="D2489" i="6"/>
  <c r="E2490" i="6"/>
  <c r="AE2458" i="8" l="1"/>
  <c r="AD2458" i="8" s="1"/>
  <c r="D2490" i="6"/>
  <c r="E2491" i="6"/>
  <c r="AE2459" i="8" l="1"/>
  <c r="AD2459" i="8" s="1"/>
  <c r="D2491" i="6"/>
  <c r="E2492" i="6"/>
  <c r="AE2460" i="8" l="1"/>
  <c r="AD2460" i="8" s="1"/>
  <c r="D2492" i="6"/>
  <c r="E2493" i="6"/>
  <c r="AE2461" i="8" l="1"/>
  <c r="AD2461" i="8" s="1"/>
  <c r="D2493" i="6"/>
  <c r="E2494" i="6"/>
  <c r="AE2462" i="8" l="1"/>
  <c r="AD2462" i="8" s="1"/>
  <c r="D2494" i="6"/>
  <c r="E2495" i="6"/>
  <c r="AE2463" i="8" l="1"/>
  <c r="AD2463" i="8" s="1"/>
  <c r="D2495" i="6"/>
  <c r="E2496" i="6"/>
  <c r="AE2464" i="8" l="1"/>
  <c r="AD2464" i="8" s="1"/>
  <c r="D2496" i="6"/>
  <c r="E2497" i="6"/>
  <c r="AE2465" i="8" l="1"/>
  <c r="AD2465" i="8" s="1"/>
  <c r="D2497" i="6"/>
  <c r="E2498" i="6"/>
  <c r="AE2466" i="8" l="1"/>
  <c r="AD2466" i="8" s="1"/>
  <c r="D2498" i="6"/>
  <c r="E2499" i="6"/>
  <c r="AE2467" i="8" l="1"/>
  <c r="AD2467" i="8" s="1"/>
  <c r="D2499" i="6"/>
  <c r="E2500" i="6"/>
  <c r="AE2468" i="8" l="1"/>
  <c r="AD2468" i="8" s="1"/>
  <c r="D2500" i="6"/>
  <c r="E2501" i="6"/>
  <c r="AE2469" i="8" l="1"/>
  <c r="AD2469" i="8" s="1"/>
  <c r="D2501" i="6"/>
  <c r="E2502" i="6"/>
  <c r="AE2470" i="8" l="1"/>
  <c r="AD2470" i="8" s="1"/>
  <c r="D2502" i="6"/>
  <c r="E2503" i="6"/>
  <c r="AE2471" i="8" l="1"/>
  <c r="AD2471" i="8" s="1"/>
  <c r="D2503" i="6"/>
  <c r="E2504" i="6"/>
  <c r="AE2472" i="8" l="1"/>
  <c r="AD2472" i="8" s="1"/>
  <c r="D2504" i="6"/>
  <c r="E2505" i="6"/>
  <c r="AE2473" i="8" l="1"/>
  <c r="AD2473" i="8" s="1"/>
  <c r="D2505" i="6"/>
  <c r="E2506" i="6"/>
  <c r="AE2474" i="8" l="1"/>
  <c r="AD2474" i="8" s="1"/>
  <c r="D2506" i="6"/>
  <c r="E2507" i="6"/>
  <c r="AE2475" i="8" l="1"/>
  <c r="AD2475" i="8" s="1"/>
  <c r="D2507" i="6"/>
  <c r="E2508" i="6"/>
  <c r="AE2476" i="8" l="1"/>
  <c r="AD2476" i="8" s="1"/>
  <c r="D2508" i="6"/>
  <c r="E2509" i="6"/>
  <c r="AE2477" i="8" l="1"/>
  <c r="AD2477" i="8" s="1"/>
  <c r="D2509" i="6"/>
  <c r="E2510" i="6"/>
  <c r="AE2478" i="8" l="1"/>
  <c r="AD2478" i="8" s="1"/>
  <c r="D2510" i="6"/>
  <c r="E2511" i="6"/>
  <c r="AE2479" i="8" l="1"/>
  <c r="AD2479" i="8" s="1"/>
  <c r="D2511" i="6"/>
  <c r="E2512" i="6"/>
  <c r="AE2480" i="8" l="1"/>
  <c r="AD2480" i="8" s="1"/>
  <c r="D2512" i="6"/>
  <c r="E2513" i="6"/>
  <c r="AE2481" i="8" l="1"/>
  <c r="AD2481" i="8" s="1"/>
  <c r="D2513" i="6"/>
  <c r="E2514" i="6"/>
  <c r="AE2482" i="8" l="1"/>
  <c r="AD2482" i="8" s="1"/>
  <c r="D2514" i="6"/>
  <c r="E2515" i="6"/>
  <c r="AE2483" i="8" l="1"/>
  <c r="AD2483" i="8" s="1"/>
  <c r="D2515" i="6"/>
  <c r="E2516" i="6"/>
  <c r="AE2484" i="8" l="1"/>
  <c r="AD2484" i="8" s="1"/>
  <c r="D2516" i="6"/>
  <c r="E2517" i="6"/>
  <c r="AE2485" i="8" l="1"/>
  <c r="AD2485" i="8" s="1"/>
  <c r="D2517" i="6"/>
  <c r="E2518" i="6"/>
  <c r="AE2486" i="8" l="1"/>
  <c r="AD2486" i="8" s="1"/>
  <c r="D2518" i="6"/>
  <c r="E2519" i="6"/>
  <c r="AE2487" i="8" l="1"/>
  <c r="AD2487" i="8" s="1"/>
  <c r="D2519" i="6"/>
  <c r="E2520" i="6"/>
  <c r="AE2488" i="8" l="1"/>
  <c r="AD2488" i="8" s="1"/>
  <c r="D2520" i="6"/>
  <c r="E2521" i="6"/>
  <c r="AE2489" i="8" l="1"/>
  <c r="AD2489" i="8" s="1"/>
  <c r="D2521" i="6"/>
  <c r="E2522" i="6"/>
  <c r="AE2490" i="8" l="1"/>
  <c r="AD2490" i="8" s="1"/>
  <c r="D2522" i="6"/>
  <c r="E2523" i="6"/>
  <c r="AE2491" i="8" l="1"/>
  <c r="AD2491" i="8" s="1"/>
  <c r="D2523" i="6"/>
  <c r="E2524" i="6"/>
  <c r="AE2492" i="8" l="1"/>
  <c r="AD2492" i="8" s="1"/>
  <c r="D2524" i="6"/>
  <c r="E2525" i="6"/>
  <c r="AE2493" i="8" l="1"/>
  <c r="AD2493" i="8" s="1"/>
  <c r="D2525" i="6"/>
  <c r="E2526" i="6"/>
  <c r="AE2494" i="8" l="1"/>
  <c r="AD2494" i="8" s="1"/>
  <c r="D2526" i="6"/>
  <c r="E2527" i="6"/>
  <c r="AE2495" i="8" l="1"/>
  <c r="AD2495" i="8" s="1"/>
  <c r="D2527" i="6"/>
  <c r="E2528" i="6"/>
  <c r="AE2496" i="8" l="1"/>
  <c r="AD2496" i="8" s="1"/>
  <c r="D2528" i="6"/>
  <c r="E2529" i="6"/>
  <c r="AE2497" i="8" l="1"/>
  <c r="AD2497" i="8" s="1"/>
  <c r="D2529" i="6"/>
  <c r="E2530" i="6"/>
  <c r="AE2498" i="8" l="1"/>
  <c r="AD2498" i="8" s="1"/>
  <c r="D2530" i="6"/>
  <c r="E2531" i="6"/>
  <c r="AE2499" i="8" l="1"/>
  <c r="AD2499" i="8" s="1"/>
  <c r="D2531" i="6"/>
  <c r="E2532" i="6"/>
  <c r="AE2500" i="8" l="1"/>
  <c r="AD2500" i="8" s="1"/>
  <c r="D2532" i="6"/>
  <c r="E2533" i="6"/>
  <c r="AE2501" i="8" l="1"/>
  <c r="AD2501" i="8" s="1"/>
  <c r="D2533" i="6"/>
  <c r="E2534" i="6"/>
  <c r="AE2502" i="8" l="1"/>
  <c r="AD2502" i="8" s="1"/>
  <c r="D2534" i="6"/>
  <c r="E2535" i="6"/>
  <c r="AE2503" i="8" l="1"/>
  <c r="AD2503" i="8" s="1"/>
  <c r="D2535" i="6"/>
  <c r="E2536" i="6"/>
  <c r="AE2504" i="8" l="1"/>
  <c r="AD2504" i="8" s="1"/>
  <c r="D2536" i="6"/>
  <c r="E2537" i="6"/>
  <c r="AE2505" i="8" l="1"/>
  <c r="AD2505" i="8" s="1"/>
  <c r="D2537" i="6"/>
  <c r="E2538" i="6"/>
  <c r="AE2506" i="8" l="1"/>
  <c r="AD2506" i="8" s="1"/>
  <c r="D2538" i="6"/>
  <c r="E2539" i="6"/>
  <c r="AE2507" i="8" l="1"/>
  <c r="AD2507" i="8" s="1"/>
  <c r="D2539" i="6"/>
  <c r="E2540" i="6"/>
  <c r="AE2508" i="8" l="1"/>
  <c r="AD2508" i="8" s="1"/>
  <c r="D2540" i="6"/>
  <c r="E2541" i="6"/>
  <c r="AE2509" i="8" l="1"/>
  <c r="AD2509" i="8" s="1"/>
  <c r="D2541" i="6"/>
  <c r="E2542" i="6"/>
  <c r="AE2510" i="8" l="1"/>
  <c r="AD2510" i="8" s="1"/>
  <c r="D2542" i="6"/>
  <c r="E2543" i="6"/>
  <c r="AE2511" i="8" l="1"/>
  <c r="AD2511" i="8" s="1"/>
  <c r="D2543" i="6"/>
  <c r="E2544" i="6"/>
  <c r="AE2512" i="8" l="1"/>
  <c r="AD2512" i="8" s="1"/>
  <c r="D2544" i="6"/>
  <c r="E2545" i="6"/>
  <c r="AE2513" i="8" l="1"/>
  <c r="AD2513" i="8" s="1"/>
  <c r="D2545" i="6"/>
  <c r="E2546" i="6"/>
  <c r="AE2514" i="8" l="1"/>
  <c r="AD2514" i="8" s="1"/>
  <c r="D2546" i="6"/>
  <c r="E2547" i="6"/>
  <c r="AE2515" i="8" l="1"/>
  <c r="AD2515" i="8" s="1"/>
  <c r="D2547" i="6"/>
  <c r="E2548" i="6"/>
  <c r="AE2516" i="8" l="1"/>
  <c r="AD2516" i="8" s="1"/>
  <c r="D2548" i="6"/>
  <c r="E2549" i="6"/>
  <c r="AE2517" i="8" l="1"/>
  <c r="AD2517" i="8" s="1"/>
  <c r="D2549" i="6"/>
  <c r="E2550" i="6"/>
  <c r="AE2518" i="8" l="1"/>
  <c r="AD2518" i="8" s="1"/>
  <c r="D2550" i="6"/>
  <c r="E2551" i="6"/>
  <c r="AE2519" i="8" l="1"/>
  <c r="AD2519" i="8" s="1"/>
  <c r="D2551" i="6"/>
  <c r="E2552" i="6"/>
  <c r="AE2520" i="8" l="1"/>
  <c r="AD2520" i="8" s="1"/>
  <c r="D2552" i="6"/>
  <c r="E2553" i="6"/>
  <c r="AE2521" i="8" l="1"/>
  <c r="AD2521" i="8" s="1"/>
  <c r="D2553" i="6"/>
  <c r="E2554" i="6"/>
  <c r="AE2522" i="8" l="1"/>
  <c r="AD2522" i="8" s="1"/>
  <c r="D2554" i="6"/>
  <c r="E2555" i="6"/>
  <c r="AE2523" i="8" l="1"/>
  <c r="AD2523" i="8" s="1"/>
  <c r="D2555" i="6"/>
  <c r="E2556" i="6"/>
  <c r="AE2524" i="8" l="1"/>
  <c r="AD2524" i="8" s="1"/>
  <c r="D2556" i="6"/>
  <c r="E2557" i="6"/>
  <c r="AE2525" i="8" l="1"/>
  <c r="AD2525" i="8" s="1"/>
  <c r="D2557" i="6"/>
  <c r="E2558" i="6"/>
  <c r="AE2526" i="8" l="1"/>
  <c r="AD2526" i="8" s="1"/>
  <c r="D2558" i="6"/>
  <c r="E2559" i="6"/>
  <c r="AE2527" i="8" l="1"/>
  <c r="AD2527" i="8" s="1"/>
  <c r="D2559" i="6"/>
  <c r="E2560" i="6"/>
  <c r="AE2528" i="8" l="1"/>
  <c r="AD2528" i="8" s="1"/>
  <c r="D2560" i="6"/>
  <c r="E2561" i="6"/>
  <c r="AE2529" i="8" l="1"/>
  <c r="AD2529" i="8" s="1"/>
  <c r="D2561" i="6"/>
  <c r="E2562" i="6"/>
  <c r="AE2530" i="8" l="1"/>
  <c r="AD2530" i="8" s="1"/>
  <c r="D2562" i="6"/>
  <c r="E2563" i="6"/>
  <c r="AE2531" i="8" l="1"/>
  <c r="AD2531" i="8" s="1"/>
  <c r="D2563" i="6"/>
  <c r="E2564" i="6"/>
  <c r="AE2532" i="8" l="1"/>
  <c r="AD2532" i="8" s="1"/>
  <c r="D2564" i="6"/>
  <c r="E2565" i="6"/>
  <c r="AE2533" i="8" l="1"/>
  <c r="AD2533" i="8" s="1"/>
  <c r="D2565" i="6"/>
  <c r="E2566" i="6"/>
  <c r="AE2534" i="8" l="1"/>
  <c r="AD2534" i="8" s="1"/>
  <c r="D2566" i="6"/>
  <c r="E2567" i="6"/>
  <c r="AE2535" i="8" l="1"/>
  <c r="AD2535" i="8" s="1"/>
  <c r="D2567" i="6"/>
  <c r="E2568" i="6"/>
  <c r="AE2536" i="8" l="1"/>
  <c r="AD2536" i="8" s="1"/>
  <c r="D2568" i="6"/>
  <c r="E2569" i="6"/>
  <c r="AE2537" i="8" l="1"/>
  <c r="AD2537" i="8" s="1"/>
  <c r="D2569" i="6"/>
  <c r="E2570" i="6"/>
  <c r="AE2538" i="8" l="1"/>
  <c r="AD2538" i="8" s="1"/>
  <c r="D2570" i="6"/>
  <c r="E2571" i="6"/>
  <c r="AE2539" i="8" l="1"/>
  <c r="AD2539" i="8" s="1"/>
  <c r="D2571" i="6"/>
  <c r="E2572" i="6"/>
  <c r="AE2540" i="8" l="1"/>
  <c r="AD2540" i="8" s="1"/>
  <c r="D2572" i="6"/>
  <c r="E2573" i="6"/>
  <c r="AE2541" i="8" l="1"/>
  <c r="AD2541" i="8" s="1"/>
  <c r="D2573" i="6"/>
  <c r="E2574" i="6"/>
  <c r="AE2542" i="8" l="1"/>
  <c r="AD2542" i="8" s="1"/>
  <c r="D2574" i="6"/>
  <c r="E2575" i="6"/>
  <c r="AE2543" i="8" l="1"/>
  <c r="AD2543" i="8" s="1"/>
  <c r="D2575" i="6"/>
  <c r="E2576" i="6"/>
  <c r="AE2544" i="8" l="1"/>
  <c r="AD2544" i="8" s="1"/>
  <c r="D2576" i="6"/>
  <c r="E2577" i="6"/>
  <c r="AE2545" i="8" l="1"/>
  <c r="AD2545" i="8" s="1"/>
  <c r="D2577" i="6"/>
  <c r="E2578" i="6"/>
  <c r="AE2546" i="8" l="1"/>
  <c r="AD2546" i="8" s="1"/>
  <c r="D2578" i="6"/>
  <c r="E2579" i="6"/>
  <c r="AE2547" i="8" l="1"/>
  <c r="AD2547" i="8" s="1"/>
  <c r="D2579" i="6"/>
  <c r="E2580" i="6"/>
  <c r="AE2548" i="8" l="1"/>
  <c r="AD2548" i="8" s="1"/>
  <c r="D2580" i="6"/>
  <c r="E2581" i="6"/>
  <c r="AE2549" i="8" l="1"/>
  <c r="AD2549" i="8" s="1"/>
  <c r="D2581" i="6"/>
  <c r="E2582" i="6"/>
  <c r="AE2550" i="8" l="1"/>
  <c r="AD2550" i="8" s="1"/>
  <c r="D2582" i="6"/>
  <c r="E2583" i="6"/>
  <c r="AE2551" i="8" l="1"/>
  <c r="AD2551" i="8" s="1"/>
  <c r="D2583" i="6"/>
  <c r="E2584" i="6"/>
  <c r="AE2552" i="8" l="1"/>
  <c r="AD2552" i="8" s="1"/>
  <c r="D2584" i="6"/>
  <c r="E2585" i="6"/>
  <c r="AE2553" i="8" l="1"/>
  <c r="AD2553" i="8" s="1"/>
  <c r="D2585" i="6"/>
  <c r="E2586" i="6"/>
  <c r="AE2554" i="8" l="1"/>
  <c r="AD2554" i="8" s="1"/>
  <c r="D2586" i="6"/>
  <c r="E2587" i="6"/>
  <c r="AE2555" i="8" l="1"/>
  <c r="AD2555" i="8" s="1"/>
  <c r="D2587" i="6"/>
  <c r="E2588" i="6"/>
  <c r="AE2556" i="8" l="1"/>
  <c r="AD2556" i="8" s="1"/>
  <c r="D2588" i="6"/>
  <c r="E2589" i="6"/>
  <c r="AE2557" i="8" l="1"/>
  <c r="AD2557" i="8" s="1"/>
  <c r="D2589" i="6"/>
  <c r="E2590" i="6"/>
  <c r="AE2558" i="8" l="1"/>
  <c r="AD2558" i="8" s="1"/>
  <c r="D2590" i="6"/>
  <c r="E2591" i="6"/>
  <c r="AE2559" i="8" l="1"/>
  <c r="AD2559" i="8" s="1"/>
  <c r="D2591" i="6"/>
  <c r="E2592" i="6"/>
  <c r="AE2560" i="8" l="1"/>
  <c r="AD2560" i="8" s="1"/>
  <c r="D2592" i="6"/>
  <c r="E2593" i="6"/>
  <c r="AE2561" i="8" l="1"/>
  <c r="AD2561" i="8" s="1"/>
  <c r="D2593" i="6"/>
  <c r="E2594" i="6"/>
  <c r="AE2562" i="8" l="1"/>
  <c r="AD2562" i="8" s="1"/>
  <c r="D2594" i="6"/>
  <c r="E2595" i="6"/>
  <c r="AE2563" i="8" l="1"/>
  <c r="AD2563" i="8" s="1"/>
  <c r="D2595" i="6"/>
  <c r="E2596" i="6"/>
  <c r="AE2564" i="8" l="1"/>
  <c r="AD2564" i="8" s="1"/>
  <c r="D2596" i="6"/>
  <c r="E2597" i="6"/>
  <c r="AE2565" i="8" l="1"/>
  <c r="AD2565" i="8" s="1"/>
  <c r="D2597" i="6"/>
  <c r="E2598" i="6"/>
  <c r="AE2566" i="8" l="1"/>
  <c r="AD2566" i="8" s="1"/>
  <c r="D2598" i="6"/>
  <c r="E2599" i="6"/>
  <c r="AE2567" i="8" l="1"/>
  <c r="AD2567" i="8" s="1"/>
  <c r="D2599" i="6"/>
  <c r="E2600" i="6"/>
  <c r="AE2568" i="8" l="1"/>
  <c r="AD2568" i="8" s="1"/>
  <c r="D2600" i="6"/>
  <c r="E2601" i="6"/>
  <c r="AE2569" i="8" l="1"/>
  <c r="AD2569" i="8" s="1"/>
  <c r="D2601" i="6"/>
  <c r="E2602" i="6"/>
  <c r="AE2570" i="8" l="1"/>
  <c r="AD2570" i="8" s="1"/>
  <c r="D2602" i="6"/>
  <c r="E2603" i="6"/>
  <c r="AE2571" i="8" l="1"/>
  <c r="AD2571" i="8" s="1"/>
  <c r="D2603" i="6"/>
  <c r="E2604" i="6"/>
  <c r="AE2572" i="8" l="1"/>
  <c r="AD2572" i="8" s="1"/>
  <c r="D2604" i="6"/>
  <c r="E2605" i="6"/>
  <c r="AE2573" i="8" l="1"/>
  <c r="AD2573" i="8" s="1"/>
  <c r="D2605" i="6"/>
  <c r="E2606" i="6"/>
  <c r="AE2574" i="8" l="1"/>
  <c r="AD2574" i="8" s="1"/>
  <c r="D2606" i="6"/>
  <c r="E2607" i="6"/>
  <c r="AE2575" i="8" l="1"/>
  <c r="AD2575" i="8" s="1"/>
  <c r="D2607" i="6"/>
  <c r="E2608" i="6"/>
  <c r="AE2576" i="8" l="1"/>
  <c r="AD2576" i="8" s="1"/>
  <c r="D2608" i="6"/>
  <c r="E2609" i="6"/>
  <c r="AE2577" i="8" l="1"/>
  <c r="AD2577" i="8" s="1"/>
  <c r="D2609" i="6"/>
  <c r="E2610" i="6"/>
  <c r="AE2578" i="8" l="1"/>
  <c r="AD2578" i="8" s="1"/>
  <c r="D2610" i="6"/>
  <c r="E2611" i="6"/>
  <c r="AE2579" i="8" l="1"/>
  <c r="AD2579" i="8" s="1"/>
  <c r="D2611" i="6"/>
  <c r="E2612" i="6"/>
  <c r="AE2580" i="8" l="1"/>
  <c r="AD2580" i="8" s="1"/>
  <c r="D2612" i="6"/>
  <c r="E2613" i="6"/>
  <c r="AE2581" i="8" l="1"/>
  <c r="AD2581" i="8" s="1"/>
  <c r="D2613" i="6"/>
  <c r="E2614" i="6"/>
  <c r="AE2582" i="8" l="1"/>
  <c r="AD2582" i="8" s="1"/>
  <c r="D2614" i="6"/>
  <c r="E2615" i="6"/>
  <c r="AE2583" i="8" l="1"/>
  <c r="AD2583" i="8" s="1"/>
  <c r="D2615" i="6"/>
  <c r="E2616" i="6"/>
  <c r="AE2584" i="8" l="1"/>
  <c r="AD2584" i="8" s="1"/>
  <c r="D2616" i="6"/>
  <c r="E2617" i="6"/>
  <c r="AE2585" i="8" l="1"/>
  <c r="AD2585" i="8" s="1"/>
  <c r="D2617" i="6"/>
  <c r="E2618" i="6"/>
  <c r="AE2586" i="8" l="1"/>
  <c r="AD2586" i="8" s="1"/>
  <c r="D2618" i="6"/>
  <c r="E2619" i="6"/>
  <c r="AE2587" i="8" l="1"/>
  <c r="AD2587" i="8" s="1"/>
  <c r="D2619" i="6"/>
  <c r="E2620" i="6"/>
  <c r="AE2588" i="8" l="1"/>
  <c r="AD2588" i="8" s="1"/>
  <c r="D2620" i="6"/>
  <c r="E2621" i="6"/>
  <c r="AE2589" i="8" l="1"/>
  <c r="AD2589" i="8" s="1"/>
  <c r="D2621" i="6"/>
  <c r="E2622" i="6"/>
  <c r="AE2590" i="8" l="1"/>
  <c r="AD2590" i="8" s="1"/>
  <c r="D2622" i="6"/>
  <c r="E2623" i="6"/>
  <c r="AE2591" i="8" l="1"/>
  <c r="AD2591" i="8" s="1"/>
  <c r="D2623" i="6"/>
  <c r="E2624" i="6"/>
  <c r="AE2592" i="8" l="1"/>
  <c r="AD2592" i="8" s="1"/>
  <c r="D2624" i="6"/>
  <c r="E2625" i="6"/>
  <c r="AE2593" i="8" l="1"/>
  <c r="AD2593" i="8" s="1"/>
  <c r="D2625" i="6"/>
  <c r="E2626" i="6"/>
  <c r="AE2594" i="8" l="1"/>
  <c r="AD2594" i="8" s="1"/>
  <c r="D2626" i="6"/>
  <c r="E2627" i="6"/>
  <c r="AE2595" i="8" l="1"/>
  <c r="AD2595" i="8" s="1"/>
  <c r="D2627" i="6"/>
  <c r="E2628" i="6"/>
  <c r="AE2596" i="8" l="1"/>
  <c r="AD2596" i="8" s="1"/>
  <c r="D2628" i="6"/>
  <c r="E2629" i="6"/>
  <c r="AE2597" i="8" l="1"/>
  <c r="AD2597" i="8" s="1"/>
  <c r="D2629" i="6"/>
  <c r="E2630" i="6"/>
  <c r="AE2598" i="8" l="1"/>
  <c r="AD2598" i="8" s="1"/>
  <c r="D2630" i="6"/>
  <c r="E2631" i="6"/>
  <c r="AE2599" i="8" l="1"/>
  <c r="AD2599" i="8" s="1"/>
  <c r="D2631" i="6"/>
  <c r="E2632" i="6"/>
  <c r="AE2600" i="8" l="1"/>
  <c r="AD2600" i="8" s="1"/>
  <c r="D2632" i="6"/>
  <c r="E2633" i="6"/>
  <c r="AE2601" i="8" l="1"/>
  <c r="AD2601" i="8" s="1"/>
  <c r="D2633" i="6"/>
  <c r="E2634" i="6"/>
  <c r="AE2602" i="8" l="1"/>
  <c r="AD2602" i="8" s="1"/>
  <c r="D2634" i="6"/>
  <c r="E2635" i="6"/>
  <c r="AE2603" i="8" l="1"/>
  <c r="AD2603" i="8" s="1"/>
  <c r="D2635" i="6"/>
  <c r="E2636" i="6"/>
  <c r="AE2604" i="8" l="1"/>
  <c r="AD2604" i="8" s="1"/>
  <c r="D2636" i="6"/>
  <c r="E2637" i="6"/>
  <c r="AE2605" i="8" l="1"/>
  <c r="AD2605" i="8" s="1"/>
  <c r="D2637" i="6"/>
  <c r="E2638" i="6"/>
  <c r="AE2606" i="8" l="1"/>
  <c r="AD2606" i="8" s="1"/>
  <c r="D2638" i="6"/>
  <c r="E2639" i="6"/>
  <c r="AE2607" i="8" l="1"/>
  <c r="AD2607" i="8" s="1"/>
  <c r="D2639" i="6"/>
  <c r="E2640" i="6"/>
  <c r="AE2608" i="8" l="1"/>
  <c r="AD2608" i="8" s="1"/>
  <c r="D2640" i="6"/>
  <c r="E2641" i="6"/>
  <c r="AE2609" i="8" l="1"/>
  <c r="AD2609" i="8" s="1"/>
  <c r="D2641" i="6"/>
  <c r="E2642" i="6"/>
  <c r="AE2610" i="8" l="1"/>
  <c r="AD2610" i="8" s="1"/>
  <c r="D2642" i="6"/>
  <c r="E2643" i="6"/>
  <c r="AE2611" i="8" l="1"/>
  <c r="AD2611" i="8" s="1"/>
  <c r="D2643" i="6"/>
  <c r="E2644" i="6"/>
  <c r="AE2612" i="8" l="1"/>
  <c r="AD2612" i="8" s="1"/>
  <c r="D2644" i="6"/>
  <c r="E2645" i="6"/>
  <c r="D2645" i="6" l="1"/>
  <c r="E2646" i="6"/>
  <c r="D2646" i="6" l="1"/>
  <c r="E2647" i="6"/>
  <c r="D2647" i="6" l="1"/>
  <c r="E2648" i="6"/>
  <c r="D2648" i="6" l="1"/>
  <c r="E2649" i="6"/>
  <c r="D2649" i="6" l="1"/>
  <c r="E2650" i="6"/>
  <c r="D2650" i="6" l="1"/>
  <c r="E2651" i="6"/>
  <c r="D2651" i="6" s="1"/>
  <c r="O21" i="8" l="1"/>
  <c r="N21" i="8" s="1"/>
  <c r="O37" i="8"/>
  <c r="N37" i="8" s="1"/>
  <c r="O39" i="8"/>
  <c r="N39" i="8" s="1"/>
  <c r="O44" i="8"/>
  <c r="N44" i="8" s="1"/>
  <c r="O22" i="8"/>
  <c r="N22" i="8" s="1"/>
  <c r="O38" i="8"/>
  <c r="N38" i="8" s="1"/>
  <c r="O43" i="8"/>
  <c r="N43" i="8" s="1"/>
  <c r="O48" i="8"/>
  <c r="N48" i="8" s="1"/>
  <c r="O23" i="8"/>
  <c r="N23" i="8" s="1"/>
  <c r="O40" i="8"/>
  <c r="N40" i="8" s="1"/>
  <c r="O13" i="8"/>
  <c r="N13" i="8" s="1"/>
  <c r="O17" i="8"/>
  <c r="N17" i="8" s="1"/>
  <c r="O25" i="8"/>
  <c r="N25" i="8" s="1"/>
  <c r="O29" i="8"/>
  <c r="N29" i="8" s="1"/>
  <c r="O33" i="8"/>
  <c r="N33" i="8" s="1"/>
  <c r="O41" i="8"/>
  <c r="N41" i="8" s="1"/>
  <c r="O45" i="8"/>
  <c r="N45" i="8" s="1"/>
  <c r="O15" i="8"/>
  <c r="N15" i="8" s="1"/>
  <c r="O27" i="8"/>
  <c r="N27" i="8" s="1"/>
  <c r="O35" i="8"/>
  <c r="N35" i="8" s="1"/>
  <c r="O47" i="8"/>
  <c r="N47" i="8" s="1"/>
  <c r="O16" i="8"/>
  <c r="N16" i="8" s="1"/>
  <c r="O24" i="8"/>
  <c r="N24" i="8" s="1"/>
  <c r="O32" i="8"/>
  <c r="N32" i="8" s="1"/>
  <c r="O10" i="8"/>
  <c r="N10" i="8" s="1"/>
  <c r="O14" i="8"/>
  <c r="N14" i="8" s="1"/>
  <c r="O18" i="8"/>
  <c r="N18" i="8" s="1"/>
  <c r="O26" i="8"/>
  <c r="N26" i="8" s="1"/>
  <c r="O30" i="8"/>
  <c r="N30" i="8" s="1"/>
  <c r="O34" i="8"/>
  <c r="N34" i="8" s="1"/>
  <c r="O42" i="8"/>
  <c r="N42" i="8" s="1"/>
  <c r="O46" i="8"/>
  <c r="N46" i="8" s="1"/>
  <c r="O11" i="8"/>
  <c r="N11" i="8" s="1"/>
  <c r="O19" i="8"/>
  <c r="N19" i="8" s="1"/>
  <c r="O31" i="8"/>
  <c r="N31" i="8" s="1"/>
  <c r="O12" i="8"/>
  <c r="N12" i="8" s="1"/>
  <c r="O20" i="8"/>
  <c r="N20" i="8" s="1"/>
  <c r="O28" i="8"/>
  <c r="N28" i="8" s="1"/>
  <c r="O36" i="8"/>
  <c r="N36" i="8" s="1"/>
  <c r="E31" i="6" l="1"/>
  <c r="C35" i="5"/>
  <c r="C21" i="5"/>
  <c r="C31" i="5"/>
  <c r="C29" i="5"/>
  <c r="C24" i="5"/>
  <c r="C18" i="5"/>
  <c r="C39" i="5"/>
  <c r="C40" i="5"/>
  <c r="C41" i="5"/>
  <c r="D21" i="5"/>
  <c r="C16" i="5"/>
  <c r="C19" i="5"/>
  <c r="C9" i="5"/>
  <c r="C43" i="5"/>
  <c r="D43" i="5" s="1"/>
  <c r="G43" i="5" s="1"/>
  <c r="C27" i="5"/>
  <c r="D27" i="5" s="1"/>
  <c r="C32" i="5"/>
  <c r="C23" i="5"/>
  <c r="C26" i="5"/>
  <c r="C33" i="5"/>
  <c r="C14" i="5"/>
  <c r="D24" i="5"/>
  <c r="F24" i="5" s="1"/>
  <c r="E27" i="5"/>
  <c r="D39" i="5"/>
  <c r="H39" i="5" s="1"/>
  <c r="D19" i="5"/>
  <c r="F19" i="5" s="1"/>
  <c r="F27" i="5"/>
  <c r="E24" i="5"/>
  <c r="H27" i="5"/>
  <c r="G19" i="5"/>
  <c r="E39" i="5"/>
  <c r="H21" i="5"/>
  <c r="C25" i="5"/>
  <c r="D25" i="5" s="1"/>
  <c r="C30" i="5"/>
  <c r="C44" i="5"/>
  <c r="D44" i="5" s="1"/>
  <c r="E44" i="5"/>
  <c r="C11" i="5"/>
  <c r="C36" i="5"/>
  <c r="D36" i="5" s="1"/>
  <c r="G36" i="5" s="1"/>
  <c r="D18" i="5"/>
  <c r="G27" i="5"/>
  <c r="D29" i="5"/>
  <c r="D30" i="5"/>
  <c r="H30" i="5" s="1"/>
  <c r="G18" i="5"/>
  <c r="H24" i="5"/>
  <c r="H29" i="5"/>
  <c r="D9" i="5"/>
  <c r="F9" i="5" s="1"/>
  <c r="E29" i="5"/>
  <c r="G29" i="5"/>
  <c r="H9" i="5"/>
  <c r="C38" i="5"/>
  <c r="C48" i="5"/>
  <c r="C46" i="5"/>
  <c r="C45" i="5"/>
  <c r="D45" i="5" s="1"/>
  <c r="C42" i="5"/>
  <c r="C13" i="5"/>
  <c r="C12" i="5"/>
  <c r="D12" i="5" s="1"/>
  <c r="C28" i="5"/>
  <c r="D28" i="5" s="1"/>
  <c r="C37" i="5"/>
  <c r="C47" i="5"/>
  <c r="C20" i="5"/>
  <c r="C34" i="5"/>
  <c r="D42" i="5"/>
  <c r="D16" i="5"/>
  <c r="H18" i="5"/>
  <c r="D35" i="5"/>
  <c r="F18" i="5"/>
  <c r="D32" i="5"/>
  <c r="E35" i="5"/>
  <c r="E18" i="5"/>
  <c r="D33" i="5"/>
  <c r="E33" i="5" s="1"/>
  <c r="D14" i="5"/>
  <c r="E14" i="5" s="1"/>
  <c r="G33" i="5"/>
  <c r="F29" i="5"/>
  <c r="F14" i="5"/>
  <c r="F30" i="5"/>
  <c r="D13" i="5"/>
  <c r="G35" i="5"/>
  <c r="E36" i="5"/>
  <c r="D48" i="5"/>
  <c r="E48" i="5" s="1"/>
  <c r="G48" i="5"/>
  <c r="E9" i="5"/>
  <c r="G45" i="5"/>
  <c r="G25" i="5"/>
  <c r="F32" i="5"/>
  <c r="H33" i="5"/>
  <c r="H14" i="5"/>
  <c r="E21" i="5"/>
  <c r="H13" i="5"/>
  <c r="F48" i="5"/>
  <c r="G9" i="5"/>
  <c r="E45" i="5"/>
  <c r="C17" i="5"/>
  <c r="D17" i="5" s="1"/>
  <c r="C10" i="5"/>
  <c r="D10" i="5" s="1"/>
  <c r="C15" i="5"/>
  <c r="D15" i="5" s="1"/>
  <c r="R2" i="8"/>
  <c r="M9" i="8" s="1"/>
  <c r="F17" i="5"/>
  <c r="C22" i="5"/>
  <c r="R6" i="8"/>
  <c r="D11" i="5"/>
  <c r="G24" i="5"/>
  <c r="D38" i="5"/>
  <c r="F35" i="5"/>
  <c r="F43" i="5"/>
  <c r="D20" i="5"/>
  <c r="E30" i="5"/>
  <c r="F33" i="5"/>
  <c r="H43" i="5"/>
  <c r="F44" i="5"/>
  <c r="G39" i="5"/>
  <c r="G14" i="5"/>
  <c r="G13" i="5"/>
  <c r="H48" i="5"/>
  <c r="H45" i="5"/>
  <c r="G21" i="5"/>
  <c r="E19" i="5"/>
  <c r="D46" i="5"/>
  <c r="H36" i="5"/>
  <c r="G44" i="5"/>
  <c r="F39" i="5"/>
  <c r="F21" i="5"/>
  <c r="G20" i="5"/>
  <c r="E46" i="5"/>
  <c r="F45" i="5"/>
  <c r="H44" i="5"/>
  <c r="G17" i="5"/>
  <c r="D26" i="5"/>
  <c r="F26" i="5"/>
  <c r="D47" i="5"/>
  <c r="F47" i="5"/>
  <c r="D34" i="5"/>
  <c r="D31" i="5"/>
  <c r="G26" i="5"/>
  <c r="G34" i="5"/>
  <c r="E25" i="5"/>
  <c r="H25" i="5"/>
  <c r="F25" i="5"/>
  <c r="G12" i="5"/>
  <c r="E12" i="5"/>
  <c r="H12" i="5"/>
  <c r="F12" i="5"/>
  <c r="G28" i="5"/>
  <c r="H28" i="5"/>
  <c r="F28" i="5"/>
  <c r="E28" i="5"/>
  <c r="F42" i="5"/>
  <c r="G42" i="5"/>
  <c r="E42" i="5"/>
  <c r="H42" i="5"/>
  <c r="F16" i="5"/>
  <c r="E16" i="5"/>
  <c r="H16" i="5"/>
  <c r="G16" i="5"/>
  <c r="G32" i="5"/>
  <c r="H32" i="5"/>
  <c r="E32" i="5"/>
  <c r="F13" i="5"/>
  <c r="E13" i="5"/>
  <c r="E17" i="5"/>
  <c r="H17" i="5"/>
  <c r="F10" i="5"/>
  <c r="E10" i="5"/>
  <c r="H10" i="5"/>
  <c r="H15" i="5"/>
  <c r="G15" i="5"/>
  <c r="E15" i="5"/>
  <c r="F15" i="5"/>
  <c r="R8" i="8"/>
  <c r="R5" i="8"/>
  <c r="R4" i="8"/>
  <c r="R7" i="8"/>
  <c r="E11" i="5"/>
  <c r="F11" i="5"/>
  <c r="H11" i="5"/>
  <c r="F38" i="5"/>
  <c r="H38" i="5"/>
  <c r="E38" i="5"/>
  <c r="G38" i="5"/>
  <c r="F20" i="5"/>
  <c r="E20" i="5"/>
  <c r="H20" i="5"/>
  <c r="G46" i="5"/>
  <c r="H46" i="5"/>
  <c r="F46" i="5"/>
  <c r="H26" i="5"/>
  <c r="E26" i="5"/>
  <c r="G47" i="5"/>
  <c r="H47" i="5"/>
  <c r="E47" i="5"/>
  <c r="E34" i="5"/>
  <c r="H34" i="5"/>
  <c r="F34" i="5"/>
  <c r="H31" i="5"/>
  <c r="F31" i="5"/>
  <c r="G31" i="5"/>
  <c r="E31" i="5"/>
  <c r="L9" i="8"/>
  <c r="W3" i="8"/>
  <c r="Z2" i="8" s="1"/>
  <c r="AF3" i="8" s="1"/>
  <c r="K9" i="8"/>
  <c r="R34" i="5" l="1"/>
  <c r="Q34" i="5" s="1"/>
  <c r="R26" i="5"/>
  <c r="Q26" i="5" s="1"/>
  <c r="R47" i="5"/>
  <c r="Q47" i="5" s="1"/>
  <c r="R31" i="5"/>
  <c r="Q31" i="5" s="1"/>
  <c r="R17" i="5"/>
  <c r="Q17" i="5" s="1"/>
  <c r="R20" i="5"/>
  <c r="Q20" i="5" s="1"/>
  <c r="R44" i="5"/>
  <c r="Q44" i="5" s="1"/>
  <c r="R21" i="5"/>
  <c r="Q21" i="5" s="1"/>
  <c r="R13" i="5"/>
  <c r="Q13" i="5" s="1"/>
  <c r="R14" i="5"/>
  <c r="Q14" i="5" s="1"/>
  <c r="R39" i="5"/>
  <c r="Q39" i="5" s="1"/>
  <c r="R24" i="5"/>
  <c r="Q24" i="5" s="1"/>
  <c r="O9" i="8"/>
  <c r="N9" i="8" s="1"/>
  <c r="N7" i="8" s="1"/>
  <c r="O7" i="8" s="1"/>
  <c r="R9" i="5"/>
  <c r="Q9" i="5" s="1"/>
  <c r="R25" i="5"/>
  <c r="Q25" i="5" s="1"/>
  <c r="R45" i="5"/>
  <c r="Q45" i="5" s="1"/>
  <c r="R46" i="5"/>
  <c r="Q46" i="5" s="1"/>
  <c r="R48" i="5"/>
  <c r="Q48" i="5" s="1"/>
  <c r="R35" i="5"/>
  <c r="Q35" i="5" s="1"/>
  <c r="R33" i="5"/>
  <c r="Q33" i="5" s="1"/>
  <c r="B4" i="3"/>
  <c r="R28" i="5"/>
  <c r="Q28" i="5" s="1"/>
  <c r="R29" i="5"/>
  <c r="Q29" i="5" s="1"/>
  <c r="R32" i="5"/>
  <c r="Q32" i="5" s="1"/>
  <c r="R18" i="5"/>
  <c r="Q18" i="5" s="1"/>
  <c r="R12" i="5"/>
  <c r="Q12" i="5" s="1"/>
  <c r="R15" i="5"/>
  <c r="Q15" i="5" s="1"/>
  <c r="R27" i="5"/>
  <c r="Q27" i="5" s="1"/>
  <c r="R19" i="5"/>
  <c r="Q19" i="5" s="1"/>
  <c r="R38" i="5"/>
  <c r="Q38" i="5" s="1"/>
  <c r="R42" i="5"/>
  <c r="Q42" i="5" s="1"/>
  <c r="R36" i="5"/>
  <c r="Q36" i="5" s="1"/>
  <c r="R16" i="5"/>
  <c r="Q16" i="5" s="1"/>
  <c r="R43" i="5"/>
  <c r="Q43" i="5" s="1"/>
  <c r="C3" i="3"/>
  <c r="G30" i="5"/>
  <c r="H19" i="5"/>
  <c r="G11" i="5"/>
  <c r="H35" i="5"/>
  <c r="D23" i="5"/>
  <c r="F36" i="5"/>
  <c r="D41" i="5"/>
  <c r="G10" i="5"/>
  <c r="E43" i="5"/>
  <c r="D40" i="5"/>
  <c r="D22" i="5"/>
  <c r="D37" i="5"/>
  <c r="F23" i="5"/>
  <c r="E23" i="5"/>
  <c r="H23" i="5"/>
  <c r="G23" i="5"/>
  <c r="E41" i="5"/>
  <c r="H41" i="5"/>
  <c r="F41" i="5"/>
  <c r="G41" i="5"/>
  <c r="F40" i="5"/>
  <c r="E40" i="5"/>
  <c r="G40" i="5"/>
  <c r="H40" i="5"/>
  <c r="E22" i="5"/>
  <c r="F22" i="5"/>
  <c r="G22" i="5"/>
  <c r="H22" i="5"/>
  <c r="H37" i="5"/>
  <c r="F37" i="5"/>
  <c r="E37" i="5"/>
  <c r="G37" i="5"/>
  <c r="R37" i="5" l="1"/>
  <c r="Q37" i="5" s="1"/>
  <c r="R22" i="5"/>
  <c r="Q22" i="5" s="1"/>
  <c r="R40" i="5"/>
  <c r="Q40" i="5" s="1"/>
  <c r="R41" i="5"/>
  <c r="Q41" i="5" s="1"/>
  <c r="R23" i="5"/>
  <c r="Q23" i="5" s="1"/>
  <c r="R10" i="5"/>
  <c r="Q10" i="5" s="1"/>
  <c r="R11" i="5"/>
  <c r="Q11" i="5" s="1"/>
  <c r="R30" i="5"/>
  <c r="Q30" i="5" s="1"/>
  <c r="Q7" i="5" l="1"/>
  <c r="R7" i="5" s="1"/>
</calcChain>
</file>

<file path=xl/sharedStrings.xml><?xml version="1.0" encoding="utf-8"?>
<sst xmlns="http://schemas.openxmlformats.org/spreadsheetml/2006/main" count="438" uniqueCount="320">
  <si>
    <t>ESTIMATED PARAMETERS</t>
  </si>
  <si>
    <t>FITTED CURVE</t>
  </si>
  <si>
    <t>Anchor Dates</t>
  </si>
  <si>
    <t>Yields</t>
  </si>
  <si>
    <t>Time (years)</t>
  </si>
  <si>
    <t>Date</t>
  </si>
  <si>
    <t>Yield</t>
  </si>
  <si>
    <t>AMT_OUTSTANDING</t>
  </si>
  <si>
    <t>ISSUE_DT</t>
  </si>
  <si>
    <t>CTD</t>
  </si>
  <si>
    <t>Object Manager Utilities</t>
  </si>
  <si>
    <t>Hello</t>
  </si>
  <si>
    <t>EJ707218 Corp</t>
  </si>
  <si>
    <t>EK109396 Corp</t>
  </si>
  <si>
    <t>EC453273 Corp</t>
  </si>
  <si>
    <t>EF670373 Corp</t>
  </si>
  <si>
    <t>GG737572 Corp</t>
  </si>
  <si>
    <t>EG872949 Corp</t>
  </si>
  <si>
    <t>EC256595 Corp</t>
  </si>
  <si>
    <t>EH867755 Corp</t>
  </si>
  <si>
    <t>EC867711 Corp</t>
  </si>
  <si>
    <t>QMAVersion()</t>
  </si>
  <si>
    <t>QMAObjectManagerCount()</t>
  </si>
  <si>
    <t>QMABloombergStarted()</t>
  </si>
  <si>
    <t>Misc</t>
  </si>
  <si>
    <t>QMABondCashFlows()</t>
  </si>
  <si>
    <t>QMAObjectManagerCreate()</t>
  </si>
  <si>
    <t>QMAObjectManagerRetrieve()</t>
  </si>
  <si>
    <t>Data</t>
  </si>
  <si>
    <t>QMABondDetails()</t>
  </si>
  <si>
    <t>QMAObjectManageList()</t>
  </si>
  <si>
    <t>PX_ASK</t>
  </si>
  <si>
    <t>PX_BID</t>
  </si>
  <si>
    <t>Checksum</t>
  </si>
  <si>
    <t>SETTLEMENT_DATE</t>
  </si>
  <si>
    <t>YLD_YTM_ASK</t>
  </si>
  <si>
    <t>YLD_YTM_BID</t>
  </si>
  <si>
    <t>YLD_YTM_MID</t>
  </si>
  <si>
    <t>INT_ACC</t>
  </si>
  <si>
    <t>COUPON</t>
  </si>
  <si>
    <t>DAYS_TO_SETTLE</t>
  </si>
  <si>
    <t>MATURITY</t>
  </si>
  <si>
    <t>SECURiTY_DES</t>
  </si>
  <si>
    <t>TICKER</t>
  </si>
  <si>
    <t>ID_BB_UNIQUE</t>
  </si>
  <si>
    <t>Raw</t>
  </si>
  <si>
    <t>FLD</t>
  </si>
  <si>
    <t>Ask</t>
  </si>
  <si>
    <t>Bid</t>
  </si>
  <si>
    <t>Benchmark</t>
  </si>
  <si>
    <t>Weight</t>
  </si>
  <si>
    <t>QMABondCalculationDetails()</t>
  </si>
  <si>
    <t>CoeffName</t>
  </si>
  <si>
    <t>AmountOutstanding</t>
  </si>
  <si>
    <t>IssueDate</t>
  </si>
  <si>
    <t>Object Value</t>
  </si>
  <si>
    <t>Object Ref</t>
  </si>
  <si>
    <t>AccruedInterest</t>
  </si>
  <si>
    <t>Coupon</t>
  </si>
  <si>
    <t>DaysToSettle</t>
  </si>
  <si>
    <t>Maturity</t>
  </si>
  <si>
    <t>SettlementDate</t>
  </si>
  <si>
    <t>ShortName</t>
  </si>
  <si>
    <t>Ticker</t>
  </si>
  <si>
    <t>UniqueIdString</t>
  </si>
  <si>
    <t>YieldAsk</t>
  </si>
  <si>
    <t>YieldBid</t>
  </si>
  <si>
    <t>YieldMid</t>
  </si>
  <si>
    <t>Trade Date</t>
  </si>
  <si>
    <t>Identifier</t>
  </si>
  <si>
    <t>EI027834 Corp</t>
  </si>
  <si>
    <t>ED153094 Corp</t>
  </si>
  <si>
    <t>GG722763 Corp</t>
  </si>
  <si>
    <t>EI450338 Corp</t>
  </si>
  <si>
    <t>EF296277 Corp</t>
  </si>
  <si>
    <t>EI778872 Corp</t>
  </si>
  <si>
    <t>GG712874 Corp</t>
  </si>
  <si>
    <t>EJ046916 Corp</t>
  </si>
  <si>
    <t>EG456904 Corp</t>
  </si>
  <si>
    <t>EJ545726 Corp</t>
  </si>
  <si>
    <t>EH559130 Corp</t>
  </si>
  <si>
    <t>EJ933497 Corp</t>
  </si>
  <si>
    <t>EH887630 Corp</t>
  </si>
  <si>
    <t>ED860812 Corp</t>
  </si>
  <si>
    <t>EI270507 Corp</t>
  </si>
  <si>
    <t>GG726786 Corp</t>
  </si>
  <si>
    <t>EI604577 Corp</t>
  </si>
  <si>
    <t>EH728200 Corp</t>
  </si>
  <si>
    <t>EJ237349 Corp</t>
  </si>
  <si>
    <t>ED422520 Corp</t>
  </si>
  <si>
    <t>EH736811 Corp</t>
  </si>
  <si>
    <t>EI291005 Corp</t>
  </si>
  <si>
    <t>EG506481 Corp</t>
  </si>
  <si>
    <t>EJ407307 Corp</t>
  </si>
  <si>
    <t>EK333934 Corp</t>
  </si>
  <si>
    <t>EF396423 Corp</t>
  </si>
  <si>
    <t>EH529579 Corp</t>
  </si>
  <si>
    <t>EI825311 Corp</t>
  </si>
  <si>
    <t>ED946246 Corp</t>
  </si>
  <si>
    <t>EH998789 Corp</t>
  </si>
  <si>
    <t>EJ712548 Corp</t>
  </si>
  <si>
    <t>Yield Curve</t>
  </si>
  <si>
    <t>Coeff Object Ref</t>
  </si>
  <si>
    <t>BidAskSpread</t>
  </si>
  <si>
    <t>Years</t>
  </si>
  <si>
    <t>Days</t>
  </si>
  <si>
    <t>RequestKey</t>
  </si>
  <si>
    <t>UKT</t>
  </si>
  <si>
    <t>InvoicePriceAsk</t>
  </si>
  <si>
    <t>InvoicePriceBid</t>
  </si>
  <si>
    <t>InvoicePriceMid</t>
  </si>
  <si>
    <t>IssueDateYearFraction</t>
  </si>
  <si>
    <t>MarketToModelPriceSpread</t>
  </si>
  <si>
    <t>MarketToModelYieldSpread</t>
  </si>
  <si>
    <t>Mid</t>
  </si>
  <si>
    <t>ModelCleanPriceMid</t>
  </si>
  <si>
    <t>ModelYieldMid</t>
  </si>
  <si>
    <t>PriceResidual</t>
  </si>
  <si>
    <t>ResidualWeight</t>
  </si>
  <si>
    <t>YieldResidual</t>
  </si>
  <si>
    <t>AskChange</t>
  </si>
  <si>
    <t>BidAskSpreadChange</t>
  </si>
  <si>
    <t>BidChange</t>
  </si>
  <si>
    <t>ModelCleanPriceMidChange</t>
  </si>
  <si>
    <t>ModelYieldMidChange</t>
  </si>
  <si>
    <t>FittedCoeffs</t>
  </si>
  <si>
    <t>MaturityDateYearFraction</t>
  </si>
  <si>
    <t>QMALoggingStatus()</t>
  </si>
  <si>
    <t>Live</t>
  </si>
  <si>
    <t>Evals</t>
  </si>
  <si>
    <t>Status</t>
  </si>
  <si>
    <t>Cost</t>
  </si>
  <si>
    <t>Output</t>
  </si>
  <si>
    <t>i0</t>
  </si>
  <si>
    <t>i-1</t>
  </si>
  <si>
    <t>i+1</t>
  </si>
  <si>
    <t>Max Iterations</t>
  </si>
  <si>
    <t>MinimumDeltaValueConverged</t>
  </si>
  <si>
    <t>Delta</t>
  </si>
  <si>
    <t>Delta^2</t>
  </si>
  <si>
    <t>String#1</t>
  </si>
  <si>
    <t>TestArray#1</t>
  </si>
  <si>
    <t>UKT 2 1/4 09/07/23</t>
  </si>
  <si>
    <t>COEJ7072188</t>
  </si>
  <si>
    <t>EG872949 Corp#1</t>
  </si>
  <si>
    <t>EH867755 Corp#1</t>
  </si>
  <si>
    <t>EJ707218 Corp#1</t>
  </si>
  <si>
    <t>GG737572 Corp#1</t>
  </si>
  <si>
    <t>FittedCoeffs#1</t>
  </si>
  <si>
    <t>ED153094 Corp#1</t>
  </si>
  <si>
    <t>EF296277 Corp#1</t>
  </si>
  <si>
    <t>EG456904 Corp#1</t>
  </si>
  <si>
    <t>EG506481 Corp#1</t>
  </si>
  <si>
    <t>EH559130 Corp#1</t>
  </si>
  <si>
    <t>EH736811 Corp#1</t>
  </si>
  <si>
    <t>EH998789 Corp#1</t>
  </si>
  <si>
    <t>EI027834 Corp#1</t>
  </si>
  <si>
    <t>EI270507 Corp#1</t>
  </si>
  <si>
    <t>EI450338 Corp#1</t>
  </si>
  <si>
    <t>EI604577 Corp#1</t>
  </si>
  <si>
    <t>EI778872 Corp#1</t>
  </si>
  <si>
    <t>EI825311 Corp#1</t>
  </si>
  <si>
    <t>EJ046916 Corp#1</t>
  </si>
  <si>
    <t>EJ237349 Corp#1</t>
  </si>
  <si>
    <t>EJ407307 Corp#1</t>
  </si>
  <si>
    <t>EJ545726 Corp#1</t>
  </si>
  <si>
    <t>EJ712548 Corp#1</t>
  </si>
  <si>
    <t>EJ933497 Corp#1</t>
  </si>
  <si>
    <t>EK333934 Corp#1</t>
  </si>
  <si>
    <t>GG722763 Corp#1</t>
  </si>
  <si>
    <t>GG726786 Corp#1</t>
  </si>
  <si>
    <t>Price Adj</t>
  </si>
  <si>
    <t>Stale</t>
  </si>
  <si>
    <t>Chosen</t>
  </si>
  <si>
    <t>Bond Obj</t>
  </si>
  <si>
    <t>Calc Obj</t>
  </si>
  <si>
    <t>SumSq</t>
  </si>
  <si>
    <t>Fitter</t>
  </si>
  <si>
    <t>Levenburg-Marquardt</t>
  </si>
  <si>
    <t>ED153094 CorpFittedCalc#1</t>
  </si>
  <si>
    <t>EF296277 CorpFittedCalc#1</t>
  </si>
  <si>
    <t>EF670373 CorpFittedCalc#1</t>
  </si>
  <si>
    <t>EG456904 CorpFittedCalc#1</t>
  </si>
  <si>
    <t>EG506481 CorpFittedCalc#1</t>
  </si>
  <si>
    <t>EG872949 CorpFittedCalc#1</t>
  </si>
  <si>
    <t>EH529579 CorpFittedCalc#1</t>
  </si>
  <si>
    <t>EH559130 CorpFittedCalc#1</t>
  </si>
  <si>
    <t>EH728200 CorpFittedCalc#1</t>
  </si>
  <si>
    <t>EH736811 CorpFittedCalc#1</t>
  </si>
  <si>
    <t>EH867755 CorpFittedCalc#1</t>
  </si>
  <si>
    <t>EH887630 CorpFittedCalc#1</t>
  </si>
  <si>
    <t>EH998789 CorpFittedCalc#1</t>
  </si>
  <si>
    <t>EI027834 CorpFittedCalc#1</t>
  </si>
  <si>
    <t>EI270507 CorpFittedCalc#1</t>
  </si>
  <si>
    <t>EI291005 CorpFittedCalc#1</t>
  </si>
  <si>
    <t>EI450338 CorpFittedCalc#1</t>
  </si>
  <si>
    <t>EI604577 CorpFittedCalc#1</t>
  </si>
  <si>
    <t>EI778872 CorpFittedCalc#1</t>
  </si>
  <si>
    <t>EI825311 CorpFittedCalc#1</t>
  </si>
  <si>
    <t>EJ046916 CorpFittedCalc#1</t>
  </si>
  <si>
    <t>EJ237349 CorpFittedCalc#1</t>
  </si>
  <si>
    <t>EJ407307 CorpFittedCalc#1</t>
  </si>
  <si>
    <t>EJ545726 CorpFittedCalc#1</t>
  </si>
  <si>
    <t>EJ707218 CorpFittedCalc#1</t>
  </si>
  <si>
    <t>EJ712548 CorpFittedCalc#1</t>
  </si>
  <si>
    <t>EJ933497 CorpFittedCalc#1</t>
  </si>
  <si>
    <t>EK109396 CorpFittedCalc#1</t>
  </si>
  <si>
    <t>EK333934 CorpFittedCalc#1</t>
  </si>
  <si>
    <t>FittedCurveYieldCurve#1</t>
  </si>
  <si>
    <t>FittedEC256595 Corp#1</t>
  </si>
  <si>
    <t>FittedEC453273 Corp#1</t>
  </si>
  <si>
    <t>FittedEC867711 Corp#1</t>
  </si>
  <si>
    <t>FittedED153094 Corp#1</t>
  </si>
  <si>
    <t>FittedED422520 Corp#1</t>
  </si>
  <si>
    <t>FittedED860812 Corp#1</t>
  </si>
  <si>
    <t>FittedED946246 Corp#1</t>
  </si>
  <si>
    <t>FittedEF296277 Corp#1</t>
  </si>
  <si>
    <t>FittedEF396423 Corp#1</t>
  </si>
  <si>
    <t>FittedEF670373 Corp#1</t>
  </si>
  <si>
    <t>FittedEG456904 Corp#1</t>
  </si>
  <si>
    <t>FittedEG506481 Corp#1</t>
  </si>
  <si>
    <t>FittedEG872949 Corp#1</t>
  </si>
  <si>
    <t>FittedEH529579 Corp#1</t>
  </si>
  <si>
    <t>FittedEH559130 Corp#1</t>
  </si>
  <si>
    <t>FittedEH728200 Corp#1</t>
  </si>
  <si>
    <t>FittedEH736811 Corp#1</t>
  </si>
  <si>
    <t>FittedEH867755 Corp#1</t>
  </si>
  <si>
    <t>FittedEH887630 Corp#1</t>
  </si>
  <si>
    <t>FittedEH998789 Corp#1</t>
  </si>
  <si>
    <t>FittedEI027834 Corp#1</t>
  </si>
  <si>
    <t>FittedEI270507 Corp#1</t>
  </si>
  <si>
    <t>FittedEI291005 Corp#1</t>
  </si>
  <si>
    <t>FittedEI450338 Corp#1</t>
  </si>
  <si>
    <t>FittedEI604577 Corp#1</t>
  </si>
  <si>
    <t>FittedEI778872 Corp#1</t>
  </si>
  <si>
    <t>FittedEI825311 Corp#1</t>
  </si>
  <si>
    <t>FittedEJ046916 Corp#1</t>
  </si>
  <si>
    <t>FittedEJ237349 Corp#1</t>
  </si>
  <si>
    <t>FittedEJ407307 Corp#1</t>
  </si>
  <si>
    <t>FittedEJ545726 Corp#1</t>
  </si>
  <si>
    <t>FittedEJ707218 Corp#1</t>
  </si>
  <si>
    <t>FittedEJ712548 Corp#1</t>
  </si>
  <si>
    <t>FittedEJ933497 Corp#1</t>
  </si>
  <si>
    <t>FittedEK109396 Corp#1</t>
  </si>
  <si>
    <t>FittedEK333934 Corp#1</t>
  </si>
  <si>
    <t>FittedGG712874 Corp#1</t>
  </si>
  <si>
    <t>FittedGG722763 Corp#1</t>
  </si>
  <si>
    <t>FittedGG726786 Corp#1</t>
  </si>
  <si>
    <t>FittedGG737572 Corp#1</t>
  </si>
  <si>
    <t>GG712874 CorpFittedCalc#1</t>
  </si>
  <si>
    <t>GG722763 CorpFittedCalc#1</t>
  </si>
  <si>
    <t>GG726786 CorpFittedCalc#1</t>
  </si>
  <si>
    <t>GG737572 CorpFittedCalc#1</t>
  </si>
  <si>
    <t>Details</t>
  </si>
  <si>
    <t>Calibrated</t>
  </si>
  <si>
    <t>Drift</t>
  </si>
  <si>
    <t>Convergence Error</t>
  </si>
  <si>
    <t>Parameter Change Error</t>
  </si>
  <si>
    <t>EC256595 CorpFittedCalc#1</t>
  </si>
  <si>
    <t>EC453273 Corp#1</t>
  </si>
  <si>
    <t>EC453273 CorpFittedCalc#1</t>
  </si>
  <si>
    <t>EC867711 Corp#1</t>
  </si>
  <si>
    <t>EC867711 CorpFittedCalc#1</t>
  </si>
  <si>
    <t>ED422520 CorpFittedCalc#1</t>
  </si>
  <si>
    <t>ED860812 Corp#1</t>
  </si>
  <si>
    <t>ED860812 CorpFittedCalc#1</t>
  </si>
  <si>
    <t>ED946246 CorpFittedCalc#1</t>
  </si>
  <si>
    <t>EF396423 Corp#1</t>
  </si>
  <si>
    <t>EF396423 CorpFittedCalc#1</t>
  </si>
  <si>
    <t>EF670373 Corp#1</t>
  </si>
  <si>
    <t>EC256595 Corp#1</t>
  </si>
  <si>
    <t>ED946246 Corp#1</t>
  </si>
  <si>
    <t>LastFitTime</t>
  </si>
  <si>
    <t>QMAMatrixAddMatrix</t>
  </si>
  <si>
    <t>QMAMatrixAddScalar</t>
  </si>
  <si>
    <t>QMAMatrixConditionalNumber</t>
  </si>
  <si>
    <t>QMAMatrixDeterminant</t>
  </si>
  <si>
    <t>QMAMatrixEigenValues</t>
  </si>
  <si>
    <t>QMAMatrixEigenVectors</t>
  </si>
  <si>
    <t>QMAMatrixFrobeniusNorm</t>
  </si>
  <si>
    <t>QMAMatrixInfinityNorm</t>
  </si>
  <si>
    <t>QMAMatrixInvert</t>
  </si>
  <si>
    <t>QMAMatrixKroneckerProduct</t>
  </si>
  <si>
    <t>QMAMatrixL1Norm</t>
  </si>
  <si>
    <t>QMAMatrixL2Norm</t>
  </si>
  <si>
    <t>Test Matrix</t>
  </si>
  <si>
    <t>Test Matrix +2</t>
  </si>
  <si>
    <t>QMAMatrixModulus</t>
  </si>
  <si>
    <t>QMAMatrixMultiply</t>
  </si>
  <si>
    <t>QMAMatrixMultiplyScalar</t>
  </si>
  <si>
    <t>QMAMatrixMultiplyVector</t>
  </si>
  <si>
    <t>QMAMatrixNullity</t>
  </si>
  <si>
    <t>QMAMatrixRank</t>
  </si>
  <si>
    <t>QMAMatrixSubtract</t>
  </si>
  <si>
    <t>QMAMatrixSubtractScalar</t>
  </si>
  <si>
    <t>QMAMatrixTrace</t>
  </si>
  <si>
    <t>QMAMatrixTransposeThisAndMultiply</t>
  </si>
  <si>
    <t>AutoFittedCoeffs</t>
  </si>
  <si>
    <t>Double#1</t>
  </si>
  <si>
    <t>AutoFitObject</t>
  </si>
  <si>
    <t>AutoFittedCoeffs#1</t>
  </si>
  <si>
    <t>Loops</t>
  </si>
  <si>
    <t>ED422520 Corp#1</t>
  </si>
  <si>
    <t>EH529579 Corp#1</t>
  </si>
  <si>
    <t>EH887630 Corp#1</t>
  </si>
  <si>
    <t>GG712874 Corp#1</t>
  </si>
  <si>
    <t>Name</t>
  </si>
  <si>
    <t>FitObject</t>
  </si>
  <si>
    <t>EH728200 Corp#1</t>
  </si>
  <si>
    <t>EI291005 Corp#1</t>
  </si>
  <si>
    <t>EK109396 Corp#1</t>
  </si>
  <si>
    <t>Price</t>
  </si>
  <si>
    <t>Model</t>
  </si>
  <si>
    <t>T(s)</t>
  </si>
  <si>
    <t>t</t>
  </si>
  <si>
    <t>YCObj</t>
  </si>
  <si>
    <t>Anchor Yields</t>
  </si>
  <si>
    <t>Fitted Curve</t>
  </si>
  <si>
    <t>Bond Yields</t>
  </si>
  <si>
    <t>YCObj#1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</si>
</sst>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mm/dd/yy"/>
    <numFmt numFmtId="166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rgb="FFE26B0A"/>
      <name val="Arial"/>
      <family val="2"/>
    </font>
    <font>
      <sz val="11"/>
      <name val="Arial"/>
      <family val="2"/>
    </font>
    <font>
      <b/>
      <sz val="11"/>
      <color rgb="FFE26B0A"/>
      <name val="Arial"/>
      <family val="2"/>
    </font>
    <font>
      <b/>
      <u/>
      <sz val="11"/>
      <color rgb="FFE26B0A"/>
      <name val="Arial"/>
      <family val="2"/>
    </font>
    <font>
      <u/>
      <sz val="11"/>
      <color rgb="FFE26B0A"/>
      <name val="Arial"/>
      <family val="2"/>
    </font>
    <font>
      <sz val="11"/>
      <color theme="9" tint="-0.249977111117893"/>
      <name val="Arial"/>
      <family val="2"/>
    </font>
    <font>
      <sz val="11"/>
      <color theme="1" tint="0.34998626667073579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/>
        <bgColor rgb="FFE26B0A"/>
      </patternFill>
    </fill>
    <fill>
      <patternFill patternType="solid">
        <fgColor theme="5"/>
        <bgColor indexed="64"/>
      </patternFill>
    </fill>
    <fill>
      <patternFill patternType="solid">
        <fgColor theme="1"/>
        <bgColor rgb="FFE26B0A"/>
      </patternFill>
    </fill>
  </fills>
  <borders count="19">
    <border>
      <left/>
      <right/>
      <top/>
      <bottom/>
      <diagonal/>
    </border>
    <border>
      <left style="thin">
        <color rgb="FFE26B0A"/>
      </left>
      <right style="thin">
        <color rgb="FFE26B0A"/>
      </right>
      <top style="thin">
        <color rgb="FFE26B0A"/>
      </top>
      <bottom style="thin">
        <color rgb="FFE26B0A"/>
      </bottom>
      <diagonal/>
    </border>
    <border>
      <left style="thin">
        <color rgb="FFE26B0A"/>
      </left>
      <right style="thin">
        <color rgb="FFE26B0A"/>
      </right>
      <top style="thin">
        <color rgb="FFE26B0A"/>
      </top>
      <bottom/>
      <diagonal/>
    </border>
    <border>
      <left style="thin">
        <color rgb="FFE26B0A"/>
      </left>
      <right style="thin">
        <color rgb="FFE26B0A"/>
      </right>
      <top/>
      <bottom/>
      <diagonal/>
    </border>
    <border>
      <left style="thin">
        <color rgb="FFE26B0A"/>
      </left>
      <right style="thin">
        <color rgb="FFE26B0A"/>
      </right>
      <top/>
      <bottom style="thin">
        <color rgb="FFE26B0A"/>
      </bottom>
      <diagonal/>
    </border>
    <border>
      <left style="thin">
        <color rgb="FFE26B0A"/>
      </left>
      <right/>
      <top style="thin">
        <color rgb="FFE26B0A"/>
      </top>
      <bottom style="thin">
        <color rgb="FFE26B0A"/>
      </bottom>
      <diagonal/>
    </border>
    <border>
      <left/>
      <right style="thin">
        <color rgb="FFE26B0A"/>
      </right>
      <top style="thin">
        <color rgb="FFE26B0A"/>
      </top>
      <bottom style="thin">
        <color rgb="FFE26B0A"/>
      </bottom>
      <diagonal/>
    </border>
    <border>
      <left/>
      <right/>
      <top style="thin">
        <color rgb="FFE26B0A"/>
      </top>
      <bottom style="thin">
        <color rgb="FFE26B0A"/>
      </bottom>
      <diagonal/>
    </border>
    <border>
      <left style="thin">
        <color rgb="FFE26B0A"/>
      </left>
      <right/>
      <top/>
      <bottom/>
      <diagonal/>
    </border>
    <border>
      <left/>
      <right style="thin">
        <color rgb="FFE26B0A"/>
      </right>
      <top/>
      <bottom/>
      <diagonal/>
    </border>
    <border>
      <left style="thin">
        <color rgb="FFE26B0A"/>
      </left>
      <right/>
      <top/>
      <bottom style="thin">
        <color rgb="FFE26B0A"/>
      </bottom>
      <diagonal/>
    </border>
    <border>
      <left/>
      <right/>
      <top/>
      <bottom style="thin">
        <color rgb="FFE26B0A"/>
      </bottom>
      <diagonal/>
    </border>
    <border>
      <left/>
      <right style="thin">
        <color rgb="FFE26B0A"/>
      </right>
      <top/>
      <bottom style="thin">
        <color rgb="FFE26B0A"/>
      </bottom>
      <diagonal/>
    </border>
    <border>
      <left style="thin">
        <color rgb="FFE26B0A"/>
      </left>
      <right/>
      <top style="thin">
        <color rgb="FFE26B0A"/>
      </top>
      <bottom/>
      <diagonal/>
    </border>
    <border>
      <left/>
      <right/>
      <top style="thin">
        <color rgb="FFE26B0A"/>
      </top>
      <bottom/>
      <diagonal/>
    </border>
    <border>
      <left/>
      <right style="thin">
        <color rgb="FFE26B0A"/>
      </right>
      <top style="thin">
        <color rgb="FFE26B0A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2" borderId="0" xfId="0" applyFont="1" applyFill="1"/>
    <xf numFmtId="0" fontId="1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3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2" borderId="0" xfId="0" quotePrefix="1" applyFont="1" applyFill="1" applyBorder="1" applyAlignment="1">
      <alignment horizontal="left"/>
    </xf>
    <xf numFmtId="0" fontId="4" fillId="2" borderId="0" xfId="0" quotePrefix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/>
    <xf numFmtId="0" fontId="1" fillId="2" borderId="2" xfId="0" applyFont="1" applyFill="1" applyBorder="1"/>
    <xf numFmtId="164" fontId="1" fillId="2" borderId="8" xfId="0" applyNumberFormat="1" applyFont="1" applyFill="1" applyBorder="1" applyAlignment="1"/>
    <xf numFmtId="164" fontId="1" fillId="2" borderId="10" xfId="0" applyNumberFormat="1" applyFont="1" applyFill="1" applyBorder="1" applyAlignment="1"/>
    <xf numFmtId="0" fontId="1" fillId="2" borderId="1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center"/>
    </xf>
    <xf numFmtId="14" fontId="1" fillId="2" borderId="0" xfId="0" applyNumberFormat="1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  <xf numFmtId="14" fontId="2" fillId="4" borderId="3" xfId="0" applyNumberFormat="1" applyFont="1" applyFill="1" applyBorder="1"/>
    <xf numFmtId="14" fontId="2" fillId="4" borderId="4" xfId="0" applyNumberFormat="1" applyFont="1" applyFill="1" applyBorder="1"/>
    <xf numFmtId="0" fontId="6" fillId="2" borderId="0" xfId="0" applyFont="1" applyFill="1"/>
    <xf numFmtId="0" fontId="7" fillId="2" borderId="0" xfId="0" applyFont="1" applyFill="1"/>
    <xf numFmtId="165" fontId="1" fillId="2" borderId="0" xfId="0" applyNumberFormat="1" applyFont="1" applyFill="1" applyBorder="1" applyAlignment="1">
      <alignment horizontal="center"/>
    </xf>
    <xf numFmtId="165" fontId="1" fillId="2" borderId="11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6" xfId="0" applyFont="1" applyFill="1" applyBorder="1" applyAlignment="1"/>
    <xf numFmtId="14" fontId="2" fillId="4" borderId="16" xfId="0" applyNumberFormat="1" applyFont="1" applyFill="1" applyBorder="1" applyAlignment="1">
      <alignment horizontal="center"/>
    </xf>
    <xf numFmtId="0" fontId="2" fillId="4" borderId="17" xfId="0" applyNumberFormat="1" applyFont="1" applyFill="1" applyBorder="1" applyAlignment="1">
      <alignment horizontal="center"/>
    </xf>
    <xf numFmtId="0" fontId="2" fillId="4" borderId="18" xfId="0" applyNumberFormat="1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14" fontId="2" fillId="5" borderId="2" xfId="0" applyNumberFormat="1" applyFont="1" applyFill="1" applyBorder="1" applyAlignment="1">
      <alignment horizontal="center"/>
    </xf>
    <xf numFmtId="14" fontId="2" fillId="5" borderId="3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6" borderId="15" xfId="0" applyFont="1" applyFill="1" applyBorder="1" applyAlignment="1">
      <alignment horizontal="center"/>
    </xf>
    <xf numFmtId="0" fontId="1" fillId="2" borderId="2" xfId="0" applyNumberFormat="1" applyFont="1" applyFill="1" applyBorder="1" applyAlignment="1">
      <alignment horizontal="center"/>
    </xf>
    <xf numFmtId="0" fontId="1" fillId="2" borderId="3" xfId="0" applyNumberFormat="1" applyFont="1" applyFill="1" applyBorder="1" applyAlignment="1">
      <alignment horizontal="center"/>
    </xf>
    <xf numFmtId="0" fontId="1" fillId="2" borderId="4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14" fontId="4" fillId="2" borderId="0" xfId="0" applyNumberFormat="1" applyFont="1" applyFill="1" applyBorder="1" applyAlignment="1">
      <alignment horizontal="center"/>
    </xf>
    <xf numFmtId="14" fontId="1" fillId="2" borderId="0" xfId="0" quotePrefix="1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1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/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11" xfId="0" applyFont="1" applyFill="1" applyBorder="1" applyAlignment="1"/>
    <xf numFmtId="0" fontId="3" fillId="2" borderId="0" xfId="0" applyFont="1" applyFill="1" applyBorder="1" applyAlignment="1">
      <alignment horizontal="center"/>
    </xf>
    <xf numFmtId="0" fontId="6" fillId="2" borderId="3" xfId="0" applyFont="1" applyFill="1" applyBorder="1"/>
    <xf numFmtId="14" fontId="1" fillId="2" borderId="3" xfId="0" applyNumberFormat="1" applyFont="1" applyFill="1" applyBorder="1" applyAlignment="1">
      <alignment horizontal="center"/>
    </xf>
    <xf numFmtId="0" fontId="7" fillId="2" borderId="3" xfId="0" applyFont="1" applyFill="1" applyBorder="1"/>
    <xf numFmtId="0" fontId="7" fillId="2" borderId="4" xfId="0" applyFont="1" applyFill="1" applyBorder="1"/>
    <xf numFmtId="14" fontId="1" fillId="2" borderId="4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1" xfId="0" quotePrefix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166" fontId="1" fillId="2" borderId="3" xfId="0" applyNumberFormat="1" applyFont="1" applyFill="1" applyBorder="1" applyAlignment="1">
      <alignment horizontal="center"/>
    </xf>
    <xf numFmtId="164" fontId="1" fillId="2" borderId="3" xfId="0" applyNumberFormat="1" applyFont="1" applyFill="1" applyBorder="1" applyAlignment="1"/>
    <xf numFmtId="165" fontId="1" fillId="2" borderId="3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164" fontId="1" fillId="2" borderId="4" xfId="0" applyNumberFormat="1" applyFont="1" applyFill="1" applyBorder="1" applyAlignment="1"/>
    <xf numFmtId="165" fontId="1" fillId="2" borderId="4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6B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03/10/2007</v>
        <stp/>
        <stp>##V3_BDPV12</stp>
        <stp>EG872949 Corp</stp>
        <stp>ISSUE_DT</stp>
        <stp>[ExcelDNAQMATestWorkbook.xlsm]Bond Diagnostics!R9C10</stp>
        <tr r="J9" s="3"/>
      </tp>
      <tp t="s">
        <v>07/12/2030</v>
        <stp/>
        <stp>##V3_BDPV12</stp>
        <stp>EG872949 Corp</stp>
        <stp>MATURITY</stp>
        <stp>[ExcelDNAQMATestWorkbook.xlsm]Bond Diagnostics!R10C10</stp>
        <tr r="J10" s="3"/>
      </tp>
      <tp>
        <v>31531504000</v>
        <stp/>
        <stp>##V3_BDPV12</stp>
        <stp>EG872949 Corp</stp>
        <stp>AMT_OUTSTANDING</stp>
        <stp>[ExcelDNAQMATestWorkbook.xlsm]Bond Diagnostics!R4C10</stp>
        <tr r="J4" s="3"/>
      </tp>
      <tp t="s">
        <v>15/12/2014</v>
        <stp/>
        <stp>##V3_BDPV12</stp>
        <stp>EG872949 Corp</stp>
        <stp>SETTLEMENT_DATE</stp>
        <stp>[ExcelDNAQMATestWorkbook.xlsm]Bond Diagnostics!R12C10</stp>
        <tr r="J12" s="3"/>
      </tp>
      <tp>
        <v>4.75</v>
        <stp/>
        <stp>##V3_BDPV12</stp>
        <stp>EG872949 Corp</stp>
        <stp>COUPON</stp>
        <stp>[ExcelDNAQMATestWorkbook.xlsm]Bond Diagnostics!R7C10</stp>
        <tr r="J7" s="3"/>
      </tp>
      <tp>
        <v>134.41</v>
        <stp/>
        <stp>##V3_BDPV12</stp>
        <stp>EG872949 Corp</stp>
        <stp>PX_ASK</stp>
        <stp>[ExcelDNAQMATestWorkbook.xlsm]Bond Diagnostics!R20C10</stp>
        <tr r="J20" s="3"/>
      </tp>
      <tp>
        <v>0.10439560000000001</v>
        <stp/>
        <stp>##V3_BDPV12</stp>
        <stp>EG872949 Corp</stp>
        <stp>INT_ACC</stp>
        <stp>[ExcelDNAQMATestWorkbook.xlsm]Bond Diagnostics!R3C10</stp>
        <tr r="J3" s="3"/>
      </tp>
      <tp>
        <v>1</v>
        <stp/>
        <stp>##V3_BDPV12</stp>
        <stp>EG872949 Corp</stp>
        <stp>DAYS_TO_SETTLE</stp>
        <stp>[ExcelDNAQMATestWorkbook.xlsm]Bond Diagnostics!R8C10</stp>
        <tr r="J8" s="3"/>
      </tp>
      <tp t="s">
        <v>UKT</v>
        <stp/>
        <stp>##V3_BDPV12</stp>
        <stp>EG872949 Corp</stp>
        <stp>TICKER</stp>
        <stp>[ExcelDNAQMATestWorkbook.xlsm]Bond Diagnostics!R14C10</stp>
        <tr r="J14" s="3"/>
      </tp>
      <tp>
        <v>134.37</v>
        <stp/>
        <stp>##V3_BDPV12</stp>
        <stp>EG872949 Corp</stp>
        <stp>PX_BID</stp>
        <stp>[ExcelDNAQMATestWorkbook.xlsm]Bond Diagnostics!R21C10</stp>
        <tr r="J21" s="3"/>
      </tp>
    </main>
    <main first="bloomberg.rtd">
      <tp>
        <v>4.491398635765055</v>
        <stp/>
        <stp>##V3_BDPV12</stp>
        <stp>EG872949 Corp</stp>
        <stp>YLD_YTM_BID</stp>
        <stp>[ExcelDNAQMATestWorkbook.xlsm]Bond Diagnostics!R23C10</stp>
        <stp>PX_DISC_BID=102.925</stp>
        <stp>SETTLE_DT=20141215</stp>
        <tr r="J23" s="3"/>
      </tp>
      <tp>
        <v>4.4909647853037331</v>
        <stp/>
        <stp>##V3_BDPV12</stp>
        <stp>EG872949 Corp</stp>
        <stp>YLD_YTM_MID</stp>
        <stp>[ExcelDNAQMATestWorkbook.xlsm]Bond Diagnostics!R24C10</stp>
        <stp>PX_DISC_ASK=102.935</stp>
        <stp>PX_DISC_BID=102.925</stp>
        <stp>SETTLE_DT=20141215</stp>
        <tr r="J24" s="3"/>
      </tp>
      <tp>
        <v>4.4905309615958107</v>
        <stp/>
        <stp>##V3_BDPV12</stp>
        <stp>EG872949 Corp</stp>
        <stp>YLD_YTM_ASK</stp>
        <stp>[ExcelDNAQMATestWorkbook.xlsm]Bond Diagnostics!R22C10</stp>
        <stp>PX_DISC_ASK=102.935</stp>
        <stp>SETTLE_DT=20141215</stp>
        <tr r="J22" s="3"/>
      </tp>
      <tp>
        <v>141.72999999999999</v>
        <stp/>
        <stp>##V3_BDPV12</stp>
        <stp>ED422520 Corp</stp>
        <stp>PX_BID</stp>
        <stp>[ExcelDNAQMATestWorkbook.xlsm]Autofit!R37C7</stp>
        <tr r="G37" s="8"/>
      </tp>
      <tp>
        <v>100.715</v>
        <stp/>
        <stp>##V3_BDPV12</stp>
        <stp>EJ046916 Corp</stp>
        <stp>PX_ASK</stp>
        <stp>[ExcelDNAQMATestWorkbook.xlsm]Autofit!R16C6</stp>
        <tr r="F16" s="8"/>
      </tp>
      <tp>
        <v>102.5</v>
        <stp/>
        <stp>##V3_BDPV12</stp>
        <stp>EI778872 Corp</stp>
        <stp>PX_ASK</stp>
        <stp>[ExcelDNAQMATestWorkbook.xlsm]Autofit!R14C6</stp>
        <tr r="F14" s="8"/>
      </tp>
      <tp>
        <v>100.88500000000001</v>
        <stp/>
        <stp>##V3_BDPV12</stp>
        <stp>EJ545726 Corp</stp>
        <stp>PX_ASK</stp>
        <stp>[ExcelDNAQMATestWorkbook.xlsm]Autofit!R18C6</stp>
        <tr r="F18" s="8"/>
      </tp>
      <tp>
        <v>128.66</v>
        <stp/>
        <stp>##V3_BDPV12</stp>
        <stp>EJ712548 Corp</stp>
        <stp>PX_BID</stp>
        <stp>[ExcelDNAQMATestWorkbook.xlsm]Autofit!R48C7</stp>
        <tr r="G48" s="8"/>
      </tp>
      <tp>
        <v>106.07</v>
        <stp/>
        <stp>##V3_BDPV12</stp>
        <stp>EF296277 Corp</stp>
        <stp>PX_BID</stp>
        <stp>[ExcelDNAQMATestWorkbook.xlsm]Autofit!R13C7</stp>
        <tr r="G13" s="8"/>
      </tp>
      <tp>
        <v>103.18</v>
        <stp/>
        <stp>##V3_BDPV12</stp>
        <stp>ED153094 Corp</stp>
        <stp>PX_ASK</stp>
        <stp>[ExcelDNAQMATestWorkbook.xlsm]Autofit!R10C6</stp>
        <tr r="F10" s="8"/>
      </tp>
      <tp>
        <v>140.80000000000001</v>
        <stp/>
        <stp>##V3_BDPV12</stp>
        <stp>GG726786 Corp</stp>
        <stp>PX_ASK</stp>
        <stp>[ExcelDNAQMATestWorkbook.xlsm]Autofit!R24C6</stp>
        <tr r="F24" s="8"/>
      </tp>
      <tp>
        <v>125.535</v>
        <stp/>
        <stp>##V3_BDPV12</stp>
        <stp>EF670373 Corp</stp>
        <stp>PX_ASK</stp>
        <stp>[ExcelDNAQMATestWorkbook.xlsm]Autofit!R31C6</stp>
        <tr r="F31" s="8"/>
      </tp>
      <tp>
        <v>125.505</v>
        <stp/>
        <stp>##V3_BDPV12</stp>
        <stp>EF670373 Corp</stp>
        <stp>PX_BID</stp>
        <stp>[ExcelDNAQMATestWorkbook.xlsm]Autofit!R31C7</stp>
        <tr r="G31" s="8"/>
      </tp>
      <tp>
        <v>103.17</v>
        <stp/>
        <stp>##V3_BDPV12</stp>
        <stp>ED153094 Corp</stp>
        <stp>PX_BID</stp>
        <stp>[ExcelDNAQMATestWorkbook.xlsm]Autofit!R10C7</stp>
        <tr r="G10" s="8"/>
      </tp>
      <tp>
        <v>140.77000000000001</v>
        <stp/>
        <stp>##V3_BDPV12</stp>
        <stp>GG726786 Corp</stp>
        <stp>PX_BID</stp>
        <stp>[ExcelDNAQMATestWorkbook.xlsm]Autofit!R24C7</stp>
        <tr r="G24" s="8"/>
      </tp>
      <tp>
        <v>128.71</v>
        <stp/>
        <stp>##V3_BDPV12</stp>
        <stp>EJ712548 Corp</stp>
        <stp>PX_ASK</stp>
        <stp>[ExcelDNAQMATestWorkbook.xlsm]Autofit!R48C6</stp>
        <tr r="F48" s="8"/>
      </tp>
      <tp>
        <v>106.08</v>
        <stp/>
        <stp>##V3_BDPV12</stp>
        <stp>EF296277 Corp</stp>
        <stp>PX_ASK</stp>
        <stp>[ExcelDNAQMATestWorkbook.xlsm]Autofit!R13C6</stp>
        <tr r="F13" s="8"/>
      </tp>
      <tp>
        <v>100.7</v>
        <stp/>
        <stp>##V3_BDPV12</stp>
        <stp>EJ046916 Corp</stp>
        <stp>PX_BID</stp>
        <stp>[ExcelDNAQMATestWorkbook.xlsm]Autofit!R16C7</stp>
        <tr r="G16" s="8"/>
      </tp>
      <tp>
        <v>102.485</v>
        <stp/>
        <stp>##V3_BDPV12</stp>
        <stp>EI778872 Corp</stp>
        <stp>PX_BID</stp>
        <stp>[ExcelDNAQMATestWorkbook.xlsm]Autofit!R14C7</stp>
        <tr r="G14" s="8"/>
      </tp>
      <tp>
        <v>100.87</v>
        <stp/>
        <stp>##V3_BDPV12</stp>
        <stp>EJ545726 Corp</stp>
        <stp>PX_BID</stp>
        <stp>[ExcelDNAQMATestWorkbook.xlsm]Autofit!R18C7</stp>
        <tr r="G18" s="8"/>
      </tp>
      <tp>
        <v>141.77000000000001</v>
        <stp/>
        <stp>##V3_BDPV12</stp>
        <stp>ED422520 Corp</stp>
        <stp>PX_ASK</stp>
        <stp>[ExcelDNAQMATestWorkbook.xlsm]Autofit!R37C6</stp>
        <tr r="F37" s="8"/>
      </tp>
      <tp t="s">
        <v>COEG8729493</v>
        <stp/>
        <stp>##V3_BDPV12</stp>
        <stp>EG872949 Corp</stp>
        <stp>ID_BB_UNIQUE</stp>
        <stp>[ExcelDNAQMATestWorkbook.xlsm]Bond Diagnostics!R15C10</stp>
        <tr r="J15" s="3"/>
      </tp>
      <tp>
        <v>128.44499999999999</v>
        <stp/>
        <stp>##V3_BDPV12</stp>
        <stp>EC256595 Corp</stp>
        <stp>PX_BID</stp>
        <stp>[ExcelDNAQMATestWorkbook.xlsm]Autofit!R34C7</stp>
        <tr r="G34" s="8"/>
      </tp>
      <tp>
        <v>130.37</v>
        <stp/>
        <stp>##V3_BDPV12</stp>
        <stp>EC867711 Corp</stp>
        <stp>PX_BID</stp>
        <stp>[ExcelDNAQMATestWorkbook.xlsm]Autofit!R36C7</stp>
        <tr r="G36" s="8"/>
      </tp>
      <tp>
        <v>108.455</v>
        <stp/>
        <stp>##V3_BDPV12</stp>
        <stp>EK109396 Corp</stp>
        <stp>PX_ASK</stp>
        <stp>[ExcelDNAQMATestWorkbook.xlsm]Autofit!R29C6</stp>
        <tr r="F29" s="8"/>
      </tp>
      <tp>
        <v>137.845</v>
        <stp/>
        <stp>##V3_BDPV12</stp>
        <stp>EF396423 Corp</stp>
        <stp>PX_ASK</stp>
        <stp>[ExcelDNAQMATestWorkbook.xlsm]Autofit!R43C6</stp>
        <tr r="F43" s="8"/>
      </tp>
      <tp>
        <v>107.48</v>
        <stp/>
        <stp>##V3_BDPV12</stp>
        <stp>GG722763 Corp</stp>
        <stp>PX_ASK</stp>
        <stp>[ExcelDNAQMATestWorkbook.xlsm]Autofit!R11C6</stp>
        <tr r="F11" s="8"/>
      </tp>
      <tp>
        <v>129.98500000000001</v>
        <stp/>
        <stp>##V3_BDPV12</stp>
        <stp>EC453273 Corp</stp>
        <stp>PX_ASK</stp>
        <stp>[ExcelDNAQMATestWorkbook.xlsm]Autofit!R30C6</stp>
        <tr r="F30" s="8"/>
      </tp>
      <tp>
        <v>2.1891537423279321</v>
        <stp/>
        <stp>##V3_BDPV12</stp>
        <stp>EG872949 Corp</stp>
        <stp>YLD_YTM_BID</stp>
        <stp>[ExcelDNAQMATestWorkbook.xlsm]Bond Diagnostics!R26C10</stp>
        <tr r="J26" s="3"/>
      </tp>
      <tp>
        <v>2.1879089848383542</v>
        <stp/>
        <stp>##V3_BDPV12</stp>
        <stp>EG872949 Corp</stp>
        <stp>YLD_YTM_MID</stp>
        <stp>[ExcelDNAQMATestWorkbook.xlsm]Bond Diagnostics!R27C10</stp>
        <tr r="J27" s="3"/>
      </tp>
      <tp>
        <v>140.04499999999999</v>
        <stp/>
        <stp>##V3_BDPV12</stp>
        <stp>EG506481 Corp</stp>
        <stp>PX_BID</stp>
        <stp>[ExcelDNAQMATestWorkbook.xlsm]Autofit!R40C7</stp>
        <tr r="G40" s="8"/>
      </tp>
      <tp>
        <v>144.98500000000001</v>
        <stp/>
        <stp>##V3_BDPV12</stp>
        <stp>ED946246 Corp</stp>
        <stp>PX_ASK</stp>
        <stp>[ExcelDNAQMATestWorkbook.xlsm]Autofit!R46C6</stp>
        <tr r="F46" s="8"/>
      </tp>
      <tp>
        <v>119.85</v>
        <stp/>
        <stp>##V3_BDPV12</stp>
        <stp>EK333934 Corp</stp>
        <stp>PX_ASK</stp>
        <stp>[ExcelDNAQMATestWorkbook.xlsm]Autofit!R42C6</stp>
        <tr r="F42" s="8"/>
      </tp>
      <tp>
        <v>148.32</v>
        <stp/>
        <stp>##V3_BDPV12</stp>
        <stp>GG737572 Corp</stp>
        <stp>PX_ASK</stp>
        <stp>[ExcelDNAQMATestWorkbook.xlsm]Autofit!R32C6</stp>
        <tr r="F32" s="8"/>
      </tp>
      <tp>
        <v>133.33000000000001</v>
        <stp/>
        <stp>##V3_BDPV12</stp>
        <stp>EI291005 Corp</stp>
        <stp>PX_ASK</stp>
        <stp>[ExcelDNAQMATestWorkbook.xlsm]Autofit!R39C6</stp>
        <tr r="F39" s="8"/>
      </tp>
      <tp>
        <v>104.47499999999999</v>
        <stp/>
        <stp>##V3_BDPV12</stp>
        <stp>EJ707218 Corp</stp>
        <stp>PX_ASK</stp>
        <stp>[ExcelDNAQMATestWorkbook.xlsm]Autofit!R28C6</stp>
        <tr r="F28" s="8"/>
      </tp>
      <tp>
        <v>114.125</v>
        <stp/>
        <stp>##V3_BDPV12</stp>
        <stp>EH559130 Corp</stp>
        <stp>PX_ASK</stp>
        <stp>[ExcelDNAQMATestWorkbook.xlsm]Autofit!R19C6</stp>
        <tr r="F19" s="8"/>
      </tp>
      <tp>
        <v>133.29</v>
        <stp/>
        <stp>##V3_BDPV12</stp>
        <stp>EI291005 Corp</stp>
        <stp>PX_BID</stp>
        <stp>[ExcelDNAQMATestWorkbook.xlsm]Autofit!R39C7</stp>
        <tr r="G39" s="8"/>
      </tp>
      <tp>
        <v>148.285</v>
        <stp/>
        <stp>##V3_BDPV12</stp>
        <stp>GG737572 Corp</stp>
        <stp>PX_BID</stp>
        <stp>[ExcelDNAQMATestWorkbook.xlsm]Autofit!R32C7</stp>
        <tr r="G32" s="8"/>
      </tp>
      <tp>
        <v>119.815</v>
        <stp/>
        <stp>##V3_BDPV12</stp>
        <stp>EK333934 Corp</stp>
        <stp>PX_BID</stp>
        <stp>[ExcelDNAQMATestWorkbook.xlsm]Autofit!R42C7</stp>
        <tr r="G42" s="8"/>
      </tp>
      <tp>
        <v>114.11499999999999</v>
        <stp/>
        <stp>##V3_BDPV12</stp>
        <stp>EH559130 Corp</stp>
        <stp>PX_BID</stp>
        <stp>[ExcelDNAQMATestWorkbook.xlsm]Autofit!R19C7</stp>
        <tr r="G19" s="8"/>
      </tp>
      <tp>
        <v>104.465</v>
        <stp/>
        <stp>##V3_BDPV12</stp>
        <stp>EJ707218 Corp</stp>
        <stp>PX_BID</stp>
        <stp>[ExcelDNAQMATestWorkbook.xlsm]Autofit!R28C7</stp>
        <tr r="G28" s="8"/>
      </tp>
      <tp>
        <v>144.93</v>
        <stp/>
        <stp>##V3_BDPV12</stp>
        <stp>ED946246 Corp</stp>
        <stp>PX_BID</stp>
        <stp>[ExcelDNAQMATestWorkbook.xlsm]Autofit!R46C7</stp>
        <tr r="G46" s="8"/>
      </tp>
      <tp>
        <v>140.08500000000001</v>
        <stp/>
        <stp>##V3_BDPV12</stp>
        <stp>EG506481 Corp</stp>
        <stp>PX_ASK</stp>
        <stp>[ExcelDNAQMATestWorkbook.xlsm]Autofit!R40C6</stp>
        <tr r="F40" s="8"/>
      </tp>
      <tp>
        <v>129.97</v>
        <stp/>
        <stp>##V3_BDPV12</stp>
        <stp>EC453273 Corp</stp>
        <stp>PX_BID</stp>
        <stp>[ExcelDNAQMATestWorkbook.xlsm]Autofit!R30C7</stp>
        <tr r="G30" s="8"/>
      </tp>
      <tp>
        <v>107.46</v>
        <stp/>
        <stp>##V3_BDPV12</stp>
        <stp>GG722763 Corp</stp>
        <stp>PX_BID</stp>
        <stp>[ExcelDNAQMATestWorkbook.xlsm]Autofit!R11C7</stp>
        <tr r="G11" s="8"/>
      </tp>
      <tp>
        <v>137.80000000000001</v>
        <stp/>
        <stp>##V3_BDPV12</stp>
        <stp>EF396423 Corp</stp>
        <stp>PX_BID</stp>
        <stp>[ExcelDNAQMATestWorkbook.xlsm]Autofit!R43C7</stp>
        <tr r="G43" s="8"/>
      </tp>
      <tp>
        <v>108.44</v>
        <stp/>
        <stp>##V3_BDPV12</stp>
        <stp>EK109396 Corp</stp>
        <stp>PX_BID</stp>
        <stp>[ExcelDNAQMATestWorkbook.xlsm]Autofit!R29C7</stp>
        <tr r="G29" s="8"/>
      </tp>
      <tp>
        <v>130.4</v>
        <stp/>
        <stp>##V3_BDPV12</stp>
        <stp>EC867711 Corp</stp>
        <stp>PX_ASK</stp>
        <stp>[ExcelDNAQMATestWorkbook.xlsm]Autofit!R36C6</stp>
        <tr r="F36" s="8"/>
      </tp>
      <tp>
        <v>128.48500000000001</v>
        <stp/>
        <stp>##V3_BDPV12</stp>
        <stp>EC256595 Corp</stp>
        <stp>PX_ASK</stp>
        <stp>[ExcelDNAQMATestWorkbook.xlsm]Autofit!R34C6</stp>
        <tr r="F34" s="8"/>
      </tp>
      <tp>
        <v>102.39</v>
        <stp/>
        <stp>##V3_BDPV12</stp>
        <stp>EJ933497 Corp</stp>
        <stp>PX_BID</stp>
        <stp>[ExcelDNAQMATestWorkbook.xlsm]Autofit!R20C7</stp>
        <tr r="G20" s="8"/>
      </tp>
      <tp>
        <v>101.11</v>
        <stp/>
        <stp>##V3_BDPV12</stp>
        <stp>EJ237349 Corp</stp>
        <stp>PX_BID</stp>
        <stp>[ExcelDNAQMATestWorkbook.xlsm]Autofit!R27C7</stp>
        <tr r="G27" s="8"/>
      </tp>
      <tp>
        <v>117.56</v>
        <stp/>
        <stp>##V3_BDPV12</stp>
        <stp>ED860812 Corp</stp>
        <stp>PX_BID</stp>
        <stp>[ExcelDNAQMATestWorkbook.xlsm]Autofit!R22C7</stp>
        <tr r="G22" s="8"/>
      </tp>
      <tp>
        <v>134.41</v>
        <stp/>
        <stp>##V3_BDPV12</stp>
        <stp>EG872949 Corp</stp>
        <stp>PX_ASK</stp>
        <stp>[ExcelDNAQMATestWorkbook.xlsm]Autofit!R33C6</stp>
        <tr r="F33" s="8"/>
      </tp>
      <tp>
        <v>113.23</v>
        <stp/>
        <stp>##V3_BDPV12</stp>
        <stp>EI270507 Corp</stp>
        <stp>PX_BID</stp>
        <stp>[ExcelDNAQMATestWorkbook.xlsm]Autofit!R23C7</stp>
        <tr r="G23" s="8"/>
      </tp>
      <tp>
        <v>111.72499999999999</v>
        <stp/>
        <stp>##V3_BDPV12</stp>
        <stp>EH887630 Corp</stp>
        <stp>PX_BID</stp>
        <stp>[ExcelDNAQMATestWorkbook.xlsm]Autofit!R21C7</stp>
        <tr r="G21" s="8"/>
      </tp>
      <tp>
        <v>129.52500000000001</v>
        <stp/>
        <stp>##V3_BDPV12</stp>
        <stp>EI825311 Corp</stp>
        <stp>PX_BID</stp>
        <stp>[ExcelDNAQMATestWorkbook.xlsm]Autofit!R45C7</stp>
        <tr r="G45" s="8"/>
      </tp>
      <tp>
        <v>117.08499999999999</v>
        <stp/>
        <stp>##V3_BDPV12</stp>
        <stp>EH728200 Corp</stp>
        <stp>PX_ASK</stp>
        <stp>[ExcelDNAQMATestWorkbook.xlsm]Autofit!R26C6</stp>
        <tr r="F26" s="8"/>
      </tp>
      <tp>
        <v>117.07</v>
        <stp/>
        <stp>##V3_BDPV12</stp>
        <stp>EH728200 Corp</stp>
        <stp>PX_BID</stp>
        <stp>[ExcelDNAQMATestWorkbook.xlsm]Autofit!R26C7</stp>
        <tr r="G26" s="8"/>
      </tp>
      <tp>
        <v>129.57499999999999</v>
        <stp/>
        <stp>##V3_BDPV12</stp>
        <stp>EI825311 Corp</stp>
        <stp>PX_ASK</stp>
        <stp>[ExcelDNAQMATestWorkbook.xlsm]Autofit!R45C6</stp>
        <tr r="F45" s="8"/>
      </tp>
      <tp>
        <v>111.74</v>
        <stp/>
        <stp>##V3_BDPV12</stp>
        <stp>EH887630 Corp</stp>
        <stp>PX_ASK</stp>
        <stp>[ExcelDNAQMATestWorkbook.xlsm]Autofit!R21C6</stp>
        <tr r="F21" s="8"/>
      </tp>
      <tp>
        <v>113.245</v>
        <stp/>
        <stp>##V3_BDPV12</stp>
        <stp>EI270507 Corp</stp>
        <stp>PX_ASK</stp>
        <stp>[ExcelDNAQMATestWorkbook.xlsm]Autofit!R23C6</stp>
        <tr r="F23" s="8"/>
      </tp>
      <tp>
        <v>134.37</v>
        <stp/>
        <stp>##V3_BDPV12</stp>
        <stp>EG872949 Corp</stp>
        <stp>PX_BID</stp>
        <stp>[ExcelDNAQMATestWorkbook.xlsm]Autofit!R33C7</stp>
        <tr r="G33" s="8"/>
      </tp>
      <tp>
        <v>117.575</v>
        <stp/>
        <stp>##V3_BDPV12</stp>
        <stp>ED860812 Corp</stp>
        <stp>PX_ASK</stp>
        <stp>[ExcelDNAQMATestWorkbook.xlsm]Autofit!R22C6</stp>
        <tr r="F22" s="8"/>
      </tp>
      <tp>
        <v>102.4</v>
        <stp/>
        <stp>##V3_BDPV12</stp>
        <stp>EJ933497 Corp</stp>
        <stp>PX_ASK</stp>
        <stp>[ExcelDNAQMATestWorkbook.xlsm]Autofit!R20C6</stp>
        <tr r="F20" s="8"/>
      </tp>
      <tp>
        <v>101.13</v>
        <stp/>
        <stp>##V3_BDPV12</stp>
        <stp>EJ237349 Corp</stp>
        <stp>PX_ASK</stp>
        <stp>[ExcelDNAQMATestWorkbook.xlsm]Autofit!R27C6</stp>
        <tr r="F27" s="8"/>
      </tp>
      <tp>
        <v>2.1866644541964275</v>
        <stp/>
        <stp>##V3_BDPV12</stp>
        <stp>EG872949 Corp</stp>
        <stp>YLD_YTM_ASK</stp>
        <stp>[ExcelDNAQMATestWorkbook.xlsm]Bond Diagnostics!R25C10</stp>
        <tr r="J25" s="3"/>
      </tp>
      <tp>
        <v>121.66500000000001</v>
        <stp/>
        <stp>##V3_BDPV12</stp>
        <stp>GG712874 Corp</stp>
        <stp>PX_BID</stp>
        <stp>[ExcelDNAQMATestWorkbook.xlsm]Autofit!R15C7</stp>
        <tr r="G15" s="8"/>
      </tp>
      <tp>
        <v>133.60499999999999</v>
        <stp/>
        <stp>##V3_BDPV12</stp>
        <stp>EH867755 Corp</stp>
        <stp>PX_BID</stp>
        <stp>[ExcelDNAQMATestWorkbook.xlsm]Autofit!R35C7</stp>
        <tr r="G35" s="8"/>
      </tp>
      <tp>
        <v>114.69</v>
        <stp/>
        <stp>##V3_BDPV12</stp>
        <stp>EI604577 Corp</stp>
        <stp>PX_ASK</stp>
        <stp>[ExcelDNAQMATestWorkbook.xlsm]Autofit!R25C6</stp>
        <tr r="F25" s="8"/>
      </tp>
      <tp>
        <v>140.41</v>
        <stp/>
        <stp>##V3_BDPV12</stp>
        <stp>EH529579 Corp</stp>
        <stp>PX_ASK</stp>
        <stp>[ExcelDNAQMATestWorkbook.xlsm]Autofit!R44C6</stp>
        <tr r="F44" s="8"/>
      </tp>
      <tp>
        <v>113.22499999999999</v>
        <stp/>
        <stp>##V3_BDPV12</stp>
        <stp>EG456904 Corp</stp>
        <stp>PX_ASK</stp>
        <stp>[ExcelDNAQMATestWorkbook.xlsm]Autofit!R17C6</stp>
        <tr r="F17" s="8"/>
      </tp>
      <tp>
        <v>140.38499999999999</v>
        <stp/>
        <stp>##V3_BDPV12</stp>
        <stp>EH998789 Corp</stp>
        <stp>PX_ASK</stp>
        <stp>[ExcelDNAQMATestWorkbook.xlsm]Autofit!R47C6</stp>
        <tr r="F47" s="8"/>
      </tp>
      <tp>
        <v>114.435</v>
        <stp/>
        <stp>##V3_BDPV12</stp>
        <stp>EJ407307 Corp</stp>
        <stp>PX_ASK</stp>
        <stp>[ExcelDNAQMATestWorkbook.xlsm]Autofit!R41C6</stp>
        <tr r="F41" s="8"/>
      </tp>
      <tp>
        <v>101.74</v>
        <stp/>
        <stp>##V3_BDPV12</stp>
        <stp>EI450338 Corp</stp>
        <stp>PX_ASK</stp>
        <stp>[ExcelDNAQMATestWorkbook.xlsm]Autofit!R12C6</stp>
        <tr r="F12" s="8"/>
      </tp>
      <tp>
        <v>132.83000000000001</v>
        <stp/>
        <stp>##V3_BDPV12</stp>
        <stp>EH736811 Corp</stp>
        <stp>PX_ASK</stp>
        <stp>[ExcelDNAQMATestWorkbook.xlsm]Autofit!R38C6</stp>
        <tr r="F38" s="8"/>
      </tp>
      <tp>
        <v>140.33000000000001</v>
        <stp/>
        <stp>##V3_BDPV12</stp>
        <stp>EH998789 Corp</stp>
        <stp>PX_BID</stp>
        <stp>[ExcelDNAQMATestWorkbook.xlsm]Autofit!R47C7</stp>
        <tr r="G47" s="8"/>
      </tp>
      <tp>
        <v>101.73</v>
        <stp/>
        <stp>##V3_BDPV12</stp>
        <stp>EI450338 Corp</stp>
        <stp>PX_BID</stp>
        <stp>[ExcelDNAQMATestWorkbook.xlsm]Autofit!R12C7</stp>
        <tr r="G12" s="8"/>
      </tp>
      <tp>
        <v>132.785</v>
        <stp/>
        <stp>##V3_BDPV12</stp>
        <stp>EH736811 Corp</stp>
        <stp>PX_BID</stp>
        <stp>[ExcelDNAQMATestWorkbook.xlsm]Autofit!R38C7</stp>
        <tr r="G38" s="8"/>
      </tp>
      <tp>
        <v>114.395</v>
        <stp/>
        <stp>##V3_BDPV12</stp>
        <stp>EJ407307 Corp</stp>
        <stp>PX_BID</stp>
        <stp>[ExcelDNAQMATestWorkbook.xlsm]Autofit!R41C7</stp>
        <tr r="G41" s="8"/>
      </tp>
      <tp>
        <v>140.36000000000001</v>
        <stp/>
        <stp>##V3_BDPV12</stp>
        <stp>EH529579 Corp</stp>
        <stp>PX_BID</stp>
        <stp>[ExcelDNAQMATestWorkbook.xlsm]Autofit!R44C7</stp>
        <tr r="G44" s="8"/>
      </tp>
      <tp>
        <v>114.675</v>
        <stp/>
        <stp>##V3_BDPV12</stp>
        <stp>EI604577 Corp</stp>
        <stp>PX_BID</stp>
        <stp>[ExcelDNAQMATestWorkbook.xlsm]Autofit!R25C7</stp>
        <tr r="G25" s="8"/>
      </tp>
      <tp>
        <v>113.215</v>
        <stp/>
        <stp>##V3_BDPV12</stp>
        <stp>EG456904 Corp</stp>
        <stp>PX_BID</stp>
        <stp>[ExcelDNAQMATestWorkbook.xlsm]Autofit!R17C7</stp>
        <tr r="G17" s="8"/>
      </tp>
      <tp>
        <v>133.63999999999999</v>
        <stp/>
        <stp>##V3_BDPV12</stp>
        <stp>EH867755 Corp</stp>
        <stp>PX_ASK</stp>
        <stp>[ExcelDNAQMATestWorkbook.xlsm]Autofit!R35C6</stp>
        <tr r="F35" s="8"/>
      </tp>
      <tp>
        <v>121.685</v>
        <stp/>
        <stp>##V3_BDPV12</stp>
        <stp>GG712874 Corp</stp>
        <stp>PX_ASK</stp>
        <stp>[ExcelDNAQMATestWorkbook.xlsm]Autofit!R15C6</stp>
        <tr r="F15" s="8"/>
      </tp>
      <tp t="s">
        <v>UKT 4 3/4 12/07/30</v>
        <stp/>
        <stp>##V3_BDPV12</stp>
        <stp>EG872949 Corp</stp>
        <stp>SECURiTY_DES</stp>
        <stp>[ExcelDNAQMATestWorkbook.xlsm]Bond Diagnostics!R13C10</stp>
        <tr r="J13" s="3"/>
      </tp>
      <tp>
        <v>100.245</v>
        <stp/>
        <stp>##V3_BDPV12</stp>
        <stp>EI027834 Corp</stp>
        <stp>PX_BID</stp>
        <stp>[ExcelDNAQMATestWorkbook.xlsm]Autofit!R9C7</stp>
        <tr r="G9" s="8"/>
      </tp>
      <tp>
        <v>100.255</v>
        <stp/>
        <stp>##V3_BDPV12</stp>
        <stp>EI027834 Corp</stp>
        <stp>PX_ASK</stp>
        <stp>[ExcelDNAQMATestWorkbook.xlsm]Autofit!R9C6</stp>
        <tr r="F9" s="8"/>
      </tp>
      <tp>
        <v>117.07</v>
        <stp/>
        <stp>##V3_BDPV12</stp>
        <stp>EH728200 Corp</stp>
        <stp>PX_BID</stp>
        <stp>[ExcelDNAQMATestWorkbook.xlsm]Bonds!R26C13</stp>
        <tr r="M26" s="5"/>
      </tp>
      <tp>
        <v>117.08499999999999</v>
        <stp/>
        <stp>##V3_BDPV12</stp>
        <stp>EH728200 Corp</stp>
        <stp>PX_ASK</stp>
        <stp>[ExcelDNAQMATestWorkbook.xlsm]Bonds!R26C12</stp>
        <tr r="L26" s="5"/>
      </tp>
      <tp>
        <v>140.33000000000001</v>
        <stp/>
        <stp>##V3_BDPV12</stp>
        <stp>EH998789 Corp</stp>
        <stp>PX_BID</stp>
        <stp>[ExcelDNAQMATestWorkbook.xlsm]Bonds!R47C13</stp>
        <tr r="M47" s="5"/>
      </tp>
      <tp>
        <v>140.38499999999999</v>
        <stp/>
        <stp>##V3_BDPV12</stp>
        <stp>EH998789 Corp</stp>
        <stp>PX_ASK</stp>
        <stp>[ExcelDNAQMATestWorkbook.xlsm]Bonds!R47C12</stp>
        <tr r="L47" s="5"/>
      </tp>
      <tp>
        <v>102.5</v>
        <stp/>
        <stp>##V3_BDPV12</stp>
        <stp>EI778872 Corp</stp>
        <stp>PX_ASK</stp>
        <stp>[ExcelDNAQMATestWorkbook.xlsm]Bonds!R14C12</stp>
        <tr r="L14" s="5"/>
      </tp>
      <tp>
        <v>102.485</v>
        <stp/>
        <stp>##V3_BDPV12</stp>
        <stp>EI778872 Corp</stp>
        <stp>PX_BID</stp>
        <stp>[ExcelDNAQMATestWorkbook.xlsm]Bonds!R14C13</stp>
        <tr r="M14" s="5"/>
      </tp>
      <tp>
        <v>108.455</v>
        <stp/>
        <stp>##V3_BDPV12</stp>
        <stp>EK109396 Corp</stp>
        <stp>PX_ASK</stp>
        <stp>[ExcelDNAQMATestWorkbook.xlsm]Bonds!R29C12</stp>
        <tr r="L29" s="5"/>
      </tp>
      <tp>
        <v>114.125</v>
        <stp/>
        <stp>##V3_BDPV12</stp>
        <stp>EH559130 Corp</stp>
        <stp>PX_ASK</stp>
        <stp>[ExcelDNAQMATestWorkbook.xlsm]Bonds!R19C12</stp>
        <tr r="L19" s="5"/>
      </tp>
      <tp>
        <v>114.11499999999999</v>
        <stp/>
        <stp>##V3_BDPV12</stp>
        <stp>EH559130 Corp</stp>
        <stp>PX_BID</stp>
        <stp>[ExcelDNAQMATestWorkbook.xlsm]Bonds!R19C13</stp>
        <tr r="M19" s="5"/>
      </tp>
      <tp>
        <v>108.44</v>
        <stp/>
        <stp>##V3_BDPV12</stp>
        <stp>EK109396 Corp</stp>
        <stp>PX_BID</stp>
        <stp>[ExcelDNAQMATestWorkbook.xlsm]Bonds!R29C13</stp>
        <tr r="M29" s="5"/>
      </tp>
      <tp>
        <v>140.41</v>
        <stp/>
        <stp>##V3_BDPV12</stp>
        <stp>EH529579 Corp</stp>
        <stp>PX_ASK</stp>
        <stp>[ExcelDNAQMATestWorkbook.xlsm]Bonds!R44C12</stp>
        <tr r="L44" s="5"/>
      </tp>
      <tp>
        <v>140.36000000000001</v>
        <stp/>
        <stp>##V3_BDPV12</stp>
        <stp>EH529579 Corp</stp>
        <stp>PX_BID</stp>
        <stp>[ExcelDNAQMATestWorkbook.xlsm]Bonds!R44C13</stp>
        <tr r="M44" s="5"/>
      </tp>
      <tp>
        <v>100.245</v>
        <stp/>
        <stp>##V3_BDPV12</stp>
        <stp>EI027834 Corp</stp>
        <stp>PX_BID</stp>
        <stp>[ExcelDNAQMATestWorkbook.xlsm]Bonds!R9C13</stp>
        <tr r="M9" s="5"/>
      </tp>
      <tp>
        <v>101.73</v>
        <stp/>
        <stp>##V3_BDPV12</stp>
        <stp>EI450338 Corp</stp>
        <stp>PX_BID</stp>
        <stp>[ExcelDNAQMATestWorkbook.xlsm]Bonds!R12C13</stp>
        <tr r="M12" s="5"/>
      </tp>
      <tp>
        <v>101.74</v>
        <stp/>
        <stp>##V3_BDPV12</stp>
        <stp>EI450338 Corp</stp>
        <stp>PX_ASK</stp>
        <stp>[ExcelDNAQMATestWorkbook.xlsm]Bonds!R12C12</stp>
        <tr r="L12" s="5"/>
      </tp>
      <tp>
        <v>121.66500000000001</v>
        <stp/>
        <stp>##V3_BDPV12</stp>
        <stp>GG712874 Corp</stp>
        <stp>PX_BID</stp>
        <stp>[ExcelDNAQMATestWorkbook.xlsm]Bonds!R15C13</stp>
        <tr r="M15" s="5"/>
      </tp>
      <tp>
        <v>113.245</v>
        <stp/>
        <stp>##V3_BDPV12</stp>
        <stp>EI270507 Corp</stp>
        <stp>PX_ASK</stp>
        <stp>[ExcelDNAQMATestWorkbook.xlsm]Bonds!R23C12</stp>
        <tr r="L23" s="5"/>
      </tp>
      <tp>
        <v>117.575</v>
        <stp/>
        <stp>##V3_BDPV12</stp>
        <stp>ED860812 Corp</stp>
        <stp>PX_ASK</stp>
        <stp>[ExcelDNAQMATestWorkbook.xlsm]Bonds!R22C12</stp>
        <tr r="L22" s="5"/>
      </tp>
      <tp>
        <v>117.56</v>
        <stp/>
        <stp>##V3_BDPV12</stp>
        <stp>ED860812 Corp</stp>
        <stp>PX_BID</stp>
        <stp>[ExcelDNAQMATestWorkbook.xlsm]Bonds!R22C13</stp>
        <tr r="M22" s="5"/>
      </tp>
      <tp>
        <v>113.23</v>
        <stp/>
        <stp>##V3_BDPV12</stp>
        <stp>EI270507 Corp</stp>
        <stp>PX_BID</stp>
        <stp>[ExcelDNAQMATestWorkbook.xlsm]Bonds!R23C13</stp>
        <tr r="M23" s="5"/>
      </tp>
      <tp>
        <v>121.685</v>
        <stp/>
        <stp>##V3_BDPV12</stp>
        <stp>GG712874 Corp</stp>
        <stp>PX_ASK</stp>
        <stp>[ExcelDNAQMATestWorkbook.xlsm]Bonds!R15C12</stp>
        <tr r="L15" s="5"/>
      </tp>
      <tp>
        <v>107.48</v>
        <stp/>
        <stp>##V3_BDPV12</stp>
        <stp>GG722763 Corp</stp>
        <stp>PX_ASK</stp>
        <stp>[ExcelDNAQMATestWorkbook.xlsm]Bonds!R11C12</stp>
        <tr r="L11" s="5"/>
      </tp>
      <tp>
        <v>107.46</v>
        <stp/>
        <stp>##V3_BDPV12</stp>
        <stp>GG722763 Corp</stp>
        <stp>PX_BID</stp>
        <stp>[ExcelDNAQMATestWorkbook.xlsm]Bonds!R11C13</stp>
        <tr r="M11" s="5"/>
      </tp>
      <tp>
        <v>125.535</v>
        <stp/>
        <stp>##V3_BDPV12</stp>
        <stp>EF670373 Corp</stp>
        <stp>PX_ASK</stp>
        <stp>[ExcelDNAQMATestWorkbook.xlsm]Bonds!R31C12</stp>
        <tr r="L31" s="5"/>
      </tp>
      <tp>
        <v>125.505</v>
        <stp/>
        <stp>##V3_BDPV12</stp>
        <stp>EF670373 Corp</stp>
        <stp>PX_BID</stp>
        <stp>[ExcelDNAQMATestWorkbook.xlsm]Bonds!R31C13</stp>
        <tr r="M31" s="5"/>
      </tp>
      <tp>
        <v>133.33000000000001</v>
        <stp/>
        <stp>##V3_BDPV12</stp>
        <stp>EI291005 Corp</stp>
        <stp>PX_ASK</stp>
        <stp>[ExcelDNAQMATestWorkbook.xlsm]Bonds!R39C12</stp>
        <tr r="L39" s="5"/>
      </tp>
      <tp>
        <v>133.29</v>
        <stp/>
        <stp>##V3_BDPV12</stp>
        <stp>EI291005 Corp</stp>
        <stp>PX_BID</stp>
        <stp>[ExcelDNAQMATestWorkbook.xlsm]Bonds!R39C13</stp>
        <tr r="M39" s="5"/>
      </tp>
      <tp>
        <v>128.66</v>
        <stp/>
        <stp>##V3_BDPV12</stp>
        <stp>EJ712548 Corp</stp>
        <stp>PX_BID</stp>
        <stp>[ExcelDNAQMATestWorkbook.xlsm]Bonds!R48C13</stp>
        <tr r="M48" s="5"/>
      </tp>
      <tp>
        <v>134.37</v>
        <stp/>
        <stp>##V3_BDPV12</stp>
        <stp>EG872949 Corp</stp>
        <stp>PX_BID</stp>
        <stp>[ExcelDNAQMATestWorkbook.xlsm]Bonds!R33C13</stp>
        <tr r="M33" s="5"/>
      </tp>
      <tp>
        <v>134.41</v>
        <stp/>
        <stp>##V3_BDPV12</stp>
        <stp>EG872949 Corp</stp>
        <stp>PX_ASK</stp>
        <stp>[ExcelDNAQMATestWorkbook.xlsm]Bonds!R33C12</stp>
        <tr r="L33" s="5"/>
      </tp>
      <tp>
        <v>128.71</v>
        <stp/>
        <stp>##V3_BDPV12</stp>
        <stp>EJ712548 Corp</stp>
        <stp>PX_ASK</stp>
        <stp>[ExcelDNAQMATestWorkbook.xlsm]Bonds!R48C12</stp>
        <tr r="L48" s="5"/>
      </tp>
      <tp>
        <v>141.77000000000001</v>
        <stp/>
        <stp>##V3_BDPV12</stp>
        <stp>ED422520 Corp</stp>
        <stp>PX_ASK</stp>
        <stp>[ExcelDNAQMATestWorkbook.xlsm]Bonds!R37C12</stp>
        <tr r="L37" s="5"/>
      </tp>
      <tp>
        <v>141.72999999999999</v>
        <stp/>
        <stp>##V3_BDPV12</stp>
        <stp>ED422520 Corp</stp>
        <stp>PX_BID</stp>
        <stp>[ExcelDNAQMATestWorkbook.xlsm]Bonds!R37C13</stp>
        <tr r="M37" s="5"/>
      </tp>
      <tp>
        <v>100.255</v>
        <stp/>
        <stp>##V3_BDPV12</stp>
        <stp>EI027834 Corp</stp>
        <stp>PX_ASK</stp>
        <stp>[ExcelDNAQMATestWorkbook.xlsm]Bonds!R9C12</stp>
        <tr r="L9" s="5"/>
      </tp>
      <tp>
        <v>102.39</v>
        <stp/>
        <stp>##V3_BDPV12</stp>
        <stp>EJ933497 Corp</stp>
        <stp>PX_BID</stp>
        <stp>[ExcelDNAQMATestWorkbook.xlsm]Bonds!R20C13</stp>
        <tr r="M20" s="5"/>
      </tp>
      <tp>
        <v>102.4</v>
        <stp/>
        <stp>##V3_BDPV12</stp>
        <stp>EJ933497 Corp</stp>
        <stp>PX_ASK</stp>
        <stp>[ExcelDNAQMATestWorkbook.xlsm]Bonds!R20C12</stp>
        <tr r="L20" s="5"/>
      </tp>
      <tp>
        <v>119.815</v>
        <stp/>
        <stp>##V3_BDPV12</stp>
        <stp>EK333934 Corp</stp>
        <stp>PX_BID</stp>
        <stp>[ExcelDNAQMATestWorkbook.xlsm]Bonds!R42C13</stp>
        <tr r="M42" s="5"/>
      </tp>
      <tp>
        <v>129.98500000000001</v>
        <stp/>
        <stp>##V3_BDPV12</stp>
        <stp>EC453273 Corp</stp>
        <stp>PX_ASK</stp>
        <stp>[ExcelDNAQMATestWorkbook.xlsm]Bonds!R30C12</stp>
        <tr r="L30" s="5"/>
      </tp>
      <tp>
        <v>129.97</v>
        <stp/>
        <stp>##V3_BDPV12</stp>
        <stp>EC453273 Corp</stp>
        <stp>PX_BID</stp>
        <stp>[ExcelDNAQMATestWorkbook.xlsm]Bonds!R30C13</stp>
        <tr r="M30" s="5"/>
      </tp>
      <tp>
        <v>119.85</v>
        <stp/>
        <stp>##V3_BDPV12</stp>
        <stp>EK333934 Corp</stp>
        <stp>PX_ASK</stp>
        <stp>[ExcelDNAQMATestWorkbook.xlsm]Bonds!R42C12</stp>
        <tr r="L42" s="5"/>
      </tp>
      <tp>
        <v>103.18</v>
        <stp/>
        <stp>##V3_BDPV12</stp>
        <stp>ED153094 Corp</stp>
        <stp>PX_ASK</stp>
        <stp>[ExcelDNAQMATestWorkbook.xlsm]Bonds!R10C12</stp>
        <tr r="L10" s="5"/>
      </tp>
      <tp>
        <v>103.17</v>
        <stp/>
        <stp>##V3_BDPV12</stp>
        <stp>ED153094 Corp</stp>
        <stp>PX_BID</stp>
        <stp>[ExcelDNAQMATestWorkbook.xlsm]Bonds!R10C13</stp>
        <tr r="M10" s="5"/>
      </tp>
      <tp>
        <v>114.69</v>
        <stp/>
        <stp>##V3_BDPV12</stp>
        <stp>EI604577 Corp</stp>
        <stp>PX_ASK</stp>
        <stp>[ExcelDNAQMATestWorkbook.xlsm]Bonds!R25C12</stp>
        <tr r="L25" s="5"/>
      </tp>
      <tp>
        <v>114.675</v>
        <stp/>
        <stp>##V3_BDPV12</stp>
        <stp>EI604577 Corp</stp>
        <stp>PX_BID</stp>
        <stp>[ExcelDNAQMATestWorkbook.xlsm]Bonds!R25C13</stp>
        <tr r="M25" s="5"/>
      </tp>
      <tp>
        <v>140.80000000000001</v>
        <stp/>
        <stp>##V3_BDPV12</stp>
        <stp>GG726786 Corp</stp>
        <stp>PX_ASK</stp>
        <stp>[ExcelDNAQMATestWorkbook.xlsm]Bonds!R24C12</stp>
        <tr r="L24" s="5"/>
      </tp>
      <tp>
        <v>140.77000000000001</v>
        <stp/>
        <stp>##V3_BDPV12</stp>
        <stp>GG726786 Corp</stp>
        <stp>PX_BID</stp>
        <stp>[ExcelDNAQMATestWorkbook.xlsm]Bonds!R24C13</stp>
        <tr r="M24" s="5"/>
      </tp>
      <tp>
        <v>129.52500000000001</v>
        <stp/>
        <stp>##V3_BDPV12</stp>
        <stp>EI825311 Corp</stp>
        <stp>PX_BID</stp>
        <stp>[ExcelDNAQMATestWorkbook.xlsm]Bonds!R45C13</stp>
        <tr r="M45" s="5"/>
      </tp>
      <tp>
        <v>129.57499999999999</v>
        <stp/>
        <stp>##V3_BDPV12</stp>
        <stp>EI825311 Corp</stp>
        <stp>PX_ASK</stp>
        <stp>[ExcelDNAQMATestWorkbook.xlsm]Bonds!R45C12</stp>
        <tr r="L45" s="5"/>
      </tp>
      <tp>
        <v>100.88500000000001</v>
        <stp/>
        <stp>##V3_BDPV12</stp>
        <stp>EJ545726 Corp</stp>
        <stp>PX_ASK</stp>
        <stp>[ExcelDNAQMATestWorkbook.xlsm]Bonds!R18C12</stp>
        <tr r="L18" s="5"/>
      </tp>
      <tp>
        <v>100.87</v>
        <stp/>
        <stp>##V3_BDPV12</stp>
        <stp>EJ545726 Corp</stp>
        <stp>PX_BID</stp>
        <stp>[ExcelDNAQMATestWorkbook.xlsm]Bonds!R18C13</stp>
        <tr r="M18" s="5"/>
      </tp>
      <tp>
        <v>148.285</v>
        <stp/>
        <stp>##V3_BDPV12</stp>
        <stp>GG737572 Corp</stp>
        <stp>PX_BID</stp>
        <stp>[ExcelDNAQMATestWorkbook.xlsm]Bonds!R32C13</stp>
        <tr r="M32" s="5"/>
      </tp>
      <tp>
        <v>148.32</v>
        <stp/>
        <stp>##V3_BDPV12</stp>
        <stp>GG737572 Corp</stp>
        <stp>PX_ASK</stp>
        <stp>[ExcelDNAQMATestWorkbook.xlsm]Bonds!R32C12</stp>
        <tr r="L32" s="5"/>
      </tp>
      <tp>
        <v>113.215</v>
        <stp/>
        <stp>##V3_BDPV12</stp>
        <stp>EG456904 Corp</stp>
        <stp>PX_BID</stp>
        <stp>[ExcelDNAQMATestWorkbook.xlsm]Bonds!R17C13</stp>
        <tr r="M17" s="5"/>
      </tp>
      <tp>
        <v>113.22499999999999</v>
        <stp/>
        <stp>##V3_BDPV12</stp>
        <stp>EG456904 Corp</stp>
        <stp>PX_ASK</stp>
        <stp>[ExcelDNAQMATestWorkbook.xlsm]Bonds!R17C12</stp>
        <tr r="L17" s="5"/>
      </tp>
      <tp>
        <v>140.04499999999999</v>
        <stp/>
        <stp>##V3_BDPV12</stp>
        <stp>EG506481 Corp</stp>
        <stp>PX_BID</stp>
        <stp>[ExcelDNAQMATestWorkbook.xlsm]Bonds!R40C13</stp>
        <tr r="M40" s="5"/>
      </tp>
      <tp>
        <v>100.7</v>
        <stp/>
        <stp>##V3_BDPV12</stp>
        <stp>EJ046916 Corp</stp>
        <stp>PX_BID</stp>
        <stp>[ExcelDNAQMATestWorkbook.xlsm]Bonds!R16C13</stp>
        <tr r="M16" s="5"/>
      </tp>
      <tp>
        <v>132.83000000000001</v>
        <stp/>
        <stp>##V3_BDPV12</stp>
        <stp>EH736811 Corp</stp>
        <stp>PX_ASK</stp>
        <stp>[ExcelDNAQMATestWorkbook.xlsm]Bonds!R38C12</stp>
        <tr r="L38" s="5"/>
      </tp>
      <tp>
        <v>137.80000000000001</v>
        <stp/>
        <stp>##V3_BDPV12</stp>
        <stp>EF396423 Corp</stp>
        <stp>PX_BID</stp>
        <stp>[ExcelDNAQMATestWorkbook.xlsm]Bonds!R43C13</stp>
        <tr r="M43" s="5"/>
      </tp>
      <tp>
        <v>137.845</v>
        <stp/>
        <stp>##V3_BDPV12</stp>
        <stp>EF396423 Corp</stp>
        <stp>PX_ASK</stp>
        <stp>[ExcelDNAQMATestWorkbook.xlsm]Bonds!R43C12</stp>
        <tr r="L43" s="5"/>
      </tp>
      <tp>
        <v>132.785</v>
        <stp/>
        <stp>##V3_BDPV12</stp>
        <stp>EH736811 Corp</stp>
        <stp>PX_BID</stp>
        <stp>[ExcelDNAQMATestWorkbook.xlsm]Bonds!R38C13</stp>
        <tr r="M38" s="5"/>
      </tp>
      <tp>
        <v>100.715</v>
        <stp/>
        <stp>##V3_BDPV12</stp>
        <stp>EJ046916 Corp</stp>
        <stp>PX_ASK</stp>
        <stp>[ExcelDNAQMATestWorkbook.xlsm]Bonds!R16C12</stp>
        <tr r="L16" s="5"/>
      </tp>
      <tp>
        <v>140.08500000000001</v>
        <stp/>
        <stp>##V3_BDPV12</stp>
        <stp>EG506481 Corp</stp>
        <stp>PX_ASK</stp>
        <stp>[ExcelDNAQMATestWorkbook.xlsm]Bonds!R40C12</stp>
        <tr r="L40" s="5"/>
      </tp>
      <tp>
        <v>106.08</v>
        <stp/>
        <stp>##V3_BDPV12</stp>
        <stp>EF296277 Corp</stp>
        <stp>PX_ASK</stp>
        <stp>[ExcelDNAQMATestWorkbook.xlsm]Bonds!R13C12</stp>
        <tr r="L13" s="5"/>
      </tp>
      <tp>
        <v>144.93</v>
        <stp/>
        <stp>##V3_BDPV12</stp>
        <stp>ED946246 Corp</stp>
        <stp>PX_BID</stp>
        <stp>[ExcelDNAQMATestWorkbook.xlsm]Bonds!R46C13</stp>
        <tr r="M46" s="5"/>
      </tp>
      <tp>
        <v>128.44499999999999</v>
        <stp/>
        <stp>##V3_BDPV12</stp>
        <stp>EC256595 Corp</stp>
        <stp>PX_BID</stp>
        <stp>[ExcelDNAQMATestWorkbook.xlsm]Bonds!R34C13</stp>
        <tr r="M34" s="5"/>
      </tp>
      <tp>
        <v>128.48500000000001</v>
        <stp/>
        <stp>##V3_BDPV12</stp>
        <stp>EC256595 Corp</stp>
        <stp>PX_ASK</stp>
        <stp>[ExcelDNAQMATestWorkbook.xlsm]Bonds!R34C12</stp>
        <tr r="L34" s="5"/>
      </tp>
      <tp>
        <v>144.98500000000001</v>
        <stp/>
        <stp>##V3_BDPV12</stp>
        <stp>ED946246 Corp</stp>
        <stp>PX_ASK</stp>
        <stp>[ExcelDNAQMATestWorkbook.xlsm]Bonds!R46C12</stp>
        <tr r="L46" s="5"/>
      </tp>
      <tp>
        <v>106.07</v>
        <stp/>
        <stp>##V3_BDPV12</stp>
        <stp>EF296277 Corp</stp>
        <stp>PX_BID</stp>
        <stp>[ExcelDNAQMATestWorkbook.xlsm]Bonds!R13C13</stp>
        <tr r="M13" s="5"/>
      </tp>
      <tp>
        <v>104.47499999999999</v>
        <stp/>
        <stp>##V3_BDPV12</stp>
        <stp>EJ707218 Corp</stp>
        <stp>PX_ASK</stp>
        <stp>[ExcelDNAQMATestWorkbook.xlsm]Bonds!R28C12</stp>
        <tr r="L28" s="5"/>
      </tp>
      <tp>
        <v>114.435</v>
        <stp/>
        <stp>##V3_BDPV12</stp>
        <stp>EJ407307 Corp</stp>
        <stp>PX_ASK</stp>
        <stp>[ExcelDNAQMATestWorkbook.xlsm]Bonds!R41C12</stp>
        <tr r="L41" s="5"/>
      </tp>
      <tp>
        <v>101.13</v>
        <stp/>
        <stp>##V3_BDPV12</stp>
        <stp>EJ237349 Corp</stp>
        <stp>PX_ASK</stp>
        <stp>[ExcelDNAQMATestWorkbook.xlsm]Bonds!R27C12</stp>
        <tr r="L27" s="5"/>
      </tp>
      <tp>
        <v>114.395</v>
        <stp/>
        <stp>##V3_BDPV12</stp>
        <stp>EJ407307 Corp</stp>
        <stp>PX_BID</stp>
        <stp>[ExcelDNAQMATestWorkbook.xlsm]Bonds!R41C13</stp>
        <tr r="M41" s="5"/>
      </tp>
      <tp>
        <v>101.11</v>
        <stp/>
        <stp>##V3_BDPV12</stp>
        <stp>EJ237349 Corp</stp>
        <stp>PX_BID</stp>
        <stp>[ExcelDNAQMATestWorkbook.xlsm]Bonds!R27C13</stp>
        <tr r="M27" s="5"/>
      </tp>
      <tp>
        <v>104.465</v>
        <stp/>
        <stp>##V3_BDPV12</stp>
        <stp>EJ707218 Corp</stp>
        <stp>PX_BID</stp>
        <stp>[ExcelDNAQMATestWorkbook.xlsm]Bonds!R28C13</stp>
        <tr r="M28" s="5"/>
      </tp>
      <tp>
        <v>133.60499999999999</v>
        <stp/>
        <stp>##V3_BDPV12</stp>
        <stp>EH867755 Corp</stp>
        <stp>PX_BID</stp>
        <stp>[ExcelDNAQMATestWorkbook.xlsm]Bonds!R35C13</stp>
        <tr r="M35" s="5"/>
      </tp>
      <tp>
        <v>111.72499999999999</v>
        <stp/>
        <stp>##V3_BDPV12</stp>
        <stp>EH887630 Corp</stp>
        <stp>PX_BID</stp>
        <stp>[ExcelDNAQMATestWorkbook.xlsm]Bonds!R21C13</stp>
        <tr r="M21" s="5"/>
      </tp>
      <tp>
        <v>111.74</v>
        <stp/>
        <stp>##V3_BDPV12</stp>
        <stp>EH887630 Corp</stp>
        <stp>PX_ASK</stp>
        <stp>[ExcelDNAQMATestWorkbook.xlsm]Bonds!R21C12</stp>
        <tr r="L21" s="5"/>
      </tp>
      <tp>
        <v>133.63999999999999</v>
        <stp/>
        <stp>##V3_BDPV12</stp>
        <stp>EH867755 Corp</stp>
        <stp>PX_ASK</stp>
        <stp>[ExcelDNAQMATestWorkbook.xlsm]Bonds!R35C12</stp>
        <tr r="L35" s="5"/>
      </tp>
      <tp>
        <v>130.4</v>
        <stp/>
        <stp>##V3_BDPV12</stp>
        <stp>EC867711 Corp</stp>
        <stp>PX_ASK</stp>
        <stp>[ExcelDNAQMATestWorkbook.xlsm]Bonds!R36C12</stp>
        <tr r="L36" s="5"/>
      </tp>
      <tp>
        <v>130.37</v>
        <stp/>
        <stp>##V3_BDPV12</stp>
        <stp>EC867711 Corp</stp>
        <stp>PX_BID</stp>
        <stp>[ExcelDNAQMATestWorkbook.xlsm]Bonds!R36C13</stp>
        <tr r="M36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Fit</c:v>
          </c:tx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FittedCurve!$E$42:$E$2651</c:f>
              <c:numCache>
                <c:formatCode>mm/dd/yy</c:formatCode>
                <c:ptCount val="2610"/>
                <c:pt idx="0">
                  <c:v>41985</c:v>
                </c:pt>
                <c:pt idx="1">
                  <c:v>41992</c:v>
                </c:pt>
                <c:pt idx="2">
                  <c:v>41999</c:v>
                </c:pt>
                <c:pt idx="3">
                  <c:v>42006</c:v>
                </c:pt>
                <c:pt idx="4">
                  <c:v>42013</c:v>
                </c:pt>
                <c:pt idx="5">
                  <c:v>42020</c:v>
                </c:pt>
                <c:pt idx="6">
                  <c:v>42027</c:v>
                </c:pt>
                <c:pt idx="7">
                  <c:v>42034</c:v>
                </c:pt>
                <c:pt idx="8">
                  <c:v>42041</c:v>
                </c:pt>
                <c:pt idx="9">
                  <c:v>42048</c:v>
                </c:pt>
                <c:pt idx="10">
                  <c:v>42055</c:v>
                </c:pt>
                <c:pt idx="11">
                  <c:v>42062</c:v>
                </c:pt>
                <c:pt idx="12">
                  <c:v>42069</c:v>
                </c:pt>
                <c:pt idx="13">
                  <c:v>42076</c:v>
                </c:pt>
                <c:pt idx="14">
                  <c:v>42083</c:v>
                </c:pt>
                <c:pt idx="15">
                  <c:v>42090</c:v>
                </c:pt>
                <c:pt idx="16">
                  <c:v>42097</c:v>
                </c:pt>
                <c:pt idx="17">
                  <c:v>42104</c:v>
                </c:pt>
                <c:pt idx="18">
                  <c:v>42111</c:v>
                </c:pt>
                <c:pt idx="19">
                  <c:v>42118</c:v>
                </c:pt>
                <c:pt idx="20">
                  <c:v>42125</c:v>
                </c:pt>
                <c:pt idx="21">
                  <c:v>42132</c:v>
                </c:pt>
                <c:pt idx="22">
                  <c:v>42139</c:v>
                </c:pt>
                <c:pt idx="23">
                  <c:v>42146</c:v>
                </c:pt>
                <c:pt idx="24">
                  <c:v>42153</c:v>
                </c:pt>
                <c:pt idx="25">
                  <c:v>42160</c:v>
                </c:pt>
                <c:pt idx="26">
                  <c:v>42167</c:v>
                </c:pt>
                <c:pt idx="27">
                  <c:v>42174</c:v>
                </c:pt>
                <c:pt idx="28">
                  <c:v>42181</c:v>
                </c:pt>
                <c:pt idx="29">
                  <c:v>42188</c:v>
                </c:pt>
                <c:pt idx="30">
                  <c:v>42195</c:v>
                </c:pt>
                <c:pt idx="31">
                  <c:v>42202</c:v>
                </c:pt>
                <c:pt idx="32">
                  <c:v>42209</c:v>
                </c:pt>
                <c:pt idx="33">
                  <c:v>42216</c:v>
                </c:pt>
                <c:pt idx="34">
                  <c:v>42223</c:v>
                </c:pt>
                <c:pt idx="35">
                  <c:v>42230</c:v>
                </c:pt>
                <c:pt idx="36">
                  <c:v>42237</c:v>
                </c:pt>
                <c:pt idx="37">
                  <c:v>42244</c:v>
                </c:pt>
                <c:pt idx="38">
                  <c:v>42251</c:v>
                </c:pt>
                <c:pt idx="39">
                  <c:v>42258</c:v>
                </c:pt>
                <c:pt idx="40">
                  <c:v>42265</c:v>
                </c:pt>
                <c:pt idx="41">
                  <c:v>42272</c:v>
                </c:pt>
                <c:pt idx="42">
                  <c:v>42279</c:v>
                </c:pt>
                <c:pt idx="43">
                  <c:v>42286</c:v>
                </c:pt>
                <c:pt idx="44">
                  <c:v>42293</c:v>
                </c:pt>
                <c:pt idx="45">
                  <c:v>42300</c:v>
                </c:pt>
                <c:pt idx="46">
                  <c:v>42307</c:v>
                </c:pt>
                <c:pt idx="47">
                  <c:v>42314</c:v>
                </c:pt>
                <c:pt idx="48">
                  <c:v>42321</c:v>
                </c:pt>
                <c:pt idx="49">
                  <c:v>42328</c:v>
                </c:pt>
                <c:pt idx="50">
                  <c:v>42335</c:v>
                </c:pt>
                <c:pt idx="51">
                  <c:v>42342</c:v>
                </c:pt>
                <c:pt idx="52">
                  <c:v>42349</c:v>
                </c:pt>
                <c:pt idx="53">
                  <c:v>42356</c:v>
                </c:pt>
                <c:pt idx="54">
                  <c:v>42363</c:v>
                </c:pt>
                <c:pt idx="55">
                  <c:v>42370</c:v>
                </c:pt>
                <c:pt idx="56">
                  <c:v>42377</c:v>
                </c:pt>
                <c:pt idx="57">
                  <c:v>42384</c:v>
                </c:pt>
                <c:pt idx="58">
                  <c:v>42391</c:v>
                </c:pt>
                <c:pt idx="59">
                  <c:v>42398</c:v>
                </c:pt>
                <c:pt idx="60">
                  <c:v>42405</c:v>
                </c:pt>
                <c:pt idx="61">
                  <c:v>42412</c:v>
                </c:pt>
                <c:pt idx="62">
                  <c:v>42419</c:v>
                </c:pt>
                <c:pt idx="63">
                  <c:v>42426</c:v>
                </c:pt>
                <c:pt idx="64">
                  <c:v>42433</c:v>
                </c:pt>
                <c:pt idx="65">
                  <c:v>42440</c:v>
                </c:pt>
                <c:pt idx="66">
                  <c:v>42447</c:v>
                </c:pt>
                <c:pt idx="67">
                  <c:v>42454</c:v>
                </c:pt>
                <c:pt idx="68">
                  <c:v>42461</c:v>
                </c:pt>
                <c:pt idx="69">
                  <c:v>42468</c:v>
                </c:pt>
                <c:pt idx="70">
                  <c:v>42475</c:v>
                </c:pt>
                <c:pt idx="71">
                  <c:v>42482</c:v>
                </c:pt>
                <c:pt idx="72">
                  <c:v>42489</c:v>
                </c:pt>
                <c:pt idx="73">
                  <c:v>42496</c:v>
                </c:pt>
                <c:pt idx="74">
                  <c:v>42503</c:v>
                </c:pt>
                <c:pt idx="75">
                  <c:v>42510</c:v>
                </c:pt>
                <c:pt idx="76">
                  <c:v>42517</c:v>
                </c:pt>
                <c:pt idx="77">
                  <c:v>42524</c:v>
                </c:pt>
                <c:pt idx="78">
                  <c:v>42531</c:v>
                </c:pt>
                <c:pt idx="79">
                  <c:v>42538</c:v>
                </c:pt>
                <c:pt idx="80">
                  <c:v>42545</c:v>
                </c:pt>
                <c:pt idx="81">
                  <c:v>42552</c:v>
                </c:pt>
                <c:pt idx="82">
                  <c:v>42559</c:v>
                </c:pt>
                <c:pt idx="83">
                  <c:v>42566</c:v>
                </c:pt>
                <c:pt idx="84">
                  <c:v>42573</c:v>
                </c:pt>
                <c:pt idx="85">
                  <c:v>42580</c:v>
                </c:pt>
                <c:pt idx="86">
                  <c:v>42587</c:v>
                </c:pt>
                <c:pt idx="87">
                  <c:v>42594</c:v>
                </c:pt>
                <c:pt idx="88">
                  <c:v>42601</c:v>
                </c:pt>
                <c:pt idx="89">
                  <c:v>42608</c:v>
                </c:pt>
                <c:pt idx="90">
                  <c:v>42615</c:v>
                </c:pt>
                <c:pt idx="91">
                  <c:v>42622</c:v>
                </c:pt>
                <c:pt idx="92">
                  <c:v>42629</c:v>
                </c:pt>
                <c:pt idx="93">
                  <c:v>42636</c:v>
                </c:pt>
                <c:pt idx="94">
                  <c:v>42643</c:v>
                </c:pt>
                <c:pt idx="95">
                  <c:v>42650</c:v>
                </c:pt>
                <c:pt idx="96">
                  <c:v>42657</c:v>
                </c:pt>
                <c:pt idx="97">
                  <c:v>42664</c:v>
                </c:pt>
                <c:pt idx="98">
                  <c:v>42671</c:v>
                </c:pt>
                <c:pt idx="99">
                  <c:v>42678</c:v>
                </c:pt>
                <c:pt idx="100">
                  <c:v>42685</c:v>
                </c:pt>
                <c:pt idx="101">
                  <c:v>42692</c:v>
                </c:pt>
                <c:pt idx="102">
                  <c:v>42699</c:v>
                </c:pt>
                <c:pt idx="103">
                  <c:v>42706</c:v>
                </c:pt>
                <c:pt idx="104">
                  <c:v>42713</c:v>
                </c:pt>
                <c:pt idx="105">
                  <c:v>42720</c:v>
                </c:pt>
                <c:pt idx="106">
                  <c:v>42727</c:v>
                </c:pt>
                <c:pt idx="107">
                  <c:v>42734</c:v>
                </c:pt>
                <c:pt idx="108">
                  <c:v>42741</c:v>
                </c:pt>
                <c:pt idx="109">
                  <c:v>42748</c:v>
                </c:pt>
                <c:pt idx="110">
                  <c:v>42755</c:v>
                </c:pt>
                <c:pt idx="111">
                  <c:v>42762</c:v>
                </c:pt>
                <c:pt idx="112">
                  <c:v>42769</c:v>
                </c:pt>
                <c:pt idx="113">
                  <c:v>42776</c:v>
                </c:pt>
                <c:pt idx="114">
                  <c:v>42783</c:v>
                </c:pt>
                <c:pt idx="115">
                  <c:v>42790</c:v>
                </c:pt>
                <c:pt idx="116">
                  <c:v>42797</c:v>
                </c:pt>
                <c:pt idx="117">
                  <c:v>42804</c:v>
                </c:pt>
                <c:pt idx="118">
                  <c:v>42811</c:v>
                </c:pt>
                <c:pt idx="119">
                  <c:v>42818</c:v>
                </c:pt>
                <c:pt idx="120">
                  <c:v>42825</c:v>
                </c:pt>
                <c:pt idx="121">
                  <c:v>42832</c:v>
                </c:pt>
                <c:pt idx="122">
                  <c:v>42839</c:v>
                </c:pt>
                <c:pt idx="123">
                  <c:v>42846</c:v>
                </c:pt>
                <c:pt idx="124">
                  <c:v>42853</c:v>
                </c:pt>
                <c:pt idx="125">
                  <c:v>42860</c:v>
                </c:pt>
                <c:pt idx="126">
                  <c:v>42867</c:v>
                </c:pt>
                <c:pt idx="127">
                  <c:v>42874</c:v>
                </c:pt>
                <c:pt idx="128">
                  <c:v>42881</c:v>
                </c:pt>
                <c:pt idx="129">
                  <c:v>42888</c:v>
                </c:pt>
                <c:pt idx="130">
                  <c:v>42895</c:v>
                </c:pt>
                <c:pt idx="131">
                  <c:v>42902</c:v>
                </c:pt>
                <c:pt idx="132">
                  <c:v>42909</c:v>
                </c:pt>
                <c:pt idx="133">
                  <c:v>42916</c:v>
                </c:pt>
                <c:pt idx="134">
                  <c:v>42923</c:v>
                </c:pt>
                <c:pt idx="135">
                  <c:v>42930</c:v>
                </c:pt>
                <c:pt idx="136">
                  <c:v>42937</c:v>
                </c:pt>
                <c:pt idx="137">
                  <c:v>42944</c:v>
                </c:pt>
                <c:pt idx="138">
                  <c:v>42951</c:v>
                </c:pt>
                <c:pt idx="139">
                  <c:v>42958</c:v>
                </c:pt>
                <c:pt idx="140">
                  <c:v>42965</c:v>
                </c:pt>
                <c:pt idx="141">
                  <c:v>42972</c:v>
                </c:pt>
                <c:pt idx="142">
                  <c:v>42979</c:v>
                </c:pt>
                <c:pt idx="143">
                  <c:v>42986</c:v>
                </c:pt>
                <c:pt idx="144">
                  <c:v>42993</c:v>
                </c:pt>
                <c:pt idx="145">
                  <c:v>43000</c:v>
                </c:pt>
                <c:pt idx="146">
                  <c:v>43007</c:v>
                </c:pt>
                <c:pt idx="147">
                  <c:v>43014</c:v>
                </c:pt>
                <c:pt idx="148">
                  <c:v>43021</c:v>
                </c:pt>
                <c:pt idx="149">
                  <c:v>43028</c:v>
                </c:pt>
                <c:pt idx="150">
                  <c:v>43035</c:v>
                </c:pt>
                <c:pt idx="151">
                  <c:v>43042</c:v>
                </c:pt>
                <c:pt idx="152">
                  <c:v>43049</c:v>
                </c:pt>
                <c:pt idx="153">
                  <c:v>43056</c:v>
                </c:pt>
                <c:pt idx="154">
                  <c:v>43063</c:v>
                </c:pt>
                <c:pt idx="155">
                  <c:v>43070</c:v>
                </c:pt>
                <c:pt idx="156">
                  <c:v>43077</c:v>
                </c:pt>
                <c:pt idx="157">
                  <c:v>43084</c:v>
                </c:pt>
                <c:pt idx="158">
                  <c:v>43091</c:v>
                </c:pt>
                <c:pt idx="159">
                  <c:v>43098</c:v>
                </c:pt>
                <c:pt idx="160">
                  <c:v>43105</c:v>
                </c:pt>
                <c:pt idx="161">
                  <c:v>43112</c:v>
                </c:pt>
                <c:pt idx="162">
                  <c:v>43119</c:v>
                </c:pt>
                <c:pt idx="163">
                  <c:v>43126</c:v>
                </c:pt>
                <c:pt idx="164">
                  <c:v>43133</c:v>
                </c:pt>
                <c:pt idx="165">
                  <c:v>43140</c:v>
                </c:pt>
                <c:pt idx="166">
                  <c:v>43147</c:v>
                </c:pt>
                <c:pt idx="167">
                  <c:v>43154</c:v>
                </c:pt>
                <c:pt idx="168">
                  <c:v>43161</c:v>
                </c:pt>
                <c:pt idx="169">
                  <c:v>43168</c:v>
                </c:pt>
                <c:pt idx="170">
                  <c:v>43175</c:v>
                </c:pt>
                <c:pt idx="171">
                  <c:v>43182</c:v>
                </c:pt>
                <c:pt idx="172">
                  <c:v>43189</c:v>
                </c:pt>
                <c:pt idx="173">
                  <c:v>43196</c:v>
                </c:pt>
                <c:pt idx="174">
                  <c:v>43203</c:v>
                </c:pt>
                <c:pt idx="175">
                  <c:v>43210</c:v>
                </c:pt>
                <c:pt idx="176">
                  <c:v>43217</c:v>
                </c:pt>
                <c:pt idx="177">
                  <c:v>43224</c:v>
                </c:pt>
                <c:pt idx="178">
                  <c:v>43231</c:v>
                </c:pt>
                <c:pt idx="179">
                  <c:v>43238</c:v>
                </c:pt>
                <c:pt idx="180">
                  <c:v>43245</c:v>
                </c:pt>
                <c:pt idx="181">
                  <c:v>43252</c:v>
                </c:pt>
                <c:pt idx="182">
                  <c:v>43259</c:v>
                </c:pt>
                <c:pt idx="183">
                  <c:v>43266</c:v>
                </c:pt>
                <c:pt idx="184">
                  <c:v>43273</c:v>
                </c:pt>
                <c:pt idx="185">
                  <c:v>43280</c:v>
                </c:pt>
                <c:pt idx="186">
                  <c:v>43287</c:v>
                </c:pt>
                <c:pt idx="187">
                  <c:v>43294</c:v>
                </c:pt>
                <c:pt idx="188">
                  <c:v>43301</c:v>
                </c:pt>
                <c:pt idx="189">
                  <c:v>43308</c:v>
                </c:pt>
                <c:pt idx="190">
                  <c:v>43315</c:v>
                </c:pt>
                <c:pt idx="191">
                  <c:v>43322</c:v>
                </c:pt>
                <c:pt idx="192">
                  <c:v>43329</c:v>
                </c:pt>
                <c:pt idx="193">
                  <c:v>43336</c:v>
                </c:pt>
                <c:pt idx="194">
                  <c:v>43343</c:v>
                </c:pt>
                <c:pt idx="195">
                  <c:v>43350</c:v>
                </c:pt>
                <c:pt idx="196">
                  <c:v>43357</c:v>
                </c:pt>
                <c:pt idx="197">
                  <c:v>43364</c:v>
                </c:pt>
                <c:pt idx="198">
                  <c:v>43371</c:v>
                </c:pt>
                <c:pt idx="199">
                  <c:v>43378</c:v>
                </c:pt>
                <c:pt idx="200">
                  <c:v>43385</c:v>
                </c:pt>
                <c:pt idx="201">
                  <c:v>43392</c:v>
                </c:pt>
                <c:pt idx="202">
                  <c:v>43399</c:v>
                </c:pt>
                <c:pt idx="203">
                  <c:v>43406</c:v>
                </c:pt>
                <c:pt idx="204">
                  <c:v>43413</c:v>
                </c:pt>
                <c:pt idx="205">
                  <c:v>43420</c:v>
                </c:pt>
                <c:pt idx="206">
                  <c:v>43427</c:v>
                </c:pt>
                <c:pt idx="207">
                  <c:v>43434</c:v>
                </c:pt>
                <c:pt idx="208">
                  <c:v>43441</c:v>
                </c:pt>
                <c:pt idx="209">
                  <c:v>43448</c:v>
                </c:pt>
                <c:pt idx="210">
                  <c:v>43455</c:v>
                </c:pt>
                <c:pt idx="211">
                  <c:v>43462</c:v>
                </c:pt>
                <c:pt idx="212">
                  <c:v>43469</c:v>
                </c:pt>
                <c:pt idx="213">
                  <c:v>43476</c:v>
                </c:pt>
                <c:pt idx="214">
                  <c:v>43483</c:v>
                </c:pt>
                <c:pt idx="215">
                  <c:v>43490</c:v>
                </c:pt>
                <c:pt idx="216">
                  <c:v>43497</c:v>
                </c:pt>
                <c:pt idx="217">
                  <c:v>43504</c:v>
                </c:pt>
                <c:pt idx="218">
                  <c:v>43511</c:v>
                </c:pt>
                <c:pt idx="219">
                  <c:v>43518</c:v>
                </c:pt>
                <c:pt idx="220">
                  <c:v>43525</c:v>
                </c:pt>
                <c:pt idx="221">
                  <c:v>43532</c:v>
                </c:pt>
                <c:pt idx="222">
                  <c:v>43539</c:v>
                </c:pt>
                <c:pt idx="223">
                  <c:v>43546</c:v>
                </c:pt>
                <c:pt idx="224">
                  <c:v>43553</c:v>
                </c:pt>
                <c:pt idx="225">
                  <c:v>43560</c:v>
                </c:pt>
                <c:pt idx="226">
                  <c:v>43567</c:v>
                </c:pt>
                <c:pt idx="227">
                  <c:v>43574</c:v>
                </c:pt>
                <c:pt idx="228">
                  <c:v>43581</c:v>
                </c:pt>
                <c:pt idx="229">
                  <c:v>43588</c:v>
                </c:pt>
                <c:pt idx="230">
                  <c:v>43595</c:v>
                </c:pt>
                <c:pt idx="231">
                  <c:v>43602</c:v>
                </c:pt>
                <c:pt idx="232">
                  <c:v>43609</c:v>
                </c:pt>
                <c:pt idx="233">
                  <c:v>43616</c:v>
                </c:pt>
                <c:pt idx="234">
                  <c:v>43623</c:v>
                </c:pt>
                <c:pt idx="235">
                  <c:v>43630</c:v>
                </c:pt>
                <c:pt idx="236">
                  <c:v>43637</c:v>
                </c:pt>
                <c:pt idx="237">
                  <c:v>43644</c:v>
                </c:pt>
                <c:pt idx="238">
                  <c:v>43651</c:v>
                </c:pt>
                <c:pt idx="239">
                  <c:v>43658</c:v>
                </c:pt>
                <c:pt idx="240">
                  <c:v>43665</c:v>
                </c:pt>
                <c:pt idx="241">
                  <c:v>43672</c:v>
                </c:pt>
                <c:pt idx="242">
                  <c:v>43679</c:v>
                </c:pt>
                <c:pt idx="243">
                  <c:v>43686</c:v>
                </c:pt>
                <c:pt idx="244">
                  <c:v>43693</c:v>
                </c:pt>
                <c:pt idx="245">
                  <c:v>43700</c:v>
                </c:pt>
                <c:pt idx="246">
                  <c:v>43707</c:v>
                </c:pt>
                <c:pt idx="247">
                  <c:v>43714</c:v>
                </c:pt>
                <c:pt idx="248">
                  <c:v>43721</c:v>
                </c:pt>
                <c:pt idx="249">
                  <c:v>43728</c:v>
                </c:pt>
                <c:pt idx="250">
                  <c:v>43735</c:v>
                </c:pt>
                <c:pt idx="251">
                  <c:v>43742</c:v>
                </c:pt>
                <c:pt idx="252">
                  <c:v>43749</c:v>
                </c:pt>
                <c:pt idx="253">
                  <c:v>43756</c:v>
                </c:pt>
                <c:pt idx="254">
                  <c:v>43763</c:v>
                </c:pt>
                <c:pt idx="255">
                  <c:v>43770</c:v>
                </c:pt>
                <c:pt idx="256">
                  <c:v>43777</c:v>
                </c:pt>
                <c:pt idx="257">
                  <c:v>43784</c:v>
                </c:pt>
                <c:pt idx="258">
                  <c:v>43791</c:v>
                </c:pt>
                <c:pt idx="259">
                  <c:v>43798</c:v>
                </c:pt>
                <c:pt idx="260">
                  <c:v>43805</c:v>
                </c:pt>
                <c:pt idx="261">
                  <c:v>43812</c:v>
                </c:pt>
                <c:pt idx="262">
                  <c:v>43819</c:v>
                </c:pt>
                <c:pt idx="263">
                  <c:v>43826</c:v>
                </c:pt>
                <c:pt idx="264">
                  <c:v>43833</c:v>
                </c:pt>
                <c:pt idx="265">
                  <c:v>43840</c:v>
                </c:pt>
                <c:pt idx="266">
                  <c:v>43847</c:v>
                </c:pt>
                <c:pt idx="267">
                  <c:v>43854</c:v>
                </c:pt>
                <c:pt idx="268">
                  <c:v>43861</c:v>
                </c:pt>
                <c:pt idx="269">
                  <c:v>43868</c:v>
                </c:pt>
                <c:pt idx="270">
                  <c:v>43875</c:v>
                </c:pt>
                <c:pt idx="271">
                  <c:v>43882</c:v>
                </c:pt>
                <c:pt idx="272">
                  <c:v>43889</c:v>
                </c:pt>
                <c:pt idx="273">
                  <c:v>43896</c:v>
                </c:pt>
                <c:pt idx="274">
                  <c:v>43903</c:v>
                </c:pt>
                <c:pt idx="275">
                  <c:v>43910</c:v>
                </c:pt>
                <c:pt idx="276">
                  <c:v>43917</c:v>
                </c:pt>
                <c:pt idx="277">
                  <c:v>43924</c:v>
                </c:pt>
                <c:pt idx="278">
                  <c:v>43931</c:v>
                </c:pt>
                <c:pt idx="279">
                  <c:v>43938</c:v>
                </c:pt>
                <c:pt idx="280">
                  <c:v>43945</c:v>
                </c:pt>
                <c:pt idx="281">
                  <c:v>43952</c:v>
                </c:pt>
                <c:pt idx="282">
                  <c:v>43959</c:v>
                </c:pt>
                <c:pt idx="283">
                  <c:v>43966</c:v>
                </c:pt>
                <c:pt idx="284">
                  <c:v>43973</c:v>
                </c:pt>
                <c:pt idx="285">
                  <c:v>43980</c:v>
                </c:pt>
                <c:pt idx="286">
                  <c:v>43987</c:v>
                </c:pt>
                <c:pt idx="287">
                  <c:v>43994</c:v>
                </c:pt>
                <c:pt idx="288">
                  <c:v>44001</c:v>
                </c:pt>
                <c:pt idx="289">
                  <c:v>44008</c:v>
                </c:pt>
                <c:pt idx="290">
                  <c:v>44015</c:v>
                </c:pt>
                <c:pt idx="291">
                  <c:v>44022</c:v>
                </c:pt>
                <c:pt idx="292">
                  <c:v>44029</c:v>
                </c:pt>
                <c:pt idx="293">
                  <c:v>44036</c:v>
                </c:pt>
                <c:pt idx="294">
                  <c:v>44043</c:v>
                </c:pt>
                <c:pt idx="295">
                  <c:v>44050</c:v>
                </c:pt>
                <c:pt idx="296">
                  <c:v>44057</c:v>
                </c:pt>
                <c:pt idx="297">
                  <c:v>44064</c:v>
                </c:pt>
                <c:pt idx="298">
                  <c:v>44071</c:v>
                </c:pt>
                <c:pt idx="299">
                  <c:v>44078</c:v>
                </c:pt>
                <c:pt idx="300">
                  <c:v>44085</c:v>
                </c:pt>
                <c:pt idx="301">
                  <c:v>44092</c:v>
                </c:pt>
                <c:pt idx="302">
                  <c:v>44099</c:v>
                </c:pt>
                <c:pt idx="303">
                  <c:v>44106</c:v>
                </c:pt>
                <c:pt idx="304">
                  <c:v>44113</c:v>
                </c:pt>
                <c:pt idx="305">
                  <c:v>44120</c:v>
                </c:pt>
                <c:pt idx="306">
                  <c:v>44127</c:v>
                </c:pt>
                <c:pt idx="307">
                  <c:v>44134</c:v>
                </c:pt>
                <c:pt idx="308">
                  <c:v>44141</c:v>
                </c:pt>
                <c:pt idx="309">
                  <c:v>44148</c:v>
                </c:pt>
                <c:pt idx="310">
                  <c:v>44155</c:v>
                </c:pt>
                <c:pt idx="311">
                  <c:v>44162</c:v>
                </c:pt>
                <c:pt idx="312">
                  <c:v>44169</c:v>
                </c:pt>
                <c:pt idx="313">
                  <c:v>44176</c:v>
                </c:pt>
                <c:pt idx="314">
                  <c:v>44183</c:v>
                </c:pt>
                <c:pt idx="315">
                  <c:v>44190</c:v>
                </c:pt>
                <c:pt idx="316">
                  <c:v>44197</c:v>
                </c:pt>
                <c:pt idx="317">
                  <c:v>44204</c:v>
                </c:pt>
                <c:pt idx="318">
                  <c:v>44211</c:v>
                </c:pt>
                <c:pt idx="319">
                  <c:v>44218</c:v>
                </c:pt>
                <c:pt idx="320">
                  <c:v>44225</c:v>
                </c:pt>
                <c:pt idx="321">
                  <c:v>44232</c:v>
                </c:pt>
                <c:pt idx="322">
                  <c:v>44239</c:v>
                </c:pt>
                <c:pt idx="323">
                  <c:v>44246</c:v>
                </c:pt>
                <c:pt idx="324">
                  <c:v>44253</c:v>
                </c:pt>
                <c:pt idx="325">
                  <c:v>44260</c:v>
                </c:pt>
                <c:pt idx="326">
                  <c:v>44267</c:v>
                </c:pt>
                <c:pt idx="327">
                  <c:v>44274</c:v>
                </c:pt>
                <c:pt idx="328">
                  <c:v>44281</c:v>
                </c:pt>
                <c:pt idx="329">
                  <c:v>44288</c:v>
                </c:pt>
                <c:pt idx="330">
                  <c:v>44295</c:v>
                </c:pt>
                <c:pt idx="331">
                  <c:v>44302</c:v>
                </c:pt>
                <c:pt idx="332">
                  <c:v>44309</c:v>
                </c:pt>
                <c:pt idx="333">
                  <c:v>44316</c:v>
                </c:pt>
                <c:pt idx="334">
                  <c:v>44323</c:v>
                </c:pt>
                <c:pt idx="335">
                  <c:v>44330</c:v>
                </c:pt>
                <c:pt idx="336">
                  <c:v>44337</c:v>
                </c:pt>
                <c:pt idx="337">
                  <c:v>44344</c:v>
                </c:pt>
                <c:pt idx="338">
                  <c:v>44351</c:v>
                </c:pt>
                <c:pt idx="339">
                  <c:v>44358</c:v>
                </c:pt>
                <c:pt idx="340">
                  <c:v>44365</c:v>
                </c:pt>
                <c:pt idx="341">
                  <c:v>44372</c:v>
                </c:pt>
                <c:pt idx="342">
                  <c:v>44379</c:v>
                </c:pt>
                <c:pt idx="343">
                  <c:v>44386</c:v>
                </c:pt>
                <c:pt idx="344">
                  <c:v>44393</c:v>
                </c:pt>
                <c:pt idx="345">
                  <c:v>44400</c:v>
                </c:pt>
                <c:pt idx="346">
                  <c:v>44407</c:v>
                </c:pt>
                <c:pt idx="347">
                  <c:v>44414</c:v>
                </c:pt>
                <c:pt idx="348">
                  <c:v>44421</c:v>
                </c:pt>
                <c:pt idx="349">
                  <c:v>44428</c:v>
                </c:pt>
                <c:pt idx="350">
                  <c:v>44435</c:v>
                </c:pt>
                <c:pt idx="351">
                  <c:v>44442</c:v>
                </c:pt>
                <c:pt idx="352">
                  <c:v>44449</c:v>
                </c:pt>
                <c:pt idx="353">
                  <c:v>44456</c:v>
                </c:pt>
                <c:pt idx="354">
                  <c:v>44463</c:v>
                </c:pt>
                <c:pt idx="355">
                  <c:v>44470</c:v>
                </c:pt>
                <c:pt idx="356">
                  <c:v>44477</c:v>
                </c:pt>
                <c:pt idx="357">
                  <c:v>44484</c:v>
                </c:pt>
                <c:pt idx="358">
                  <c:v>44491</c:v>
                </c:pt>
                <c:pt idx="359">
                  <c:v>44498</c:v>
                </c:pt>
                <c:pt idx="360">
                  <c:v>44505</c:v>
                </c:pt>
                <c:pt idx="361">
                  <c:v>44512</c:v>
                </c:pt>
                <c:pt idx="362">
                  <c:v>44519</c:v>
                </c:pt>
                <c:pt idx="363">
                  <c:v>44526</c:v>
                </c:pt>
                <c:pt idx="364">
                  <c:v>44533</c:v>
                </c:pt>
                <c:pt idx="365">
                  <c:v>44540</c:v>
                </c:pt>
                <c:pt idx="366">
                  <c:v>44547</c:v>
                </c:pt>
                <c:pt idx="367">
                  <c:v>44554</c:v>
                </c:pt>
                <c:pt idx="368">
                  <c:v>44561</c:v>
                </c:pt>
                <c:pt idx="369">
                  <c:v>44568</c:v>
                </c:pt>
                <c:pt idx="370">
                  <c:v>44575</c:v>
                </c:pt>
                <c:pt idx="371">
                  <c:v>44582</c:v>
                </c:pt>
                <c:pt idx="372">
                  <c:v>44589</c:v>
                </c:pt>
                <c:pt idx="373">
                  <c:v>44596</c:v>
                </c:pt>
                <c:pt idx="374">
                  <c:v>44603</c:v>
                </c:pt>
                <c:pt idx="375">
                  <c:v>44610</c:v>
                </c:pt>
                <c:pt idx="376">
                  <c:v>44617</c:v>
                </c:pt>
                <c:pt idx="377">
                  <c:v>44624</c:v>
                </c:pt>
                <c:pt idx="378">
                  <c:v>44631</c:v>
                </c:pt>
                <c:pt idx="379">
                  <c:v>44638</c:v>
                </c:pt>
                <c:pt idx="380">
                  <c:v>44645</c:v>
                </c:pt>
                <c:pt idx="381">
                  <c:v>44652</c:v>
                </c:pt>
                <c:pt idx="382">
                  <c:v>44659</c:v>
                </c:pt>
                <c:pt idx="383">
                  <c:v>44666</c:v>
                </c:pt>
                <c:pt idx="384">
                  <c:v>44673</c:v>
                </c:pt>
                <c:pt idx="385">
                  <c:v>44680</c:v>
                </c:pt>
                <c:pt idx="386">
                  <c:v>44687</c:v>
                </c:pt>
                <c:pt idx="387">
                  <c:v>44694</c:v>
                </c:pt>
                <c:pt idx="388">
                  <c:v>44701</c:v>
                </c:pt>
                <c:pt idx="389">
                  <c:v>44708</c:v>
                </c:pt>
                <c:pt idx="390">
                  <c:v>44715</c:v>
                </c:pt>
                <c:pt idx="391">
                  <c:v>44722</c:v>
                </c:pt>
                <c:pt idx="392">
                  <c:v>44729</c:v>
                </c:pt>
                <c:pt idx="393">
                  <c:v>44736</c:v>
                </c:pt>
                <c:pt idx="394">
                  <c:v>44743</c:v>
                </c:pt>
                <c:pt idx="395">
                  <c:v>44750</c:v>
                </c:pt>
                <c:pt idx="396">
                  <c:v>44757</c:v>
                </c:pt>
                <c:pt idx="397">
                  <c:v>44764</c:v>
                </c:pt>
                <c:pt idx="398">
                  <c:v>44771</c:v>
                </c:pt>
                <c:pt idx="399">
                  <c:v>44778</c:v>
                </c:pt>
                <c:pt idx="400">
                  <c:v>44785</c:v>
                </c:pt>
                <c:pt idx="401">
                  <c:v>44792</c:v>
                </c:pt>
                <c:pt idx="402">
                  <c:v>44799</c:v>
                </c:pt>
                <c:pt idx="403">
                  <c:v>44806</c:v>
                </c:pt>
                <c:pt idx="404">
                  <c:v>44813</c:v>
                </c:pt>
                <c:pt idx="405">
                  <c:v>44820</c:v>
                </c:pt>
                <c:pt idx="406">
                  <c:v>44827</c:v>
                </c:pt>
                <c:pt idx="407">
                  <c:v>44834</c:v>
                </c:pt>
                <c:pt idx="408">
                  <c:v>44841</c:v>
                </c:pt>
                <c:pt idx="409">
                  <c:v>44848</c:v>
                </c:pt>
                <c:pt idx="410">
                  <c:v>44855</c:v>
                </c:pt>
                <c:pt idx="411">
                  <c:v>44862</c:v>
                </c:pt>
                <c:pt idx="412">
                  <c:v>44869</c:v>
                </c:pt>
                <c:pt idx="413">
                  <c:v>44876</c:v>
                </c:pt>
                <c:pt idx="414">
                  <c:v>44883</c:v>
                </c:pt>
                <c:pt idx="415">
                  <c:v>44890</c:v>
                </c:pt>
                <c:pt idx="416">
                  <c:v>44897</c:v>
                </c:pt>
                <c:pt idx="417">
                  <c:v>44904</c:v>
                </c:pt>
                <c:pt idx="418">
                  <c:v>44911</c:v>
                </c:pt>
                <c:pt idx="419">
                  <c:v>44918</c:v>
                </c:pt>
                <c:pt idx="420">
                  <c:v>44925</c:v>
                </c:pt>
                <c:pt idx="421">
                  <c:v>44932</c:v>
                </c:pt>
                <c:pt idx="422">
                  <c:v>44939</c:v>
                </c:pt>
                <c:pt idx="423">
                  <c:v>44946</c:v>
                </c:pt>
                <c:pt idx="424">
                  <c:v>44953</c:v>
                </c:pt>
                <c:pt idx="425">
                  <c:v>44960</c:v>
                </c:pt>
                <c:pt idx="426">
                  <c:v>44967</c:v>
                </c:pt>
                <c:pt idx="427">
                  <c:v>44974</c:v>
                </c:pt>
                <c:pt idx="428">
                  <c:v>44981</c:v>
                </c:pt>
                <c:pt idx="429">
                  <c:v>44988</c:v>
                </c:pt>
                <c:pt idx="430">
                  <c:v>44995</c:v>
                </c:pt>
                <c:pt idx="431">
                  <c:v>45002</c:v>
                </c:pt>
                <c:pt idx="432">
                  <c:v>45009</c:v>
                </c:pt>
                <c:pt idx="433">
                  <c:v>45016</c:v>
                </c:pt>
                <c:pt idx="434">
                  <c:v>45023</c:v>
                </c:pt>
                <c:pt idx="435">
                  <c:v>45030</c:v>
                </c:pt>
                <c:pt idx="436">
                  <c:v>45037</c:v>
                </c:pt>
                <c:pt idx="437">
                  <c:v>45044</c:v>
                </c:pt>
                <c:pt idx="438">
                  <c:v>45051</c:v>
                </c:pt>
                <c:pt idx="439">
                  <c:v>45058</c:v>
                </c:pt>
                <c:pt idx="440">
                  <c:v>45065</c:v>
                </c:pt>
                <c:pt idx="441">
                  <c:v>45072</c:v>
                </c:pt>
                <c:pt idx="442">
                  <c:v>45079</c:v>
                </c:pt>
                <c:pt idx="443">
                  <c:v>45086</c:v>
                </c:pt>
                <c:pt idx="444">
                  <c:v>45093</c:v>
                </c:pt>
                <c:pt idx="445">
                  <c:v>45100</c:v>
                </c:pt>
                <c:pt idx="446">
                  <c:v>45107</c:v>
                </c:pt>
                <c:pt idx="447">
                  <c:v>45114</c:v>
                </c:pt>
                <c:pt idx="448">
                  <c:v>45121</c:v>
                </c:pt>
                <c:pt idx="449">
                  <c:v>45128</c:v>
                </c:pt>
                <c:pt idx="450">
                  <c:v>45135</c:v>
                </c:pt>
                <c:pt idx="451">
                  <c:v>45142</c:v>
                </c:pt>
                <c:pt idx="452">
                  <c:v>45149</c:v>
                </c:pt>
                <c:pt idx="453">
                  <c:v>45156</c:v>
                </c:pt>
                <c:pt idx="454">
                  <c:v>45163</c:v>
                </c:pt>
                <c:pt idx="455">
                  <c:v>45170</c:v>
                </c:pt>
                <c:pt idx="456">
                  <c:v>45177</c:v>
                </c:pt>
                <c:pt idx="457">
                  <c:v>45184</c:v>
                </c:pt>
                <c:pt idx="458">
                  <c:v>45191</c:v>
                </c:pt>
                <c:pt idx="459">
                  <c:v>45198</c:v>
                </c:pt>
                <c:pt idx="460">
                  <c:v>45205</c:v>
                </c:pt>
                <c:pt idx="461">
                  <c:v>45212</c:v>
                </c:pt>
                <c:pt idx="462">
                  <c:v>45219</c:v>
                </c:pt>
                <c:pt idx="463">
                  <c:v>45226</c:v>
                </c:pt>
                <c:pt idx="464">
                  <c:v>45233</c:v>
                </c:pt>
                <c:pt idx="465">
                  <c:v>45240</c:v>
                </c:pt>
                <c:pt idx="466">
                  <c:v>45247</c:v>
                </c:pt>
                <c:pt idx="467">
                  <c:v>45254</c:v>
                </c:pt>
                <c:pt idx="468">
                  <c:v>45261</c:v>
                </c:pt>
                <c:pt idx="469">
                  <c:v>45268</c:v>
                </c:pt>
                <c:pt idx="470">
                  <c:v>45275</c:v>
                </c:pt>
                <c:pt idx="471">
                  <c:v>45282</c:v>
                </c:pt>
                <c:pt idx="472">
                  <c:v>45289</c:v>
                </c:pt>
                <c:pt idx="473">
                  <c:v>45296</c:v>
                </c:pt>
                <c:pt idx="474">
                  <c:v>45303</c:v>
                </c:pt>
                <c:pt idx="475">
                  <c:v>45310</c:v>
                </c:pt>
                <c:pt idx="476">
                  <c:v>45317</c:v>
                </c:pt>
                <c:pt idx="477">
                  <c:v>45324</c:v>
                </c:pt>
                <c:pt idx="478">
                  <c:v>45331</c:v>
                </c:pt>
                <c:pt idx="479">
                  <c:v>45338</c:v>
                </c:pt>
                <c:pt idx="480">
                  <c:v>45345</c:v>
                </c:pt>
                <c:pt idx="481">
                  <c:v>45352</c:v>
                </c:pt>
                <c:pt idx="482">
                  <c:v>45359</c:v>
                </c:pt>
                <c:pt idx="483">
                  <c:v>45366</c:v>
                </c:pt>
                <c:pt idx="484">
                  <c:v>45373</c:v>
                </c:pt>
                <c:pt idx="485">
                  <c:v>45380</c:v>
                </c:pt>
                <c:pt idx="486">
                  <c:v>45387</c:v>
                </c:pt>
                <c:pt idx="487">
                  <c:v>45394</c:v>
                </c:pt>
                <c:pt idx="488">
                  <c:v>45401</c:v>
                </c:pt>
                <c:pt idx="489">
                  <c:v>45408</c:v>
                </c:pt>
                <c:pt idx="490">
                  <c:v>45415</c:v>
                </c:pt>
                <c:pt idx="491">
                  <c:v>45422</c:v>
                </c:pt>
                <c:pt idx="492">
                  <c:v>45429</c:v>
                </c:pt>
                <c:pt idx="493">
                  <c:v>45436</c:v>
                </c:pt>
                <c:pt idx="494">
                  <c:v>45443</c:v>
                </c:pt>
                <c:pt idx="495">
                  <c:v>45450</c:v>
                </c:pt>
                <c:pt idx="496">
                  <c:v>45457</c:v>
                </c:pt>
                <c:pt idx="497">
                  <c:v>45464</c:v>
                </c:pt>
                <c:pt idx="498">
                  <c:v>45471</c:v>
                </c:pt>
                <c:pt idx="499">
                  <c:v>45478</c:v>
                </c:pt>
                <c:pt idx="500">
                  <c:v>45485</c:v>
                </c:pt>
                <c:pt idx="501">
                  <c:v>45492</c:v>
                </c:pt>
                <c:pt idx="502">
                  <c:v>45499</c:v>
                </c:pt>
                <c:pt idx="503">
                  <c:v>45506</c:v>
                </c:pt>
                <c:pt idx="504">
                  <c:v>45513</c:v>
                </c:pt>
                <c:pt idx="505">
                  <c:v>45520</c:v>
                </c:pt>
                <c:pt idx="506">
                  <c:v>45527</c:v>
                </c:pt>
                <c:pt idx="507">
                  <c:v>45534</c:v>
                </c:pt>
                <c:pt idx="508">
                  <c:v>45541</c:v>
                </c:pt>
                <c:pt idx="509">
                  <c:v>45548</c:v>
                </c:pt>
                <c:pt idx="510">
                  <c:v>45555</c:v>
                </c:pt>
                <c:pt idx="511">
                  <c:v>45562</c:v>
                </c:pt>
                <c:pt idx="512">
                  <c:v>45569</c:v>
                </c:pt>
                <c:pt idx="513">
                  <c:v>45576</c:v>
                </c:pt>
                <c:pt idx="514">
                  <c:v>45583</c:v>
                </c:pt>
                <c:pt idx="515">
                  <c:v>45590</c:v>
                </c:pt>
                <c:pt idx="516">
                  <c:v>45597</c:v>
                </c:pt>
                <c:pt idx="517">
                  <c:v>45604</c:v>
                </c:pt>
                <c:pt idx="518">
                  <c:v>45611</c:v>
                </c:pt>
                <c:pt idx="519">
                  <c:v>45618</c:v>
                </c:pt>
                <c:pt idx="520">
                  <c:v>45625</c:v>
                </c:pt>
                <c:pt idx="521">
                  <c:v>45632</c:v>
                </c:pt>
                <c:pt idx="522">
                  <c:v>45639</c:v>
                </c:pt>
                <c:pt idx="523">
                  <c:v>45646</c:v>
                </c:pt>
                <c:pt idx="524">
                  <c:v>45653</c:v>
                </c:pt>
                <c:pt idx="525">
                  <c:v>45660</c:v>
                </c:pt>
                <c:pt idx="526">
                  <c:v>45667</c:v>
                </c:pt>
                <c:pt idx="527">
                  <c:v>45674</c:v>
                </c:pt>
                <c:pt idx="528">
                  <c:v>45681</c:v>
                </c:pt>
                <c:pt idx="529">
                  <c:v>45688</c:v>
                </c:pt>
                <c:pt idx="530">
                  <c:v>45695</c:v>
                </c:pt>
                <c:pt idx="531">
                  <c:v>45702</c:v>
                </c:pt>
                <c:pt idx="532">
                  <c:v>45709</c:v>
                </c:pt>
                <c:pt idx="533">
                  <c:v>45716</c:v>
                </c:pt>
                <c:pt idx="534">
                  <c:v>45723</c:v>
                </c:pt>
                <c:pt idx="535">
                  <c:v>45730</c:v>
                </c:pt>
                <c:pt idx="536">
                  <c:v>45737</c:v>
                </c:pt>
                <c:pt idx="537">
                  <c:v>45744</c:v>
                </c:pt>
                <c:pt idx="538">
                  <c:v>45751</c:v>
                </c:pt>
                <c:pt idx="539">
                  <c:v>45758</c:v>
                </c:pt>
                <c:pt idx="540">
                  <c:v>45765</c:v>
                </c:pt>
                <c:pt idx="541">
                  <c:v>45772</c:v>
                </c:pt>
                <c:pt idx="542">
                  <c:v>45779</c:v>
                </c:pt>
                <c:pt idx="543">
                  <c:v>45786</c:v>
                </c:pt>
                <c:pt idx="544">
                  <c:v>45793</c:v>
                </c:pt>
                <c:pt idx="545">
                  <c:v>45800</c:v>
                </c:pt>
                <c:pt idx="546">
                  <c:v>45807</c:v>
                </c:pt>
                <c:pt idx="547">
                  <c:v>45814</c:v>
                </c:pt>
                <c:pt idx="548">
                  <c:v>45821</c:v>
                </c:pt>
                <c:pt idx="549">
                  <c:v>45828</c:v>
                </c:pt>
                <c:pt idx="550">
                  <c:v>45835</c:v>
                </c:pt>
                <c:pt idx="551">
                  <c:v>45842</c:v>
                </c:pt>
                <c:pt idx="552">
                  <c:v>45849</c:v>
                </c:pt>
                <c:pt idx="553">
                  <c:v>45856</c:v>
                </c:pt>
                <c:pt idx="554">
                  <c:v>45863</c:v>
                </c:pt>
                <c:pt idx="555">
                  <c:v>45870</c:v>
                </c:pt>
                <c:pt idx="556">
                  <c:v>45877</c:v>
                </c:pt>
                <c:pt idx="557">
                  <c:v>45884</c:v>
                </c:pt>
                <c:pt idx="558">
                  <c:v>45891</c:v>
                </c:pt>
                <c:pt idx="559">
                  <c:v>45898</c:v>
                </c:pt>
                <c:pt idx="560">
                  <c:v>45905</c:v>
                </c:pt>
                <c:pt idx="561">
                  <c:v>45912</c:v>
                </c:pt>
                <c:pt idx="562">
                  <c:v>45919</c:v>
                </c:pt>
                <c:pt idx="563">
                  <c:v>45926</c:v>
                </c:pt>
                <c:pt idx="564">
                  <c:v>45933</c:v>
                </c:pt>
                <c:pt idx="565">
                  <c:v>45940</c:v>
                </c:pt>
                <c:pt idx="566">
                  <c:v>45947</c:v>
                </c:pt>
                <c:pt idx="567">
                  <c:v>45954</c:v>
                </c:pt>
                <c:pt idx="568">
                  <c:v>45961</c:v>
                </c:pt>
                <c:pt idx="569">
                  <c:v>45968</c:v>
                </c:pt>
                <c:pt idx="570">
                  <c:v>45975</c:v>
                </c:pt>
                <c:pt idx="571">
                  <c:v>45982</c:v>
                </c:pt>
                <c:pt idx="572">
                  <c:v>45989</c:v>
                </c:pt>
                <c:pt idx="573">
                  <c:v>45996</c:v>
                </c:pt>
                <c:pt idx="574">
                  <c:v>46003</c:v>
                </c:pt>
                <c:pt idx="575">
                  <c:v>46010</c:v>
                </c:pt>
                <c:pt idx="576">
                  <c:v>46017</c:v>
                </c:pt>
                <c:pt idx="577">
                  <c:v>46024</c:v>
                </c:pt>
                <c:pt idx="578">
                  <c:v>46031</c:v>
                </c:pt>
                <c:pt idx="579">
                  <c:v>46038</c:v>
                </c:pt>
                <c:pt idx="580">
                  <c:v>46045</c:v>
                </c:pt>
                <c:pt idx="581">
                  <c:v>46052</c:v>
                </c:pt>
                <c:pt idx="582">
                  <c:v>46059</c:v>
                </c:pt>
                <c:pt idx="583">
                  <c:v>46066</c:v>
                </c:pt>
                <c:pt idx="584">
                  <c:v>46073</c:v>
                </c:pt>
                <c:pt idx="585">
                  <c:v>46080</c:v>
                </c:pt>
                <c:pt idx="586">
                  <c:v>46087</c:v>
                </c:pt>
                <c:pt idx="587">
                  <c:v>46094</c:v>
                </c:pt>
                <c:pt idx="588">
                  <c:v>46101</c:v>
                </c:pt>
                <c:pt idx="589">
                  <c:v>46108</c:v>
                </c:pt>
                <c:pt idx="590">
                  <c:v>46115</c:v>
                </c:pt>
                <c:pt idx="591">
                  <c:v>46122</c:v>
                </c:pt>
                <c:pt idx="592">
                  <c:v>46129</c:v>
                </c:pt>
                <c:pt idx="593">
                  <c:v>46136</c:v>
                </c:pt>
                <c:pt idx="594">
                  <c:v>46143</c:v>
                </c:pt>
                <c:pt idx="595">
                  <c:v>46150</c:v>
                </c:pt>
                <c:pt idx="596">
                  <c:v>46157</c:v>
                </c:pt>
                <c:pt idx="597">
                  <c:v>46164</c:v>
                </c:pt>
                <c:pt idx="598">
                  <c:v>46171</c:v>
                </c:pt>
                <c:pt idx="599">
                  <c:v>46178</c:v>
                </c:pt>
                <c:pt idx="600">
                  <c:v>46185</c:v>
                </c:pt>
                <c:pt idx="601">
                  <c:v>46192</c:v>
                </c:pt>
                <c:pt idx="602">
                  <c:v>46199</c:v>
                </c:pt>
                <c:pt idx="603">
                  <c:v>46206</c:v>
                </c:pt>
                <c:pt idx="604">
                  <c:v>46213</c:v>
                </c:pt>
                <c:pt idx="605">
                  <c:v>46220</c:v>
                </c:pt>
                <c:pt idx="606">
                  <c:v>46227</c:v>
                </c:pt>
                <c:pt idx="607">
                  <c:v>46234</c:v>
                </c:pt>
                <c:pt idx="608">
                  <c:v>46241</c:v>
                </c:pt>
                <c:pt idx="609">
                  <c:v>46248</c:v>
                </c:pt>
                <c:pt idx="610">
                  <c:v>46255</c:v>
                </c:pt>
                <c:pt idx="611">
                  <c:v>46262</c:v>
                </c:pt>
                <c:pt idx="612">
                  <c:v>46269</c:v>
                </c:pt>
                <c:pt idx="613">
                  <c:v>46276</c:v>
                </c:pt>
                <c:pt idx="614">
                  <c:v>46283</c:v>
                </c:pt>
                <c:pt idx="615">
                  <c:v>46290</c:v>
                </c:pt>
                <c:pt idx="616">
                  <c:v>46297</c:v>
                </c:pt>
                <c:pt idx="617">
                  <c:v>46304</c:v>
                </c:pt>
                <c:pt idx="618">
                  <c:v>46311</c:v>
                </c:pt>
                <c:pt idx="619">
                  <c:v>46318</c:v>
                </c:pt>
                <c:pt idx="620">
                  <c:v>46325</c:v>
                </c:pt>
                <c:pt idx="621">
                  <c:v>46332</c:v>
                </c:pt>
                <c:pt idx="622">
                  <c:v>46339</c:v>
                </c:pt>
                <c:pt idx="623">
                  <c:v>46346</c:v>
                </c:pt>
                <c:pt idx="624">
                  <c:v>46353</c:v>
                </c:pt>
                <c:pt idx="625">
                  <c:v>46360</c:v>
                </c:pt>
                <c:pt idx="626">
                  <c:v>46367</c:v>
                </c:pt>
                <c:pt idx="627">
                  <c:v>46374</c:v>
                </c:pt>
                <c:pt idx="628">
                  <c:v>46381</c:v>
                </c:pt>
                <c:pt idx="629">
                  <c:v>46388</c:v>
                </c:pt>
                <c:pt idx="630">
                  <c:v>46395</c:v>
                </c:pt>
                <c:pt idx="631">
                  <c:v>46402</c:v>
                </c:pt>
                <c:pt idx="632">
                  <c:v>46409</c:v>
                </c:pt>
                <c:pt idx="633">
                  <c:v>46416</c:v>
                </c:pt>
                <c:pt idx="634">
                  <c:v>46423</c:v>
                </c:pt>
                <c:pt idx="635">
                  <c:v>46430</c:v>
                </c:pt>
                <c:pt idx="636">
                  <c:v>46437</c:v>
                </c:pt>
                <c:pt idx="637">
                  <c:v>46444</c:v>
                </c:pt>
                <c:pt idx="638">
                  <c:v>46451</c:v>
                </c:pt>
                <c:pt idx="639">
                  <c:v>46458</c:v>
                </c:pt>
                <c:pt idx="640">
                  <c:v>46465</c:v>
                </c:pt>
                <c:pt idx="641">
                  <c:v>46472</c:v>
                </c:pt>
                <c:pt idx="642">
                  <c:v>46479</c:v>
                </c:pt>
                <c:pt idx="643">
                  <c:v>46486</c:v>
                </c:pt>
                <c:pt idx="644">
                  <c:v>46493</c:v>
                </c:pt>
                <c:pt idx="645">
                  <c:v>46500</c:v>
                </c:pt>
                <c:pt idx="646">
                  <c:v>46507</c:v>
                </c:pt>
                <c:pt idx="647">
                  <c:v>46514</c:v>
                </c:pt>
                <c:pt idx="648">
                  <c:v>46521</c:v>
                </c:pt>
                <c:pt idx="649">
                  <c:v>46528</c:v>
                </c:pt>
                <c:pt idx="650">
                  <c:v>46535</c:v>
                </c:pt>
                <c:pt idx="651">
                  <c:v>46542</c:v>
                </c:pt>
                <c:pt idx="652">
                  <c:v>46549</c:v>
                </c:pt>
                <c:pt idx="653">
                  <c:v>46556</c:v>
                </c:pt>
                <c:pt idx="654">
                  <c:v>46563</c:v>
                </c:pt>
                <c:pt idx="655">
                  <c:v>46570</c:v>
                </c:pt>
                <c:pt idx="656">
                  <c:v>46577</c:v>
                </c:pt>
                <c:pt idx="657">
                  <c:v>46584</c:v>
                </c:pt>
                <c:pt idx="658">
                  <c:v>46591</c:v>
                </c:pt>
                <c:pt idx="659">
                  <c:v>46598</c:v>
                </c:pt>
                <c:pt idx="660">
                  <c:v>46605</c:v>
                </c:pt>
                <c:pt idx="661">
                  <c:v>46612</c:v>
                </c:pt>
                <c:pt idx="662">
                  <c:v>46619</c:v>
                </c:pt>
                <c:pt idx="663">
                  <c:v>46626</c:v>
                </c:pt>
                <c:pt idx="664">
                  <c:v>46633</c:v>
                </c:pt>
                <c:pt idx="665">
                  <c:v>46640</c:v>
                </c:pt>
                <c:pt idx="666">
                  <c:v>46647</c:v>
                </c:pt>
                <c:pt idx="667">
                  <c:v>46654</c:v>
                </c:pt>
                <c:pt idx="668">
                  <c:v>46661</c:v>
                </c:pt>
                <c:pt idx="669">
                  <c:v>46668</c:v>
                </c:pt>
                <c:pt idx="670">
                  <c:v>46675</c:v>
                </c:pt>
                <c:pt idx="671">
                  <c:v>46682</c:v>
                </c:pt>
                <c:pt idx="672">
                  <c:v>46689</c:v>
                </c:pt>
                <c:pt idx="673">
                  <c:v>46696</c:v>
                </c:pt>
                <c:pt idx="674">
                  <c:v>46703</c:v>
                </c:pt>
                <c:pt idx="675">
                  <c:v>46710</c:v>
                </c:pt>
                <c:pt idx="676">
                  <c:v>46717</c:v>
                </c:pt>
                <c:pt idx="677">
                  <c:v>46724</c:v>
                </c:pt>
                <c:pt idx="678">
                  <c:v>46731</c:v>
                </c:pt>
                <c:pt idx="679">
                  <c:v>46738</c:v>
                </c:pt>
                <c:pt idx="680">
                  <c:v>46745</c:v>
                </c:pt>
                <c:pt idx="681">
                  <c:v>46752</c:v>
                </c:pt>
                <c:pt idx="682">
                  <c:v>46759</c:v>
                </c:pt>
                <c:pt idx="683">
                  <c:v>46766</c:v>
                </c:pt>
                <c:pt idx="684">
                  <c:v>46773</c:v>
                </c:pt>
                <c:pt idx="685">
                  <c:v>46780</c:v>
                </c:pt>
                <c:pt idx="686">
                  <c:v>46787</c:v>
                </c:pt>
                <c:pt idx="687">
                  <c:v>46794</c:v>
                </c:pt>
                <c:pt idx="688">
                  <c:v>46801</c:v>
                </c:pt>
                <c:pt idx="689">
                  <c:v>46808</c:v>
                </c:pt>
                <c:pt idx="690">
                  <c:v>46815</c:v>
                </c:pt>
                <c:pt idx="691">
                  <c:v>46822</c:v>
                </c:pt>
                <c:pt idx="692">
                  <c:v>46829</c:v>
                </c:pt>
                <c:pt idx="693">
                  <c:v>46836</c:v>
                </c:pt>
                <c:pt idx="694">
                  <c:v>46843</c:v>
                </c:pt>
                <c:pt idx="695">
                  <c:v>46850</c:v>
                </c:pt>
                <c:pt idx="696">
                  <c:v>46857</c:v>
                </c:pt>
                <c:pt idx="697">
                  <c:v>46864</c:v>
                </c:pt>
                <c:pt idx="698">
                  <c:v>46871</c:v>
                </c:pt>
                <c:pt idx="699">
                  <c:v>46878</c:v>
                </c:pt>
                <c:pt idx="700">
                  <c:v>46885</c:v>
                </c:pt>
                <c:pt idx="701">
                  <c:v>46892</c:v>
                </c:pt>
                <c:pt idx="702">
                  <c:v>46899</c:v>
                </c:pt>
                <c:pt idx="703">
                  <c:v>46906</c:v>
                </c:pt>
                <c:pt idx="704">
                  <c:v>46913</c:v>
                </c:pt>
                <c:pt idx="705">
                  <c:v>46920</c:v>
                </c:pt>
                <c:pt idx="706">
                  <c:v>46927</c:v>
                </c:pt>
                <c:pt idx="707">
                  <c:v>46934</c:v>
                </c:pt>
                <c:pt idx="708">
                  <c:v>46941</c:v>
                </c:pt>
                <c:pt idx="709">
                  <c:v>46948</c:v>
                </c:pt>
                <c:pt idx="710">
                  <c:v>46955</c:v>
                </c:pt>
                <c:pt idx="711">
                  <c:v>46962</c:v>
                </c:pt>
                <c:pt idx="712">
                  <c:v>46969</c:v>
                </c:pt>
                <c:pt idx="713">
                  <c:v>46976</c:v>
                </c:pt>
                <c:pt idx="714">
                  <c:v>46983</c:v>
                </c:pt>
                <c:pt idx="715">
                  <c:v>46990</c:v>
                </c:pt>
                <c:pt idx="716">
                  <c:v>46997</c:v>
                </c:pt>
                <c:pt idx="717">
                  <c:v>47004</c:v>
                </c:pt>
                <c:pt idx="718">
                  <c:v>47011</c:v>
                </c:pt>
                <c:pt idx="719">
                  <c:v>47018</c:v>
                </c:pt>
                <c:pt idx="720">
                  <c:v>47025</c:v>
                </c:pt>
                <c:pt idx="721">
                  <c:v>47032</c:v>
                </c:pt>
                <c:pt idx="722">
                  <c:v>47039</c:v>
                </c:pt>
                <c:pt idx="723">
                  <c:v>47046</c:v>
                </c:pt>
                <c:pt idx="724">
                  <c:v>47053</c:v>
                </c:pt>
                <c:pt idx="725">
                  <c:v>47060</c:v>
                </c:pt>
                <c:pt idx="726">
                  <c:v>47067</c:v>
                </c:pt>
                <c:pt idx="727">
                  <c:v>47074</c:v>
                </c:pt>
                <c:pt idx="728">
                  <c:v>47081</c:v>
                </c:pt>
                <c:pt idx="729">
                  <c:v>47088</c:v>
                </c:pt>
                <c:pt idx="730">
                  <c:v>47095</c:v>
                </c:pt>
                <c:pt idx="731">
                  <c:v>47102</c:v>
                </c:pt>
                <c:pt idx="732">
                  <c:v>47109</c:v>
                </c:pt>
                <c:pt idx="733">
                  <c:v>47116</c:v>
                </c:pt>
                <c:pt idx="734">
                  <c:v>47123</c:v>
                </c:pt>
                <c:pt idx="735">
                  <c:v>47130</c:v>
                </c:pt>
                <c:pt idx="736">
                  <c:v>47137</c:v>
                </c:pt>
                <c:pt idx="737">
                  <c:v>47144</c:v>
                </c:pt>
                <c:pt idx="738">
                  <c:v>47151</c:v>
                </c:pt>
                <c:pt idx="739">
                  <c:v>47158</c:v>
                </c:pt>
                <c:pt idx="740">
                  <c:v>47165</c:v>
                </c:pt>
                <c:pt idx="741">
                  <c:v>47172</c:v>
                </c:pt>
                <c:pt idx="742">
                  <c:v>47179</c:v>
                </c:pt>
                <c:pt idx="743">
                  <c:v>47186</c:v>
                </c:pt>
                <c:pt idx="744">
                  <c:v>47193</c:v>
                </c:pt>
                <c:pt idx="745">
                  <c:v>47200</c:v>
                </c:pt>
                <c:pt idx="746">
                  <c:v>47207</c:v>
                </c:pt>
                <c:pt idx="747">
                  <c:v>47214</c:v>
                </c:pt>
                <c:pt idx="748">
                  <c:v>47221</c:v>
                </c:pt>
                <c:pt idx="749">
                  <c:v>47228</c:v>
                </c:pt>
                <c:pt idx="750">
                  <c:v>47235</c:v>
                </c:pt>
                <c:pt idx="751">
                  <c:v>47242</c:v>
                </c:pt>
                <c:pt idx="752">
                  <c:v>47249</c:v>
                </c:pt>
                <c:pt idx="753">
                  <c:v>47256</c:v>
                </c:pt>
                <c:pt idx="754">
                  <c:v>47263</c:v>
                </c:pt>
                <c:pt idx="755">
                  <c:v>47270</c:v>
                </c:pt>
                <c:pt idx="756">
                  <c:v>47277</c:v>
                </c:pt>
                <c:pt idx="757">
                  <c:v>47284</c:v>
                </c:pt>
                <c:pt idx="758">
                  <c:v>47291</c:v>
                </c:pt>
                <c:pt idx="759">
                  <c:v>47298</c:v>
                </c:pt>
                <c:pt idx="760">
                  <c:v>47305</c:v>
                </c:pt>
                <c:pt idx="761">
                  <c:v>47312</c:v>
                </c:pt>
                <c:pt idx="762">
                  <c:v>47319</c:v>
                </c:pt>
                <c:pt idx="763">
                  <c:v>47326</c:v>
                </c:pt>
                <c:pt idx="764">
                  <c:v>47333</c:v>
                </c:pt>
                <c:pt idx="765">
                  <c:v>47340</c:v>
                </c:pt>
                <c:pt idx="766">
                  <c:v>47347</c:v>
                </c:pt>
                <c:pt idx="767">
                  <c:v>47354</c:v>
                </c:pt>
                <c:pt idx="768">
                  <c:v>47361</c:v>
                </c:pt>
                <c:pt idx="769">
                  <c:v>47368</c:v>
                </c:pt>
                <c:pt idx="770">
                  <c:v>47375</c:v>
                </c:pt>
                <c:pt idx="771">
                  <c:v>47382</c:v>
                </c:pt>
                <c:pt idx="772">
                  <c:v>47389</c:v>
                </c:pt>
                <c:pt idx="773">
                  <c:v>47396</c:v>
                </c:pt>
                <c:pt idx="774">
                  <c:v>47403</c:v>
                </c:pt>
                <c:pt idx="775">
                  <c:v>47410</c:v>
                </c:pt>
                <c:pt idx="776">
                  <c:v>47417</c:v>
                </c:pt>
                <c:pt idx="777">
                  <c:v>47424</c:v>
                </c:pt>
                <c:pt idx="778">
                  <c:v>47431</c:v>
                </c:pt>
                <c:pt idx="779">
                  <c:v>47438</c:v>
                </c:pt>
                <c:pt idx="780">
                  <c:v>47445</c:v>
                </c:pt>
                <c:pt idx="781">
                  <c:v>47452</c:v>
                </c:pt>
                <c:pt idx="782">
                  <c:v>47459</c:v>
                </c:pt>
                <c:pt idx="783">
                  <c:v>47466</c:v>
                </c:pt>
                <c:pt idx="784">
                  <c:v>47473</c:v>
                </c:pt>
                <c:pt idx="785">
                  <c:v>47480</c:v>
                </c:pt>
                <c:pt idx="786">
                  <c:v>47487</c:v>
                </c:pt>
                <c:pt idx="787">
                  <c:v>47494</c:v>
                </c:pt>
                <c:pt idx="788">
                  <c:v>47501</c:v>
                </c:pt>
                <c:pt idx="789">
                  <c:v>47508</c:v>
                </c:pt>
                <c:pt idx="790">
                  <c:v>47515</c:v>
                </c:pt>
                <c:pt idx="791">
                  <c:v>47522</c:v>
                </c:pt>
                <c:pt idx="792">
                  <c:v>47529</c:v>
                </c:pt>
                <c:pt idx="793">
                  <c:v>47536</c:v>
                </c:pt>
                <c:pt idx="794">
                  <c:v>47543</c:v>
                </c:pt>
                <c:pt idx="795">
                  <c:v>47550</c:v>
                </c:pt>
                <c:pt idx="796">
                  <c:v>47557</c:v>
                </c:pt>
                <c:pt idx="797">
                  <c:v>47564</c:v>
                </c:pt>
                <c:pt idx="798">
                  <c:v>47571</c:v>
                </c:pt>
                <c:pt idx="799">
                  <c:v>47578</c:v>
                </c:pt>
                <c:pt idx="800">
                  <c:v>47585</c:v>
                </c:pt>
                <c:pt idx="801">
                  <c:v>47592</c:v>
                </c:pt>
                <c:pt idx="802">
                  <c:v>47599</c:v>
                </c:pt>
                <c:pt idx="803">
                  <c:v>47606</c:v>
                </c:pt>
                <c:pt idx="804">
                  <c:v>47613</c:v>
                </c:pt>
                <c:pt idx="805">
                  <c:v>47620</c:v>
                </c:pt>
                <c:pt idx="806">
                  <c:v>47627</c:v>
                </c:pt>
                <c:pt idx="807">
                  <c:v>47634</c:v>
                </c:pt>
                <c:pt idx="808">
                  <c:v>47641</c:v>
                </c:pt>
                <c:pt idx="809">
                  <c:v>47648</c:v>
                </c:pt>
                <c:pt idx="810">
                  <c:v>47655</c:v>
                </c:pt>
                <c:pt idx="811">
                  <c:v>47662</c:v>
                </c:pt>
                <c:pt idx="812">
                  <c:v>47669</c:v>
                </c:pt>
                <c:pt idx="813">
                  <c:v>47676</c:v>
                </c:pt>
                <c:pt idx="814">
                  <c:v>47683</c:v>
                </c:pt>
                <c:pt idx="815">
                  <c:v>47690</c:v>
                </c:pt>
                <c:pt idx="816">
                  <c:v>47697</c:v>
                </c:pt>
                <c:pt idx="817">
                  <c:v>47704</c:v>
                </c:pt>
                <c:pt idx="818">
                  <c:v>47711</c:v>
                </c:pt>
                <c:pt idx="819">
                  <c:v>47718</c:v>
                </c:pt>
                <c:pt idx="820">
                  <c:v>47725</c:v>
                </c:pt>
                <c:pt idx="821">
                  <c:v>47732</c:v>
                </c:pt>
                <c:pt idx="822">
                  <c:v>47739</c:v>
                </c:pt>
                <c:pt idx="823">
                  <c:v>47746</c:v>
                </c:pt>
                <c:pt idx="824">
                  <c:v>47753</c:v>
                </c:pt>
                <c:pt idx="825">
                  <c:v>47760</c:v>
                </c:pt>
                <c:pt idx="826">
                  <c:v>47767</c:v>
                </c:pt>
                <c:pt idx="827">
                  <c:v>47774</c:v>
                </c:pt>
                <c:pt idx="828">
                  <c:v>47781</c:v>
                </c:pt>
                <c:pt idx="829">
                  <c:v>47788</c:v>
                </c:pt>
                <c:pt idx="830">
                  <c:v>47795</c:v>
                </c:pt>
                <c:pt idx="831">
                  <c:v>47802</c:v>
                </c:pt>
                <c:pt idx="832">
                  <c:v>47809</c:v>
                </c:pt>
                <c:pt idx="833">
                  <c:v>47816</c:v>
                </c:pt>
                <c:pt idx="834">
                  <c:v>47823</c:v>
                </c:pt>
                <c:pt idx="835">
                  <c:v>47830</c:v>
                </c:pt>
                <c:pt idx="836">
                  <c:v>47837</c:v>
                </c:pt>
                <c:pt idx="837">
                  <c:v>47844</c:v>
                </c:pt>
                <c:pt idx="838">
                  <c:v>47851</c:v>
                </c:pt>
                <c:pt idx="839">
                  <c:v>47858</c:v>
                </c:pt>
                <c:pt idx="840">
                  <c:v>47865</c:v>
                </c:pt>
                <c:pt idx="841">
                  <c:v>47872</c:v>
                </c:pt>
                <c:pt idx="842">
                  <c:v>47879</c:v>
                </c:pt>
                <c:pt idx="843">
                  <c:v>47886</c:v>
                </c:pt>
                <c:pt idx="844">
                  <c:v>47893</c:v>
                </c:pt>
                <c:pt idx="845">
                  <c:v>47900</c:v>
                </c:pt>
                <c:pt idx="846">
                  <c:v>47907</c:v>
                </c:pt>
                <c:pt idx="847">
                  <c:v>47914</c:v>
                </c:pt>
                <c:pt idx="848">
                  <c:v>47921</c:v>
                </c:pt>
                <c:pt idx="849">
                  <c:v>47928</c:v>
                </c:pt>
                <c:pt idx="850">
                  <c:v>47935</c:v>
                </c:pt>
                <c:pt idx="851">
                  <c:v>47942</c:v>
                </c:pt>
                <c:pt idx="852">
                  <c:v>47949</c:v>
                </c:pt>
                <c:pt idx="853">
                  <c:v>47956</c:v>
                </c:pt>
                <c:pt idx="854">
                  <c:v>47963</c:v>
                </c:pt>
                <c:pt idx="855">
                  <c:v>47970</c:v>
                </c:pt>
                <c:pt idx="856">
                  <c:v>47977</c:v>
                </c:pt>
                <c:pt idx="857">
                  <c:v>47984</c:v>
                </c:pt>
                <c:pt idx="858">
                  <c:v>47991</c:v>
                </c:pt>
                <c:pt idx="859">
                  <c:v>47998</c:v>
                </c:pt>
                <c:pt idx="860">
                  <c:v>48005</c:v>
                </c:pt>
                <c:pt idx="861">
                  <c:v>48012</c:v>
                </c:pt>
                <c:pt idx="862">
                  <c:v>48019</c:v>
                </c:pt>
                <c:pt idx="863">
                  <c:v>48026</c:v>
                </c:pt>
                <c:pt idx="864">
                  <c:v>48033</c:v>
                </c:pt>
                <c:pt idx="865">
                  <c:v>48040</c:v>
                </c:pt>
                <c:pt idx="866">
                  <c:v>48047</c:v>
                </c:pt>
                <c:pt idx="867">
                  <c:v>48054</c:v>
                </c:pt>
                <c:pt idx="868">
                  <c:v>48061</c:v>
                </c:pt>
                <c:pt idx="869">
                  <c:v>48068</c:v>
                </c:pt>
                <c:pt idx="870">
                  <c:v>48075</c:v>
                </c:pt>
                <c:pt idx="871">
                  <c:v>48082</c:v>
                </c:pt>
                <c:pt idx="872">
                  <c:v>48089</c:v>
                </c:pt>
                <c:pt idx="873">
                  <c:v>48096</c:v>
                </c:pt>
                <c:pt idx="874">
                  <c:v>48103</c:v>
                </c:pt>
                <c:pt idx="875">
                  <c:v>48110</c:v>
                </c:pt>
                <c:pt idx="876">
                  <c:v>48117</c:v>
                </c:pt>
                <c:pt idx="877">
                  <c:v>48124</c:v>
                </c:pt>
                <c:pt idx="878">
                  <c:v>48131</c:v>
                </c:pt>
                <c:pt idx="879">
                  <c:v>48138</c:v>
                </c:pt>
                <c:pt idx="880">
                  <c:v>48145</c:v>
                </c:pt>
                <c:pt idx="881">
                  <c:v>48152</c:v>
                </c:pt>
                <c:pt idx="882">
                  <c:v>48159</c:v>
                </c:pt>
                <c:pt idx="883">
                  <c:v>48166</c:v>
                </c:pt>
                <c:pt idx="884">
                  <c:v>48173</c:v>
                </c:pt>
                <c:pt idx="885">
                  <c:v>48180</c:v>
                </c:pt>
                <c:pt idx="886">
                  <c:v>48187</c:v>
                </c:pt>
                <c:pt idx="887">
                  <c:v>48194</c:v>
                </c:pt>
                <c:pt idx="888">
                  <c:v>48201</c:v>
                </c:pt>
                <c:pt idx="889">
                  <c:v>48208</c:v>
                </c:pt>
                <c:pt idx="890">
                  <c:v>48215</c:v>
                </c:pt>
                <c:pt idx="891">
                  <c:v>48222</c:v>
                </c:pt>
                <c:pt idx="892">
                  <c:v>48229</c:v>
                </c:pt>
                <c:pt idx="893">
                  <c:v>48236</c:v>
                </c:pt>
                <c:pt idx="894">
                  <c:v>48243</c:v>
                </c:pt>
                <c:pt idx="895">
                  <c:v>48250</c:v>
                </c:pt>
                <c:pt idx="896">
                  <c:v>48257</c:v>
                </c:pt>
                <c:pt idx="897">
                  <c:v>48264</c:v>
                </c:pt>
                <c:pt idx="898">
                  <c:v>48271</c:v>
                </c:pt>
                <c:pt idx="899">
                  <c:v>48278</c:v>
                </c:pt>
                <c:pt idx="900">
                  <c:v>48285</c:v>
                </c:pt>
                <c:pt idx="901">
                  <c:v>48292</c:v>
                </c:pt>
                <c:pt idx="902">
                  <c:v>48299</c:v>
                </c:pt>
                <c:pt idx="903">
                  <c:v>48306</c:v>
                </c:pt>
                <c:pt idx="904">
                  <c:v>48313</c:v>
                </c:pt>
                <c:pt idx="905">
                  <c:v>48320</c:v>
                </c:pt>
                <c:pt idx="906">
                  <c:v>48327</c:v>
                </c:pt>
                <c:pt idx="907">
                  <c:v>48334</c:v>
                </c:pt>
                <c:pt idx="908">
                  <c:v>48341</c:v>
                </c:pt>
                <c:pt idx="909">
                  <c:v>48348</c:v>
                </c:pt>
                <c:pt idx="910">
                  <c:v>48355</c:v>
                </c:pt>
                <c:pt idx="911">
                  <c:v>48362</c:v>
                </c:pt>
                <c:pt idx="912">
                  <c:v>48369</c:v>
                </c:pt>
                <c:pt idx="913">
                  <c:v>48376</c:v>
                </c:pt>
                <c:pt idx="914">
                  <c:v>48383</c:v>
                </c:pt>
                <c:pt idx="915">
                  <c:v>48390</c:v>
                </c:pt>
                <c:pt idx="916">
                  <c:v>48397</c:v>
                </c:pt>
                <c:pt idx="917">
                  <c:v>48404</c:v>
                </c:pt>
                <c:pt idx="918">
                  <c:v>48411</c:v>
                </c:pt>
                <c:pt idx="919">
                  <c:v>48418</c:v>
                </c:pt>
                <c:pt idx="920">
                  <c:v>48425</c:v>
                </c:pt>
                <c:pt idx="921">
                  <c:v>48432</c:v>
                </c:pt>
                <c:pt idx="922">
                  <c:v>48439</c:v>
                </c:pt>
                <c:pt idx="923">
                  <c:v>48446</c:v>
                </c:pt>
                <c:pt idx="924">
                  <c:v>48453</c:v>
                </c:pt>
                <c:pt idx="925">
                  <c:v>48460</c:v>
                </c:pt>
                <c:pt idx="926">
                  <c:v>48467</c:v>
                </c:pt>
                <c:pt idx="927">
                  <c:v>48474</c:v>
                </c:pt>
                <c:pt idx="928">
                  <c:v>48481</c:v>
                </c:pt>
                <c:pt idx="929">
                  <c:v>48488</c:v>
                </c:pt>
                <c:pt idx="930">
                  <c:v>48495</c:v>
                </c:pt>
                <c:pt idx="931">
                  <c:v>48502</c:v>
                </c:pt>
                <c:pt idx="932">
                  <c:v>48509</c:v>
                </c:pt>
                <c:pt idx="933">
                  <c:v>48516</c:v>
                </c:pt>
                <c:pt idx="934">
                  <c:v>48523</c:v>
                </c:pt>
                <c:pt idx="935">
                  <c:v>48530</c:v>
                </c:pt>
                <c:pt idx="936">
                  <c:v>48537</c:v>
                </c:pt>
                <c:pt idx="937">
                  <c:v>48544</c:v>
                </c:pt>
                <c:pt idx="938">
                  <c:v>48551</c:v>
                </c:pt>
                <c:pt idx="939">
                  <c:v>48558</c:v>
                </c:pt>
                <c:pt idx="940">
                  <c:v>48565</c:v>
                </c:pt>
                <c:pt idx="941">
                  <c:v>48572</c:v>
                </c:pt>
                <c:pt idx="942">
                  <c:v>48579</c:v>
                </c:pt>
                <c:pt idx="943">
                  <c:v>48586</c:v>
                </c:pt>
                <c:pt idx="944">
                  <c:v>48593</c:v>
                </c:pt>
                <c:pt idx="945">
                  <c:v>48600</c:v>
                </c:pt>
                <c:pt idx="946">
                  <c:v>48607</c:v>
                </c:pt>
                <c:pt idx="947">
                  <c:v>48614</c:v>
                </c:pt>
                <c:pt idx="948">
                  <c:v>48621</c:v>
                </c:pt>
                <c:pt idx="949">
                  <c:v>48628</c:v>
                </c:pt>
                <c:pt idx="950">
                  <c:v>48635</c:v>
                </c:pt>
                <c:pt idx="951">
                  <c:v>48642</c:v>
                </c:pt>
                <c:pt idx="952">
                  <c:v>48649</c:v>
                </c:pt>
                <c:pt idx="953">
                  <c:v>48656</c:v>
                </c:pt>
                <c:pt idx="954">
                  <c:v>48663</c:v>
                </c:pt>
                <c:pt idx="955">
                  <c:v>48670</c:v>
                </c:pt>
                <c:pt idx="956">
                  <c:v>48677</c:v>
                </c:pt>
                <c:pt idx="957">
                  <c:v>48684</c:v>
                </c:pt>
                <c:pt idx="958">
                  <c:v>48691</c:v>
                </c:pt>
                <c:pt idx="959">
                  <c:v>48698</c:v>
                </c:pt>
                <c:pt idx="960">
                  <c:v>48705</c:v>
                </c:pt>
                <c:pt idx="961">
                  <c:v>48712</c:v>
                </c:pt>
                <c:pt idx="962">
                  <c:v>48719</c:v>
                </c:pt>
                <c:pt idx="963">
                  <c:v>48726</c:v>
                </c:pt>
                <c:pt idx="964">
                  <c:v>48733</c:v>
                </c:pt>
                <c:pt idx="965">
                  <c:v>48740</c:v>
                </c:pt>
                <c:pt idx="966">
                  <c:v>48747</c:v>
                </c:pt>
                <c:pt idx="967">
                  <c:v>48754</c:v>
                </c:pt>
                <c:pt idx="968">
                  <c:v>48761</c:v>
                </c:pt>
                <c:pt idx="969">
                  <c:v>48768</c:v>
                </c:pt>
                <c:pt idx="970">
                  <c:v>48775</c:v>
                </c:pt>
                <c:pt idx="971">
                  <c:v>48782</c:v>
                </c:pt>
                <c:pt idx="972">
                  <c:v>48789</c:v>
                </c:pt>
                <c:pt idx="973">
                  <c:v>48796</c:v>
                </c:pt>
                <c:pt idx="974">
                  <c:v>48803</c:v>
                </c:pt>
                <c:pt idx="975">
                  <c:v>48810</c:v>
                </c:pt>
                <c:pt idx="976">
                  <c:v>48817</c:v>
                </c:pt>
                <c:pt idx="977">
                  <c:v>48824</c:v>
                </c:pt>
                <c:pt idx="978">
                  <c:v>48831</c:v>
                </c:pt>
                <c:pt idx="979">
                  <c:v>48838</c:v>
                </c:pt>
                <c:pt idx="980">
                  <c:v>48845</c:v>
                </c:pt>
                <c:pt idx="981">
                  <c:v>48852</c:v>
                </c:pt>
                <c:pt idx="982">
                  <c:v>48859</c:v>
                </c:pt>
                <c:pt idx="983">
                  <c:v>48866</c:v>
                </c:pt>
                <c:pt idx="984">
                  <c:v>48873</c:v>
                </c:pt>
                <c:pt idx="985">
                  <c:v>48880</c:v>
                </c:pt>
                <c:pt idx="986">
                  <c:v>48887</c:v>
                </c:pt>
                <c:pt idx="987">
                  <c:v>48894</c:v>
                </c:pt>
                <c:pt idx="988">
                  <c:v>48901</c:v>
                </c:pt>
                <c:pt idx="989">
                  <c:v>48908</c:v>
                </c:pt>
                <c:pt idx="990">
                  <c:v>48915</c:v>
                </c:pt>
                <c:pt idx="991">
                  <c:v>48922</c:v>
                </c:pt>
                <c:pt idx="992">
                  <c:v>48929</c:v>
                </c:pt>
                <c:pt idx="993">
                  <c:v>48936</c:v>
                </c:pt>
                <c:pt idx="994">
                  <c:v>48943</c:v>
                </c:pt>
                <c:pt idx="995">
                  <c:v>48950</c:v>
                </c:pt>
                <c:pt idx="996">
                  <c:v>48957</c:v>
                </c:pt>
                <c:pt idx="997">
                  <c:v>48964</c:v>
                </c:pt>
                <c:pt idx="998">
                  <c:v>48971</c:v>
                </c:pt>
                <c:pt idx="999">
                  <c:v>48978</c:v>
                </c:pt>
                <c:pt idx="1000">
                  <c:v>48985</c:v>
                </c:pt>
                <c:pt idx="1001">
                  <c:v>48992</c:v>
                </c:pt>
                <c:pt idx="1002">
                  <c:v>48999</c:v>
                </c:pt>
                <c:pt idx="1003">
                  <c:v>49006</c:v>
                </c:pt>
                <c:pt idx="1004">
                  <c:v>49013</c:v>
                </c:pt>
                <c:pt idx="1005">
                  <c:v>49020</c:v>
                </c:pt>
                <c:pt idx="1006">
                  <c:v>49027</c:v>
                </c:pt>
                <c:pt idx="1007">
                  <c:v>49034</c:v>
                </c:pt>
                <c:pt idx="1008">
                  <c:v>49041</c:v>
                </c:pt>
                <c:pt idx="1009">
                  <c:v>49048</c:v>
                </c:pt>
                <c:pt idx="1010">
                  <c:v>49055</c:v>
                </c:pt>
                <c:pt idx="1011">
                  <c:v>49062</c:v>
                </c:pt>
                <c:pt idx="1012">
                  <c:v>49069</c:v>
                </c:pt>
                <c:pt idx="1013">
                  <c:v>49076</c:v>
                </c:pt>
                <c:pt idx="1014">
                  <c:v>49083</c:v>
                </c:pt>
                <c:pt idx="1015">
                  <c:v>49090</c:v>
                </c:pt>
                <c:pt idx="1016">
                  <c:v>49097</c:v>
                </c:pt>
                <c:pt idx="1017">
                  <c:v>49104</c:v>
                </c:pt>
                <c:pt idx="1018">
                  <c:v>49111</c:v>
                </c:pt>
                <c:pt idx="1019">
                  <c:v>49118</c:v>
                </c:pt>
                <c:pt idx="1020">
                  <c:v>49125</c:v>
                </c:pt>
                <c:pt idx="1021">
                  <c:v>49132</c:v>
                </c:pt>
                <c:pt idx="1022">
                  <c:v>49139</c:v>
                </c:pt>
                <c:pt idx="1023">
                  <c:v>49146</c:v>
                </c:pt>
                <c:pt idx="1024">
                  <c:v>49153</c:v>
                </c:pt>
                <c:pt idx="1025">
                  <c:v>49160</c:v>
                </c:pt>
                <c:pt idx="1026">
                  <c:v>49167</c:v>
                </c:pt>
                <c:pt idx="1027">
                  <c:v>49174</c:v>
                </c:pt>
                <c:pt idx="1028">
                  <c:v>49181</c:v>
                </c:pt>
                <c:pt idx="1029">
                  <c:v>49188</c:v>
                </c:pt>
                <c:pt idx="1030">
                  <c:v>49195</c:v>
                </c:pt>
                <c:pt idx="1031">
                  <c:v>49202</c:v>
                </c:pt>
                <c:pt idx="1032">
                  <c:v>49209</c:v>
                </c:pt>
                <c:pt idx="1033">
                  <c:v>49216</c:v>
                </c:pt>
                <c:pt idx="1034">
                  <c:v>49223</c:v>
                </c:pt>
                <c:pt idx="1035">
                  <c:v>49230</c:v>
                </c:pt>
                <c:pt idx="1036">
                  <c:v>49237</c:v>
                </c:pt>
                <c:pt idx="1037">
                  <c:v>49244</c:v>
                </c:pt>
                <c:pt idx="1038">
                  <c:v>49251</c:v>
                </c:pt>
                <c:pt idx="1039">
                  <c:v>49258</c:v>
                </c:pt>
                <c:pt idx="1040">
                  <c:v>49265</c:v>
                </c:pt>
                <c:pt idx="1041">
                  <c:v>49272</c:v>
                </c:pt>
                <c:pt idx="1042">
                  <c:v>49279</c:v>
                </c:pt>
                <c:pt idx="1043">
                  <c:v>49286</c:v>
                </c:pt>
                <c:pt idx="1044">
                  <c:v>49293</c:v>
                </c:pt>
                <c:pt idx="1045">
                  <c:v>49300</c:v>
                </c:pt>
                <c:pt idx="1046">
                  <c:v>49307</c:v>
                </c:pt>
                <c:pt idx="1047">
                  <c:v>49314</c:v>
                </c:pt>
                <c:pt idx="1048">
                  <c:v>49321</c:v>
                </c:pt>
                <c:pt idx="1049">
                  <c:v>49328</c:v>
                </c:pt>
                <c:pt idx="1050">
                  <c:v>49335</c:v>
                </c:pt>
                <c:pt idx="1051">
                  <c:v>49342</c:v>
                </c:pt>
                <c:pt idx="1052">
                  <c:v>49349</c:v>
                </c:pt>
                <c:pt idx="1053">
                  <c:v>49356</c:v>
                </c:pt>
                <c:pt idx="1054">
                  <c:v>49363</c:v>
                </c:pt>
                <c:pt idx="1055">
                  <c:v>49370</c:v>
                </c:pt>
                <c:pt idx="1056">
                  <c:v>49377</c:v>
                </c:pt>
                <c:pt idx="1057">
                  <c:v>49384</c:v>
                </c:pt>
                <c:pt idx="1058">
                  <c:v>49391</c:v>
                </c:pt>
                <c:pt idx="1059">
                  <c:v>49398</c:v>
                </c:pt>
                <c:pt idx="1060">
                  <c:v>49405</c:v>
                </c:pt>
                <c:pt idx="1061">
                  <c:v>49412</c:v>
                </c:pt>
                <c:pt idx="1062">
                  <c:v>49419</c:v>
                </c:pt>
                <c:pt idx="1063">
                  <c:v>49426</c:v>
                </c:pt>
                <c:pt idx="1064">
                  <c:v>49433</c:v>
                </c:pt>
                <c:pt idx="1065">
                  <c:v>49440</c:v>
                </c:pt>
                <c:pt idx="1066">
                  <c:v>49447</c:v>
                </c:pt>
                <c:pt idx="1067">
                  <c:v>49454</c:v>
                </c:pt>
                <c:pt idx="1068">
                  <c:v>49461</c:v>
                </c:pt>
                <c:pt idx="1069">
                  <c:v>49468</c:v>
                </c:pt>
                <c:pt idx="1070">
                  <c:v>49475</c:v>
                </c:pt>
                <c:pt idx="1071">
                  <c:v>49482</c:v>
                </c:pt>
                <c:pt idx="1072">
                  <c:v>49489</c:v>
                </c:pt>
                <c:pt idx="1073">
                  <c:v>49496</c:v>
                </c:pt>
                <c:pt idx="1074">
                  <c:v>49503</c:v>
                </c:pt>
                <c:pt idx="1075">
                  <c:v>49510</c:v>
                </c:pt>
                <c:pt idx="1076">
                  <c:v>49517</c:v>
                </c:pt>
                <c:pt idx="1077">
                  <c:v>49524</c:v>
                </c:pt>
                <c:pt idx="1078">
                  <c:v>49531</c:v>
                </c:pt>
                <c:pt idx="1079">
                  <c:v>49538</c:v>
                </c:pt>
                <c:pt idx="1080">
                  <c:v>49545</c:v>
                </c:pt>
                <c:pt idx="1081">
                  <c:v>49552</c:v>
                </c:pt>
                <c:pt idx="1082">
                  <c:v>49559</c:v>
                </c:pt>
                <c:pt idx="1083">
                  <c:v>49566</c:v>
                </c:pt>
                <c:pt idx="1084">
                  <c:v>49573</c:v>
                </c:pt>
                <c:pt idx="1085">
                  <c:v>49580</c:v>
                </c:pt>
                <c:pt idx="1086">
                  <c:v>49587</c:v>
                </c:pt>
                <c:pt idx="1087">
                  <c:v>49594</c:v>
                </c:pt>
                <c:pt idx="1088">
                  <c:v>49601</c:v>
                </c:pt>
                <c:pt idx="1089">
                  <c:v>49608</c:v>
                </c:pt>
                <c:pt idx="1090">
                  <c:v>49615</c:v>
                </c:pt>
                <c:pt idx="1091">
                  <c:v>49622</c:v>
                </c:pt>
                <c:pt idx="1092">
                  <c:v>49629</c:v>
                </c:pt>
                <c:pt idx="1093">
                  <c:v>49636</c:v>
                </c:pt>
                <c:pt idx="1094">
                  <c:v>49643</c:v>
                </c:pt>
                <c:pt idx="1095">
                  <c:v>49650</c:v>
                </c:pt>
                <c:pt idx="1096">
                  <c:v>49657</c:v>
                </c:pt>
                <c:pt idx="1097">
                  <c:v>49664</c:v>
                </c:pt>
                <c:pt idx="1098">
                  <c:v>49671</c:v>
                </c:pt>
                <c:pt idx="1099">
                  <c:v>49678</c:v>
                </c:pt>
                <c:pt idx="1100">
                  <c:v>49685</c:v>
                </c:pt>
                <c:pt idx="1101">
                  <c:v>49692</c:v>
                </c:pt>
                <c:pt idx="1102">
                  <c:v>49699</c:v>
                </c:pt>
                <c:pt idx="1103">
                  <c:v>49706</c:v>
                </c:pt>
                <c:pt idx="1104">
                  <c:v>49713</c:v>
                </c:pt>
                <c:pt idx="1105">
                  <c:v>49720</c:v>
                </c:pt>
                <c:pt idx="1106">
                  <c:v>49727</c:v>
                </c:pt>
                <c:pt idx="1107">
                  <c:v>49734</c:v>
                </c:pt>
                <c:pt idx="1108">
                  <c:v>49741</c:v>
                </c:pt>
                <c:pt idx="1109">
                  <c:v>49748</c:v>
                </c:pt>
                <c:pt idx="1110">
                  <c:v>49755</c:v>
                </c:pt>
                <c:pt idx="1111">
                  <c:v>49762</c:v>
                </c:pt>
                <c:pt idx="1112">
                  <c:v>49769</c:v>
                </c:pt>
                <c:pt idx="1113">
                  <c:v>49776</c:v>
                </c:pt>
                <c:pt idx="1114">
                  <c:v>49783</c:v>
                </c:pt>
                <c:pt idx="1115">
                  <c:v>49790</c:v>
                </c:pt>
                <c:pt idx="1116">
                  <c:v>49797</c:v>
                </c:pt>
                <c:pt idx="1117">
                  <c:v>49804</c:v>
                </c:pt>
                <c:pt idx="1118">
                  <c:v>49811</c:v>
                </c:pt>
                <c:pt idx="1119">
                  <c:v>49818</c:v>
                </c:pt>
                <c:pt idx="1120">
                  <c:v>49825</c:v>
                </c:pt>
                <c:pt idx="1121">
                  <c:v>49832</c:v>
                </c:pt>
                <c:pt idx="1122">
                  <c:v>49839</c:v>
                </c:pt>
                <c:pt idx="1123">
                  <c:v>49846</c:v>
                </c:pt>
                <c:pt idx="1124">
                  <c:v>49853</c:v>
                </c:pt>
                <c:pt idx="1125">
                  <c:v>49860</c:v>
                </c:pt>
                <c:pt idx="1126">
                  <c:v>49867</c:v>
                </c:pt>
                <c:pt idx="1127">
                  <c:v>49874</c:v>
                </c:pt>
                <c:pt idx="1128">
                  <c:v>49881</c:v>
                </c:pt>
                <c:pt idx="1129">
                  <c:v>49888</c:v>
                </c:pt>
                <c:pt idx="1130">
                  <c:v>49895</c:v>
                </c:pt>
                <c:pt idx="1131">
                  <c:v>49902</c:v>
                </c:pt>
                <c:pt idx="1132">
                  <c:v>49909</c:v>
                </c:pt>
                <c:pt idx="1133">
                  <c:v>49916</c:v>
                </c:pt>
                <c:pt idx="1134">
                  <c:v>49923</c:v>
                </c:pt>
                <c:pt idx="1135">
                  <c:v>49930</c:v>
                </c:pt>
                <c:pt idx="1136">
                  <c:v>49937</c:v>
                </c:pt>
                <c:pt idx="1137">
                  <c:v>49944</c:v>
                </c:pt>
                <c:pt idx="1138">
                  <c:v>49951</c:v>
                </c:pt>
                <c:pt idx="1139">
                  <c:v>49958</c:v>
                </c:pt>
                <c:pt idx="1140">
                  <c:v>49965</c:v>
                </c:pt>
                <c:pt idx="1141">
                  <c:v>49972</c:v>
                </c:pt>
                <c:pt idx="1142">
                  <c:v>49979</c:v>
                </c:pt>
                <c:pt idx="1143">
                  <c:v>49986</c:v>
                </c:pt>
                <c:pt idx="1144">
                  <c:v>49993</c:v>
                </c:pt>
                <c:pt idx="1145">
                  <c:v>50000</c:v>
                </c:pt>
                <c:pt idx="1146">
                  <c:v>50007</c:v>
                </c:pt>
                <c:pt idx="1147">
                  <c:v>50014</c:v>
                </c:pt>
                <c:pt idx="1148">
                  <c:v>50021</c:v>
                </c:pt>
                <c:pt idx="1149">
                  <c:v>50028</c:v>
                </c:pt>
                <c:pt idx="1150">
                  <c:v>50035</c:v>
                </c:pt>
                <c:pt idx="1151">
                  <c:v>50042</c:v>
                </c:pt>
                <c:pt idx="1152">
                  <c:v>50049</c:v>
                </c:pt>
                <c:pt idx="1153">
                  <c:v>50056</c:v>
                </c:pt>
                <c:pt idx="1154">
                  <c:v>50063</c:v>
                </c:pt>
                <c:pt idx="1155">
                  <c:v>50070</c:v>
                </c:pt>
                <c:pt idx="1156">
                  <c:v>50077</c:v>
                </c:pt>
                <c:pt idx="1157">
                  <c:v>50084</c:v>
                </c:pt>
                <c:pt idx="1158">
                  <c:v>50091</c:v>
                </c:pt>
                <c:pt idx="1159">
                  <c:v>50098</c:v>
                </c:pt>
                <c:pt idx="1160">
                  <c:v>50105</c:v>
                </c:pt>
                <c:pt idx="1161">
                  <c:v>50112</c:v>
                </c:pt>
                <c:pt idx="1162">
                  <c:v>50119</c:v>
                </c:pt>
                <c:pt idx="1163">
                  <c:v>50126</c:v>
                </c:pt>
                <c:pt idx="1164">
                  <c:v>50133</c:v>
                </c:pt>
                <c:pt idx="1165">
                  <c:v>50140</c:v>
                </c:pt>
                <c:pt idx="1166">
                  <c:v>50147</c:v>
                </c:pt>
                <c:pt idx="1167">
                  <c:v>50154</c:v>
                </c:pt>
                <c:pt idx="1168">
                  <c:v>50161</c:v>
                </c:pt>
                <c:pt idx="1169">
                  <c:v>50168</c:v>
                </c:pt>
                <c:pt idx="1170">
                  <c:v>50175</c:v>
                </c:pt>
                <c:pt idx="1171">
                  <c:v>50182</c:v>
                </c:pt>
                <c:pt idx="1172">
                  <c:v>50189</c:v>
                </c:pt>
                <c:pt idx="1173">
                  <c:v>50196</c:v>
                </c:pt>
                <c:pt idx="1174">
                  <c:v>50203</c:v>
                </c:pt>
                <c:pt idx="1175">
                  <c:v>50210</c:v>
                </c:pt>
                <c:pt idx="1176">
                  <c:v>50217</c:v>
                </c:pt>
                <c:pt idx="1177">
                  <c:v>50224</c:v>
                </c:pt>
                <c:pt idx="1178">
                  <c:v>50231</c:v>
                </c:pt>
                <c:pt idx="1179">
                  <c:v>50238</c:v>
                </c:pt>
                <c:pt idx="1180">
                  <c:v>50245</c:v>
                </c:pt>
                <c:pt idx="1181">
                  <c:v>50252</c:v>
                </c:pt>
                <c:pt idx="1182">
                  <c:v>50259</c:v>
                </c:pt>
                <c:pt idx="1183">
                  <c:v>50266</c:v>
                </c:pt>
                <c:pt idx="1184">
                  <c:v>50273</c:v>
                </c:pt>
                <c:pt idx="1185">
                  <c:v>50280</c:v>
                </c:pt>
                <c:pt idx="1186">
                  <c:v>50287</c:v>
                </c:pt>
                <c:pt idx="1187">
                  <c:v>50294</c:v>
                </c:pt>
                <c:pt idx="1188">
                  <c:v>50301</c:v>
                </c:pt>
                <c:pt idx="1189">
                  <c:v>50308</c:v>
                </c:pt>
                <c:pt idx="1190">
                  <c:v>50315</c:v>
                </c:pt>
                <c:pt idx="1191">
                  <c:v>50322</c:v>
                </c:pt>
                <c:pt idx="1192">
                  <c:v>50329</c:v>
                </c:pt>
                <c:pt idx="1193">
                  <c:v>50336</c:v>
                </c:pt>
                <c:pt idx="1194">
                  <c:v>50343</c:v>
                </c:pt>
                <c:pt idx="1195">
                  <c:v>50350</c:v>
                </c:pt>
                <c:pt idx="1196">
                  <c:v>50357</c:v>
                </c:pt>
                <c:pt idx="1197">
                  <c:v>50364</c:v>
                </c:pt>
                <c:pt idx="1198">
                  <c:v>50371</c:v>
                </c:pt>
                <c:pt idx="1199">
                  <c:v>50378</c:v>
                </c:pt>
                <c:pt idx="1200">
                  <c:v>50385</c:v>
                </c:pt>
                <c:pt idx="1201">
                  <c:v>50392</c:v>
                </c:pt>
                <c:pt idx="1202">
                  <c:v>50399</c:v>
                </c:pt>
                <c:pt idx="1203">
                  <c:v>50406</c:v>
                </c:pt>
                <c:pt idx="1204">
                  <c:v>50413</c:v>
                </c:pt>
                <c:pt idx="1205">
                  <c:v>50420</c:v>
                </c:pt>
                <c:pt idx="1206">
                  <c:v>50427</c:v>
                </c:pt>
                <c:pt idx="1207">
                  <c:v>50434</c:v>
                </c:pt>
                <c:pt idx="1208">
                  <c:v>50441</c:v>
                </c:pt>
                <c:pt idx="1209">
                  <c:v>50448</c:v>
                </c:pt>
                <c:pt idx="1210">
                  <c:v>50455</c:v>
                </c:pt>
                <c:pt idx="1211">
                  <c:v>50462</c:v>
                </c:pt>
                <c:pt idx="1212">
                  <c:v>50469</c:v>
                </c:pt>
                <c:pt idx="1213">
                  <c:v>50476</c:v>
                </c:pt>
                <c:pt idx="1214">
                  <c:v>50483</c:v>
                </c:pt>
                <c:pt idx="1215">
                  <c:v>50490</c:v>
                </c:pt>
                <c:pt idx="1216">
                  <c:v>50497</c:v>
                </c:pt>
                <c:pt idx="1217">
                  <c:v>50504</c:v>
                </c:pt>
                <c:pt idx="1218">
                  <c:v>50511</c:v>
                </c:pt>
                <c:pt idx="1219">
                  <c:v>50518</c:v>
                </c:pt>
                <c:pt idx="1220">
                  <c:v>50525</c:v>
                </c:pt>
                <c:pt idx="1221">
                  <c:v>50532</c:v>
                </c:pt>
                <c:pt idx="1222">
                  <c:v>50539</c:v>
                </c:pt>
                <c:pt idx="1223">
                  <c:v>50546</c:v>
                </c:pt>
                <c:pt idx="1224">
                  <c:v>50553</c:v>
                </c:pt>
                <c:pt idx="1225">
                  <c:v>50560</c:v>
                </c:pt>
                <c:pt idx="1226">
                  <c:v>50567</c:v>
                </c:pt>
                <c:pt idx="1227">
                  <c:v>50574</c:v>
                </c:pt>
                <c:pt idx="1228">
                  <c:v>50581</c:v>
                </c:pt>
                <c:pt idx="1229">
                  <c:v>50588</c:v>
                </c:pt>
                <c:pt idx="1230">
                  <c:v>50595</c:v>
                </c:pt>
                <c:pt idx="1231">
                  <c:v>50602</c:v>
                </c:pt>
                <c:pt idx="1232">
                  <c:v>50609</c:v>
                </c:pt>
                <c:pt idx="1233">
                  <c:v>50616</c:v>
                </c:pt>
                <c:pt idx="1234">
                  <c:v>50623</c:v>
                </c:pt>
                <c:pt idx="1235">
                  <c:v>50630</c:v>
                </c:pt>
                <c:pt idx="1236">
                  <c:v>50637</c:v>
                </c:pt>
                <c:pt idx="1237">
                  <c:v>50644</c:v>
                </c:pt>
                <c:pt idx="1238">
                  <c:v>50651</c:v>
                </c:pt>
                <c:pt idx="1239">
                  <c:v>50658</c:v>
                </c:pt>
                <c:pt idx="1240">
                  <c:v>50665</c:v>
                </c:pt>
                <c:pt idx="1241">
                  <c:v>50672</c:v>
                </c:pt>
                <c:pt idx="1242">
                  <c:v>50679</c:v>
                </c:pt>
                <c:pt idx="1243">
                  <c:v>50686</c:v>
                </c:pt>
                <c:pt idx="1244">
                  <c:v>50693</c:v>
                </c:pt>
                <c:pt idx="1245">
                  <c:v>50700</c:v>
                </c:pt>
                <c:pt idx="1246">
                  <c:v>50707</c:v>
                </c:pt>
                <c:pt idx="1247">
                  <c:v>50714</c:v>
                </c:pt>
                <c:pt idx="1248">
                  <c:v>50721</c:v>
                </c:pt>
                <c:pt idx="1249">
                  <c:v>50728</c:v>
                </c:pt>
                <c:pt idx="1250">
                  <c:v>50735</c:v>
                </c:pt>
                <c:pt idx="1251">
                  <c:v>50742</c:v>
                </c:pt>
                <c:pt idx="1252">
                  <c:v>50749</c:v>
                </c:pt>
                <c:pt idx="1253">
                  <c:v>50756</c:v>
                </c:pt>
                <c:pt idx="1254">
                  <c:v>50763</c:v>
                </c:pt>
                <c:pt idx="1255">
                  <c:v>50770</c:v>
                </c:pt>
                <c:pt idx="1256">
                  <c:v>50777</c:v>
                </c:pt>
                <c:pt idx="1257">
                  <c:v>50784</c:v>
                </c:pt>
                <c:pt idx="1258">
                  <c:v>50791</c:v>
                </c:pt>
                <c:pt idx="1259">
                  <c:v>50798</c:v>
                </c:pt>
                <c:pt idx="1260">
                  <c:v>50805</c:v>
                </c:pt>
                <c:pt idx="1261">
                  <c:v>50812</c:v>
                </c:pt>
                <c:pt idx="1262">
                  <c:v>50819</c:v>
                </c:pt>
                <c:pt idx="1263">
                  <c:v>50826</c:v>
                </c:pt>
                <c:pt idx="1264">
                  <c:v>50833</c:v>
                </c:pt>
                <c:pt idx="1265">
                  <c:v>50840</c:v>
                </c:pt>
                <c:pt idx="1266">
                  <c:v>50847</c:v>
                </c:pt>
                <c:pt idx="1267">
                  <c:v>50854</c:v>
                </c:pt>
                <c:pt idx="1268">
                  <c:v>50861</c:v>
                </c:pt>
                <c:pt idx="1269">
                  <c:v>50868</c:v>
                </c:pt>
                <c:pt idx="1270">
                  <c:v>50875</c:v>
                </c:pt>
                <c:pt idx="1271">
                  <c:v>50882</c:v>
                </c:pt>
                <c:pt idx="1272">
                  <c:v>50889</c:v>
                </c:pt>
                <c:pt idx="1273">
                  <c:v>50896</c:v>
                </c:pt>
                <c:pt idx="1274">
                  <c:v>50903</c:v>
                </c:pt>
                <c:pt idx="1275">
                  <c:v>50910</c:v>
                </c:pt>
                <c:pt idx="1276">
                  <c:v>50917</c:v>
                </c:pt>
                <c:pt idx="1277">
                  <c:v>50924</c:v>
                </c:pt>
                <c:pt idx="1278">
                  <c:v>50931</c:v>
                </c:pt>
                <c:pt idx="1279">
                  <c:v>50938</c:v>
                </c:pt>
                <c:pt idx="1280">
                  <c:v>50945</c:v>
                </c:pt>
                <c:pt idx="1281">
                  <c:v>50952</c:v>
                </c:pt>
                <c:pt idx="1282">
                  <c:v>50959</c:v>
                </c:pt>
                <c:pt idx="1283">
                  <c:v>50966</c:v>
                </c:pt>
                <c:pt idx="1284">
                  <c:v>50973</c:v>
                </c:pt>
                <c:pt idx="1285">
                  <c:v>50980</c:v>
                </c:pt>
                <c:pt idx="1286">
                  <c:v>50987</c:v>
                </c:pt>
                <c:pt idx="1287">
                  <c:v>50994</c:v>
                </c:pt>
                <c:pt idx="1288">
                  <c:v>51001</c:v>
                </c:pt>
                <c:pt idx="1289">
                  <c:v>51008</c:v>
                </c:pt>
                <c:pt idx="1290">
                  <c:v>51015</c:v>
                </c:pt>
                <c:pt idx="1291">
                  <c:v>51022</c:v>
                </c:pt>
                <c:pt idx="1292">
                  <c:v>51029</c:v>
                </c:pt>
                <c:pt idx="1293">
                  <c:v>51036</c:v>
                </c:pt>
                <c:pt idx="1294">
                  <c:v>51043</c:v>
                </c:pt>
                <c:pt idx="1295">
                  <c:v>51050</c:v>
                </c:pt>
                <c:pt idx="1296">
                  <c:v>51057</c:v>
                </c:pt>
                <c:pt idx="1297">
                  <c:v>51064</c:v>
                </c:pt>
                <c:pt idx="1298">
                  <c:v>51071</c:v>
                </c:pt>
                <c:pt idx="1299">
                  <c:v>51078</c:v>
                </c:pt>
                <c:pt idx="1300">
                  <c:v>51085</c:v>
                </c:pt>
                <c:pt idx="1301">
                  <c:v>51092</c:v>
                </c:pt>
                <c:pt idx="1302">
                  <c:v>51099</c:v>
                </c:pt>
                <c:pt idx="1303">
                  <c:v>51106</c:v>
                </c:pt>
                <c:pt idx="1304">
                  <c:v>51113</c:v>
                </c:pt>
                <c:pt idx="1305">
                  <c:v>51120</c:v>
                </c:pt>
                <c:pt idx="1306">
                  <c:v>51127</c:v>
                </c:pt>
                <c:pt idx="1307">
                  <c:v>51134</c:v>
                </c:pt>
                <c:pt idx="1308">
                  <c:v>51141</c:v>
                </c:pt>
                <c:pt idx="1309">
                  <c:v>51148</c:v>
                </c:pt>
                <c:pt idx="1310">
                  <c:v>51155</c:v>
                </c:pt>
                <c:pt idx="1311">
                  <c:v>51162</c:v>
                </c:pt>
                <c:pt idx="1312">
                  <c:v>51169</c:v>
                </c:pt>
                <c:pt idx="1313">
                  <c:v>51176</c:v>
                </c:pt>
                <c:pt idx="1314">
                  <c:v>51183</c:v>
                </c:pt>
                <c:pt idx="1315">
                  <c:v>51190</c:v>
                </c:pt>
                <c:pt idx="1316">
                  <c:v>51197</c:v>
                </c:pt>
                <c:pt idx="1317">
                  <c:v>51204</c:v>
                </c:pt>
                <c:pt idx="1318">
                  <c:v>51211</c:v>
                </c:pt>
                <c:pt idx="1319">
                  <c:v>51218</c:v>
                </c:pt>
                <c:pt idx="1320">
                  <c:v>51225</c:v>
                </c:pt>
                <c:pt idx="1321">
                  <c:v>51232</c:v>
                </c:pt>
                <c:pt idx="1322">
                  <c:v>51239</c:v>
                </c:pt>
                <c:pt idx="1323">
                  <c:v>51246</c:v>
                </c:pt>
                <c:pt idx="1324">
                  <c:v>51253</c:v>
                </c:pt>
                <c:pt idx="1325">
                  <c:v>51260</c:v>
                </c:pt>
                <c:pt idx="1326">
                  <c:v>51267</c:v>
                </c:pt>
                <c:pt idx="1327">
                  <c:v>51274</c:v>
                </c:pt>
                <c:pt idx="1328">
                  <c:v>51281</c:v>
                </c:pt>
                <c:pt idx="1329">
                  <c:v>51288</c:v>
                </c:pt>
                <c:pt idx="1330">
                  <c:v>51295</c:v>
                </c:pt>
                <c:pt idx="1331">
                  <c:v>51302</c:v>
                </c:pt>
                <c:pt idx="1332">
                  <c:v>51309</c:v>
                </c:pt>
                <c:pt idx="1333">
                  <c:v>51316</c:v>
                </c:pt>
                <c:pt idx="1334">
                  <c:v>51323</c:v>
                </c:pt>
                <c:pt idx="1335">
                  <c:v>51330</c:v>
                </c:pt>
                <c:pt idx="1336">
                  <c:v>51337</c:v>
                </c:pt>
                <c:pt idx="1337">
                  <c:v>51344</c:v>
                </c:pt>
                <c:pt idx="1338">
                  <c:v>51351</c:v>
                </c:pt>
                <c:pt idx="1339">
                  <c:v>51358</c:v>
                </c:pt>
                <c:pt idx="1340">
                  <c:v>51365</c:v>
                </c:pt>
                <c:pt idx="1341">
                  <c:v>51372</c:v>
                </c:pt>
                <c:pt idx="1342">
                  <c:v>51379</c:v>
                </c:pt>
                <c:pt idx="1343">
                  <c:v>51386</c:v>
                </c:pt>
                <c:pt idx="1344">
                  <c:v>51393</c:v>
                </c:pt>
                <c:pt idx="1345">
                  <c:v>51400</c:v>
                </c:pt>
                <c:pt idx="1346">
                  <c:v>51407</c:v>
                </c:pt>
                <c:pt idx="1347">
                  <c:v>51414</c:v>
                </c:pt>
                <c:pt idx="1348">
                  <c:v>51421</c:v>
                </c:pt>
                <c:pt idx="1349">
                  <c:v>51428</c:v>
                </c:pt>
                <c:pt idx="1350">
                  <c:v>51435</c:v>
                </c:pt>
                <c:pt idx="1351">
                  <c:v>51442</c:v>
                </c:pt>
                <c:pt idx="1352">
                  <c:v>51449</c:v>
                </c:pt>
                <c:pt idx="1353">
                  <c:v>51456</c:v>
                </c:pt>
                <c:pt idx="1354">
                  <c:v>51463</c:v>
                </c:pt>
                <c:pt idx="1355">
                  <c:v>51470</c:v>
                </c:pt>
                <c:pt idx="1356">
                  <c:v>51477</c:v>
                </c:pt>
                <c:pt idx="1357">
                  <c:v>51484</c:v>
                </c:pt>
                <c:pt idx="1358">
                  <c:v>51491</c:v>
                </c:pt>
                <c:pt idx="1359">
                  <c:v>51498</c:v>
                </c:pt>
                <c:pt idx="1360">
                  <c:v>51505</c:v>
                </c:pt>
                <c:pt idx="1361">
                  <c:v>51512</c:v>
                </c:pt>
                <c:pt idx="1362">
                  <c:v>51519</c:v>
                </c:pt>
                <c:pt idx="1363">
                  <c:v>51526</c:v>
                </c:pt>
                <c:pt idx="1364">
                  <c:v>51533</c:v>
                </c:pt>
                <c:pt idx="1365">
                  <c:v>51540</c:v>
                </c:pt>
                <c:pt idx="1366">
                  <c:v>51547</c:v>
                </c:pt>
                <c:pt idx="1367">
                  <c:v>51554</c:v>
                </c:pt>
                <c:pt idx="1368">
                  <c:v>51561</c:v>
                </c:pt>
                <c:pt idx="1369">
                  <c:v>51568</c:v>
                </c:pt>
                <c:pt idx="1370">
                  <c:v>51575</c:v>
                </c:pt>
                <c:pt idx="1371">
                  <c:v>51582</c:v>
                </c:pt>
                <c:pt idx="1372">
                  <c:v>51589</c:v>
                </c:pt>
                <c:pt idx="1373">
                  <c:v>51596</c:v>
                </c:pt>
                <c:pt idx="1374">
                  <c:v>51603</c:v>
                </c:pt>
                <c:pt idx="1375">
                  <c:v>51610</c:v>
                </c:pt>
                <c:pt idx="1376">
                  <c:v>51617</c:v>
                </c:pt>
                <c:pt idx="1377">
                  <c:v>51624</c:v>
                </c:pt>
                <c:pt idx="1378">
                  <c:v>51631</c:v>
                </c:pt>
                <c:pt idx="1379">
                  <c:v>51638</c:v>
                </c:pt>
                <c:pt idx="1380">
                  <c:v>51645</c:v>
                </c:pt>
                <c:pt idx="1381">
                  <c:v>51652</c:v>
                </c:pt>
                <c:pt idx="1382">
                  <c:v>51659</c:v>
                </c:pt>
                <c:pt idx="1383">
                  <c:v>51666</c:v>
                </c:pt>
                <c:pt idx="1384">
                  <c:v>51673</c:v>
                </c:pt>
                <c:pt idx="1385">
                  <c:v>51680</c:v>
                </c:pt>
                <c:pt idx="1386">
                  <c:v>51687</c:v>
                </c:pt>
                <c:pt idx="1387">
                  <c:v>51694</c:v>
                </c:pt>
                <c:pt idx="1388">
                  <c:v>51701</c:v>
                </c:pt>
                <c:pt idx="1389">
                  <c:v>51708</c:v>
                </c:pt>
                <c:pt idx="1390">
                  <c:v>51715</c:v>
                </c:pt>
                <c:pt idx="1391">
                  <c:v>51722</c:v>
                </c:pt>
                <c:pt idx="1392">
                  <c:v>51729</c:v>
                </c:pt>
                <c:pt idx="1393">
                  <c:v>51736</c:v>
                </c:pt>
                <c:pt idx="1394">
                  <c:v>51743</c:v>
                </c:pt>
                <c:pt idx="1395">
                  <c:v>51750</c:v>
                </c:pt>
                <c:pt idx="1396">
                  <c:v>51757</c:v>
                </c:pt>
                <c:pt idx="1397">
                  <c:v>51764</c:v>
                </c:pt>
                <c:pt idx="1398">
                  <c:v>51771</c:v>
                </c:pt>
                <c:pt idx="1399">
                  <c:v>51778</c:v>
                </c:pt>
                <c:pt idx="1400">
                  <c:v>51785</c:v>
                </c:pt>
                <c:pt idx="1401">
                  <c:v>51792</c:v>
                </c:pt>
                <c:pt idx="1402">
                  <c:v>51799</c:v>
                </c:pt>
                <c:pt idx="1403">
                  <c:v>51806</c:v>
                </c:pt>
                <c:pt idx="1404">
                  <c:v>51813</c:v>
                </c:pt>
                <c:pt idx="1405">
                  <c:v>51820</c:v>
                </c:pt>
                <c:pt idx="1406">
                  <c:v>51827</c:v>
                </c:pt>
                <c:pt idx="1407">
                  <c:v>51834</c:v>
                </c:pt>
                <c:pt idx="1408">
                  <c:v>51841</c:v>
                </c:pt>
                <c:pt idx="1409">
                  <c:v>51848</c:v>
                </c:pt>
                <c:pt idx="1410">
                  <c:v>51855</c:v>
                </c:pt>
                <c:pt idx="1411">
                  <c:v>51862</c:v>
                </c:pt>
                <c:pt idx="1412">
                  <c:v>51869</c:v>
                </c:pt>
                <c:pt idx="1413">
                  <c:v>51876</c:v>
                </c:pt>
                <c:pt idx="1414">
                  <c:v>51883</c:v>
                </c:pt>
                <c:pt idx="1415">
                  <c:v>51890</c:v>
                </c:pt>
                <c:pt idx="1416">
                  <c:v>51897</c:v>
                </c:pt>
                <c:pt idx="1417">
                  <c:v>51904</c:v>
                </c:pt>
                <c:pt idx="1418">
                  <c:v>51911</c:v>
                </c:pt>
                <c:pt idx="1419">
                  <c:v>51918</c:v>
                </c:pt>
                <c:pt idx="1420">
                  <c:v>51925</c:v>
                </c:pt>
                <c:pt idx="1421">
                  <c:v>51932</c:v>
                </c:pt>
                <c:pt idx="1422">
                  <c:v>51939</c:v>
                </c:pt>
                <c:pt idx="1423">
                  <c:v>51946</c:v>
                </c:pt>
                <c:pt idx="1424">
                  <c:v>51953</c:v>
                </c:pt>
                <c:pt idx="1425">
                  <c:v>51960</c:v>
                </c:pt>
                <c:pt idx="1426">
                  <c:v>51967</c:v>
                </c:pt>
                <c:pt idx="1427">
                  <c:v>51974</c:v>
                </c:pt>
                <c:pt idx="1428">
                  <c:v>51981</c:v>
                </c:pt>
                <c:pt idx="1429">
                  <c:v>51988</c:v>
                </c:pt>
                <c:pt idx="1430">
                  <c:v>51995</c:v>
                </c:pt>
                <c:pt idx="1431">
                  <c:v>52002</c:v>
                </c:pt>
                <c:pt idx="1432">
                  <c:v>52009</c:v>
                </c:pt>
                <c:pt idx="1433">
                  <c:v>52016</c:v>
                </c:pt>
                <c:pt idx="1434">
                  <c:v>52023</c:v>
                </c:pt>
                <c:pt idx="1435">
                  <c:v>52030</c:v>
                </c:pt>
                <c:pt idx="1436">
                  <c:v>52037</c:v>
                </c:pt>
                <c:pt idx="1437">
                  <c:v>52044</c:v>
                </c:pt>
                <c:pt idx="1438">
                  <c:v>52051</c:v>
                </c:pt>
                <c:pt idx="1439">
                  <c:v>52058</c:v>
                </c:pt>
                <c:pt idx="1440">
                  <c:v>52065</c:v>
                </c:pt>
                <c:pt idx="1441">
                  <c:v>52072</c:v>
                </c:pt>
                <c:pt idx="1442">
                  <c:v>52079</c:v>
                </c:pt>
                <c:pt idx="1443">
                  <c:v>52086</c:v>
                </c:pt>
                <c:pt idx="1444">
                  <c:v>52093</c:v>
                </c:pt>
                <c:pt idx="1445">
                  <c:v>52100</c:v>
                </c:pt>
                <c:pt idx="1446">
                  <c:v>52107</c:v>
                </c:pt>
                <c:pt idx="1447">
                  <c:v>52114</c:v>
                </c:pt>
                <c:pt idx="1448">
                  <c:v>52121</c:v>
                </c:pt>
                <c:pt idx="1449">
                  <c:v>52128</c:v>
                </c:pt>
                <c:pt idx="1450">
                  <c:v>52135</c:v>
                </c:pt>
                <c:pt idx="1451">
                  <c:v>52142</c:v>
                </c:pt>
                <c:pt idx="1452">
                  <c:v>52149</c:v>
                </c:pt>
                <c:pt idx="1453">
                  <c:v>52156</c:v>
                </c:pt>
                <c:pt idx="1454">
                  <c:v>52163</c:v>
                </c:pt>
                <c:pt idx="1455">
                  <c:v>52170</c:v>
                </c:pt>
                <c:pt idx="1456">
                  <c:v>52177</c:v>
                </c:pt>
                <c:pt idx="1457">
                  <c:v>52184</c:v>
                </c:pt>
                <c:pt idx="1458">
                  <c:v>52191</c:v>
                </c:pt>
                <c:pt idx="1459">
                  <c:v>52198</c:v>
                </c:pt>
                <c:pt idx="1460">
                  <c:v>52205</c:v>
                </c:pt>
                <c:pt idx="1461">
                  <c:v>52212</c:v>
                </c:pt>
                <c:pt idx="1462">
                  <c:v>52219</c:v>
                </c:pt>
                <c:pt idx="1463">
                  <c:v>52226</c:v>
                </c:pt>
                <c:pt idx="1464">
                  <c:v>52233</c:v>
                </c:pt>
                <c:pt idx="1465">
                  <c:v>52240</c:v>
                </c:pt>
                <c:pt idx="1466">
                  <c:v>52247</c:v>
                </c:pt>
                <c:pt idx="1467">
                  <c:v>52254</c:v>
                </c:pt>
                <c:pt idx="1468">
                  <c:v>52261</c:v>
                </c:pt>
                <c:pt idx="1469">
                  <c:v>52268</c:v>
                </c:pt>
                <c:pt idx="1470">
                  <c:v>52275</c:v>
                </c:pt>
                <c:pt idx="1471">
                  <c:v>52282</c:v>
                </c:pt>
                <c:pt idx="1472">
                  <c:v>52289</c:v>
                </c:pt>
                <c:pt idx="1473">
                  <c:v>52296</c:v>
                </c:pt>
                <c:pt idx="1474">
                  <c:v>52303</c:v>
                </c:pt>
                <c:pt idx="1475">
                  <c:v>52310</c:v>
                </c:pt>
                <c:pt idx="1476">
                  <c:v>52317</c:v>
                </c:pt>
                <c:pt idx="1477">
                  <c:v>52324</c:v>
                </c:pt>
                <c:pt idx="1478">
                  <c:v>52331</c:v>
                </c:pt>
                <c:pt idx="1479">
                  <c:v>52338</c:v>
                </c:pt>
                <c:pt idx="1480">
                  <c:v>52345</c:v>
                </c:pt>
                <c:pt idx="1481">
                  <c:v>52352</c:v>
                </c:pt>
                <c:pt idx="1482">
                  <c:v>52359</c:v>
                </c:pt>
                <c:pt idx="1483">
                  <c:v>52366</c:v>
                </c:pt>
                <c:pt idx="1484">
                  <c:v>52373</c:v>
                </c:pt>
                <c:pt idx="1485">
                  <c:v>52380</c:v>
                </c:pt>
                <c:pt idx="1486">
                  <c:v>52387</c:v>
                </c:pt>
                <c:pt idx="1487">
                  <c:v>52394</c:v>
                </c:pt>
                <c:pt idx="1488">
                  <c:v>52401</c:v>
                </c:pt>
                <c:pt idx="1489">
                  <c:v>52408</c:v>
                </c:pt>
                <c:pt idx="1490">
                  <c:v>52415</c:v>
                </c:pt>
                <c:pt idx="1491">
                  <c:v>52422</c:v>
                </c:pt>
                <c:pt idx="1492">
                  <c:v>52429</c:v>
                </c:pt>
                <c:pt idx="1493">
                  <c:v>52436</c:v>
                </c:pt>
                <c:pt idx="1494">
                  <c:v>52443</c:v>
                </c:pt>
                <c:pt idx="1495">
                  <c:v>52450</c:v>
                </c:pt>
                <c:pt idx="1496">
                  <c:v>52457</c:v>
                </c:pt>
                <c:pt idx="1497">
                  <c:v>52464</c:v>
                </c:pt>
                <c:pt idx="1498">
                  <c:v>52471</c:v>
                </c:pt>
                <c:pt idx="1499">
                  <c:v>52478</c:v>
                </c:pt>
                <c:pt idx="1500">
                  <c:v>52485</c:v>
                </c:pt>
                <c:pt idx="1501">
                  <c:v>52492</c:v>
                </c:pt>
                <c:pt idx="1502">
                  <c:v>52499</c:v>
                </c:pt>
                <c:pt idx="1503">
                  <c:v>52506</c:v>
                </c:pt>
                <c:pt idx="1504">
                  <c:v>52513</c:v>
                </c:pt>
                <c:pt idx="1505">
                  <c:v>52520</c:v>
                </c:pt>
                <c:pt idx="1506">
                  <c:v>52527</c:v>
                </c:pt>
                <c:pt idx="1507">
                  <c:v>52534</c:v>
                </c:pt>
                <c:pt idx="1508">
                  <c:v>52541</c:v>
                </c:pt>
                <c:pt idx="1509">
                  <c:v>52548</c:v>
                </c:pt>
                <c:pt idx="1510">
                  <c:v>52555</c:v>
                </c:pt>
                <c:pt idx="1511">
                  <c:v>52562</c:v>
                </c:pt>
                <c:pt idx="1512">
                  <c:v>52569</c:v>
                </c:pt>
                <c:pt idx="1513">
                  <c:v>52576</c:v>
                </c:pt>
                <c:pt idx="1514">
                  <c:v>52583</c:v>
                </c:pt>
                <c:pt idx="1515">
                  <c:v>52590</c:v>
                </c:pt>
                <c:pt idx="1516">
                  <c:v>52597</c:v>
                </c:pt>
                <c:pt idx="1517">
                  <c:v>52604</c:v>
                </c:pt>
                <c:pt idx="1518">
                  <c:v>52611</c:v>
                </c:pt>
                <c:pt idx="1519">
                  <c:v>52618</c:v>
                </c:pt>
                <c:pt idx="1520">
                  <c:v>52625</c:v>
                </c:pt>
                <c:pt idx="1521">
                  <c:v>52632</c:v>
                </c:pt>
                <c:pt idx="1522">
                  <c:v>52639</c:v>
                </c:pt>
                <c:pt idx="1523">
                  <c:v>52646</c:v>
                </c:pt>
                <c:pt idx="1524">
                  <c:v>52653</c:v>
                </c:pt>
                <c:pt idx="1525">
                  <c:v>52660</c:v>
                </c:pt>
                <c:pt idx="1526">
                  <c:v>52667</c:v>
                </c:pt>
                <c:pt idx="1527">
                  <c:v>52674</c:v>
                </c:pt>
                <c:pt idx="1528">
                  <c:v>52681</c:v>
                </c:pt>
                <c:pt idx="1529">
                  <c:v>52688</c:v>
                </c:pt>
                <c:pt idx="1530">
                  <c:v>52695</c:v>
                </c:pt>
                <c:pt idx="1531">
                  <c:v>52702</c:v>
                </c:pt>
                <c:pt idx="1532">
                  <c:v>52709</c:v>
                </c:pt>
                <c:pt idx="1533">
                  <c:v>52716</c:v>
                </c:pt>
                <c:pt idx="1534">
                  <c:v>52723</c:v>
                </c:pt>
                <c:pt idx="1535">
                  <c:v>52730</c:v>
                </c:pt>
                <c:pt idx="1536">
                  <c:v>52737</c:v>
                </c:pt>
                <c:pt idx="1537">
                  <c:v>52744</c:v>
                </c:pt>
                <c:pt idx="1538">
                  <c:v>52751</c:v>
                </c:pt>
                <c:pt idx="1539">
                  <c:v>52758</c:v>
                </c:pt>
                <c:pt idx="1540">
                  <c:v>52765</c:v>
                </c:pt>
                <c:pt idx="1541">
                  <c:v>52772</c:v>
                </c:pt>
                <c:pt idx="1542">
                  <c:v>52779</c:v>
                </c:pt>
                <c:pt idx="1543">
                  <c:v>52786</c:v>
                </c:pt>
                <c:pt idx="1544">
                  <c:v>52793</c:v>
                </c:pt>
                <c:pt idx="1545">
                  <c:v>52800</c:v>
                </c:pt>
                <c:pt idx="1546">
                  <c:v>52807</c:v>
                </c:pt>
                <c:pt idx="1547">
                  <c:v>52814</c:v>
                </c:pt>
                <c:pt idx="1548">
                  <c:v>52821</c:v>
                </c:pt>
                <c:pt idx="1549">
                  <c:v>52828</c:v>
                </c:pt>
                <c:pt idx="1550">
                  <c:v>52835</c:v>
                </c:pt>
                <c:pt idx="1551">
                  <c:v>52842</c:v>
                </c:pt>
                <c:pt idx="1552">
                  <c:v>52849</c:v>
                </c:pt>
                <c:pt idx="1553">
                  <c:v>52856</c:v>
                </c:pt>
                <c:pt idx="1554">
                  <c:v>52863</c:v>
                </c:pt>
                <c:pt idx="1555">
                  <c:v>52870</c:v>
                </c:pt>
                <c:pt idx="1556">
                  <c:v>52877</c:v>
                </c:pt>
                <c:pt idx="1557">
                  <c:v>52884</c:v>
                </c:pt>
                <c:pt idx="1558">
                  <c:v>52891</c:v>
                </c:pt>
                <c:pt idx="1559">
                  <c:v>52898</c:v>
                </c:pt>
                <c:pt idx="1560">
                  <c:v>52905</c:v>
                </c:pt>
                <c:pt idx="1561">
                  <c:v>52912</c:v>
                </c:pt>
                <c:pt idx="1562">
                  <c:v>52919</c:v>
                </c:pt>
                <c:pt idx="1563">
                  <c:v>52926</c:v>
                </c:pt>
                <c:pt idx="1564">
                  <c:v>52933</c:v>
                </c:pt>
                <c:pt idx="1565">
                  <c:v>52940</c:v>
                </c:pt>
                <c:pt idx="1566">
                  <c:v>52947</c:v>
                </c:pt>
                <c:pt idx="1567">
                  <c:v>52954</c:v>
                </c:pt>
                <c:pt idx="1568">
                  <c:v>52961</c:v>
                </c:pt>
                <c:pt idx="1569">
                  <c:v>52968</c:v>
                </c:pt>
                <c:pt idx="1570">
                  <c:v>52975</c:v>
                </c:pt>
                <c:pt idx="1571">
                  <c:v>52982</c:v>
                </c:pt>
                <c:pt idx="1572">
                  <c:v>52989</c:v>
                </c:pt>
                <c:pt idx="1573">
                  <c:v>52996</c:v>
                </c:pt>
                <c:pt idx="1574">
                  <c:v>53003</c:v>
                </c:pt>
                <c:pt idx="1575">
                  <c:v>53010</c:v>
                </c:pt>
                <c:pt idx="1576">
                  <c:v>53017</c:v>
                </c:pt>
                <c:pt idx="1577">
                  <c:v>53024</c:v>
                </c:pt>
                <c:pt idx="1578">
                  <c:v>53031</c:v>
                </c:pt>
                <c:pt idx="1579">
                  <c:v>53038</c:v>
                </c:pt>
                <c:pt idx="1580">
                  <c:v>53045</c:v>
                </c:pt>
                <c:pt idx="1581">
                  <c:v>53052</c:v>
                </c:pt>
                <c:pt idx="1582">
                  <c:v>53059</c:v>
                </c:pt>
                <c:pt idx="1583">
                  <c:v>53066</c:v>
                </c:pt>
                <c:pt idx="1584">
                  <c:v>53073</c:v>
                </c:pt>
                <c:pt idx="1585">
                  <c:v>53080</c:v>
                </c:pt>
                <c:pt idx="1586">
                  <c:v>53087</c:v>
                </c:pt>
                <c:pt idx="1587">
                  <c:v>53094</c:v>
                </c:pt>
                <c:pt idx="1588">
                  <c:v>53101</c:v>
                </c:pt>
                <c:pt idx="1589">
                  <c:v>53108</c:v>
                </c:pt>
                <c:pt idx="1590">
                  <c:v>53115</c:v>
                </c:pt>
                <c:pt idx="1591">
                  <c:v>53122</c:v>
                </c:pt>
                <c:pt idx="1592">
                  <c:v>53129</c:v>
                </c:pt>
                <c:pt idx="1593">
                  <c:v>53136</c:v>
                </c:pt>
                <c:pt idx="1594">
                  <c:v>53143</c:v>
                </c:pt>
                <c:pt idx="1595">
                  <c:v>53150</c:v>
                </c:pt>
                <c:pt idx="1596">
                  <c:v>53157</c:v>
                </c:pt>
                <c:pt idx="1597">
                  <c:v>53164</c:v>
                </c:pt>
                <c:pt idx="1598">
                  <c:v>53171</c:v>
                </c:pt>
                <c:pt idx="1599">
                  <c:v>53178</c:v>
                </c:pt>
                <c:pt idx="1600">
                  <c:v>53185</c:v>
                </c:pt>
                <c:pt idx="1601">
                  <c:v>53192</c:v>
                </c:pt>
                <c:pt idx="1602">
                  <c:v>53199</c:v>
                </c:pt>
                <c:pt idx="1603">
                  <c:v>53206</c:v>
                </c:pt>
                <c:pt idx="1604">
                  <c:v>53213</c:v>
                </c:pt>
                <c:pt idx="1605">
                  <c:v>53220</c:v>
                </c:pt>
                <c:pt idx="1606">
                  <c:v>53227</c:v>
                </c:pt>
                <c:pt idx="1607">
                  <c:v>53234</c:v>
                </c:pt>
                <c:pt idx="1608">
                  <c:v>53241</c:v>
                </c:pt>
                <c:pt idx="1609">
                  <c:v>53248</c:v>
                </c:pt>
                <c:pt idx="1610">
                  <c:v>53255</c:v>
                </c:pt>
                <c:pt idx="1611">
                  <c:v>53262</c:v>
                </c:pt>
                <c:pt idx="1612">
                  <c:v>53269</c:v>
                </c:pt>
                <c:pt idx="1613">
                  <c:v>53276</c:v>
                </c:pt>
                <c:pt idx="1614">
                  <c:v>53283</c:v>
                </c:pt>
                <c:pt idx="1615">
                  <c:v>53290</c:v>
                </c:pt>
                <c:pt idx="1616">
                  <c:v>53297</c:v>
                </c:pt>
                <c:pt idx="1617">
                  <c:v>53304</c:v>
                </c:pt>
                <c:pt idx="1618">
                  <c:v>53311</c:v>
                </c:pt>
                <c:pt idx="1619">
                  <c:v>53318</c:v>
                </c:pt>
                <c:pt idx="1620">
                  <c:v>53325</c:v>
                </c:pt>
                <c:pt idx="1621">
                  <c:v>53332</c:v>
                </c:pt>
                <c:pt idx="1622">
                  <c:v>53339</c:v>
                </c:pt>
                <c:pt idx="1623">
                  <c:v>53346</c:v>
                </c:pt>
                <c:pt idx="1624">
                  <c:v>53353</c:v>
                </c:pt>
                <c:pt idx="1625">
                  <c:v>53360</c:v>
                </c:pt>
                <c:pt idx="1626">
                  <c:v>53367</c:v>
                </c:pt>
                <c:pt idx="1627">
                  <c:v>53374</c:v>
                </c:pt>
                <c:pt idx="1628">
                  <c:v>53381</c:v>
                </c:pt>
                <c:pt idx="1629">
                  <c:v>53388</c:v>
                </c:pt>
                <c:pt idx="1630">
                  <c:v>53395</c:v>
                </c:pt>
                <c:pt idx="1631">
                  <c:v>53402</c:v>
                </c:pt>
                <c:pt idx="1632">
                  <c:v>53409</c:v>
                </c:pt>
                <c:pt idx="1633">
                  <c:v>53416</c:v>
                </c:pt>
                <c:pt idx="1634">
                  <c:v>53423</c:v>
                </c:pt>
                <c:pt idx="1635">
                  <c:v>53430</c:v>
                </c:pt>
                <c:pt idx="1636">
                  <c:v>53437</c:v>
                </c:pt>
                <c:pt idx="1637">
                  <c:v>53444</c:v>
                </c:pt>
                <c:pt idx="1638">
                  <c:v>53451</c:v>
                </c:pt>
                <c:pt idx="1639">
                  <c:v>53458</c:v>
                </c:pt>
                <c:pt idx="1640">
                  <c:v>53465</c:v>
                </c:pt>
                <c:pt idx="1641">
                  <c:v>53472</c:v>
                </c:pt>
                <c:pt idx="1642">
                  <c:v>53479</c:v>
                </c:pt>
                <c:pt idx="1643">
                  <c:v>53486</c:v>
                </c:pt>
                <c:pt idx="1644">
                  <c:v>53493</c:v>
                </c:pt>
                <c:pt idx="1645">
                  <c:v>53500</c:v>
                </c:pt>
                <c:pt idx="1646">
                  <c:v>53507</c:v>
                </c:pt>
                <c:pt idx="1647">
                  <c:v>53514</c:v>
                </c:pt>
                <c:pt idx="1648">
                  <c:v>53521</c:v>
                </c:pt>
                <c:pt idx="1649">
                  <c:v>53528</c:v>
                </c:pt>
                <c:pt idx="1650">
                  <c:v>53535</c:v>
                </c:pt>
                <c:pt idx="1651">
                  <c:v>53542</c:v>
                </c:pt>
                <c:pt idx="1652">
                  <c:v>53549</c:v>
                </c:pt>
                <c:pt idx="1653">
                  <c:v>53556</c:v>
                </c:pt>
                <c:pt idx="1654">
                  <c:v>53563</c:v>
                </c:pt>
                <c:pt idx="1655">
                  <c:v>53570</c:v>
                </c:pt>
                <c:pt idx="1656">
                  <c:v>53577</c:v>
                </c:pt>
                <c:pt idx="1657">
                  <c:v>53584</c:v>
                </c:pt>
                <c:pt idx="1658">
                  <c:v>53591</c:v>
                </c:pt>
                <c:pt idx="1659">
                  <c:v>53598</c:v>
                </c:pt>
                <c:pt idx="1660">
                  <c:v>53605</c:v>
                </c:pt>
                <c:pt idx="1661">
                  <c:v>53612</c:v>
                </c:pt>
                <c:pt idx="1662">
                  <c:v>53619</c:v>
                </c:pt>
                <c:pt idx="1663">
                  <c:v>53626</c:v>
                </c:pt>
                <c:pt idx="1664">
                  <c:v>53633</c:v>
                </c:pt>
                <c:pt idx="1665">
                  <c:v>53640</c:v>
                </c:pt>
                <c:pt idx="1666">
                  <c:v>53647</c:v>
                </c:pt>
                <c:pt idx="1667">
                  <c:v>53654</c:v>
                </c:pt>
                <c:pt idx="1668">
                  <c:v>53661</c:v>
                </c:pt>
                <c:pt idx="1669">
                  <c:v>53668</c:v>
                </c:pt>
                <c:pt idx="1670">
                  <c:v>53675</c:v>
                </c:pt>
                <c:pt idx="1671">
                  <c:v>53682</c:v>
                </c:pt>
                <c:pt idx="1672">
                  <c:v>53689</c:v>
                </c:pt>
                <c:pt idx="1673">
                  <c:v>53696</c:v>
                </c:pt>
                <c:pt idx="1674">
                  <c:v>53703</c:v>
                </c:pt>
                <c:pt idx="1675">
                  <c:v>53710</c:v>
                </c:pt>
                <c:pt idx="1676">
                  <c:v>53717</c:v>
                </c:pt>
                <c:pt idx="1677">
                  <c:v>53724</c:v>
                </c:pt>
                <c:pt idx="1678">
                  <c:v>53731</c:v>
                </c:pt>
                <c:pt idx="1679">
                  <c:v>53738</c:v>
                </c:pt>
                <c:pt idx="1680">
                  <c:v>53745</c:v>
                </c:pt>
                <c:pt idx="1681">
                  <c:v>53752</c:v>
                </c:pt>
                <c:pt idx="1682">
                  <c:v>53759</c:v>
                </c:pt>
                <c:pt idx="1683">
                  <c:v>53766</c:v>
                </c:pt>
                <c:pt idx="1684">
                  <c:v>53773</c:v>
                </c:pt>
                <c:pt idx="1685">
                  <c:v>53780</c:v>
                </c:pt>
                <c:pt idx="1686">
                  <c:v>53787</c:v>
                </c:pt>
                <c:pt idx="1687">
                  <c:v>53794</c:v>
                </c:pt>
                <c:pt idx="1688">
                  <c:v>53801</c:v>
                </c:pt>
                <c:pt idx="1689">
                  <c:v>53808</c:v>
                </c:pt>
                <c:pt idx="1690">
                  <c:v>53815</c:v>
                </c:pt>
                <c:pt idx="1691">
                  <c:v>53822</c:v>
                </c:pt>
                <c:pt idx="1692">
                  <c:v>53829</c:v>
                </c:pt>
                <c:pt idx="1693">
                  <c:v>53836</c:v>
                </c:pt>
                <c:pt idx="1694">
                  <c:v>53843</c:v>
                </c:pt>
                <c:pt idx="1695">
                  <c:v>53850</c:v>
                </c:pt>
                <c:pt idx="1696">
                  <c:v>53857</c:v>
                </c:pt>
                <c:pt idx="1697">
                  <c:v>53864</c:v>
                </c:pt>
                <c:pt idx="1698">
                  <c:v>53871</c:v>
                </c:pt>
                <c:pt idx="1699">
                  <c:v>53878</c:v>
                </c:pt>
                <c:pt idx="1700">
                  <c:v>53885</c:v>
                </c:pt>
                <c:pt idx="1701">
                  <c:v>53892</c:v>
                </c:pt>
                <c:pt idx="1702">
                  <c:v>53899</c:v>
                </c:pt>
                <c:pt idx="1703">
                  <c:v>53906</c:v>
                </c:pt>
                <c:pt idx="1704">
                  <c:v>53913</c:v>
                </c:pt>
                <c:pt idx="1705">
                  <c:v>53920</c:v>
                </c:pt>
                <c:pt idx="1706">
                  <c:v>53927</c:v>
                </c:pt>
                <c:pt idx="1707">
                  <c:v>53934</c:v>
                </c:pt>
                <c:pt idx="1708">
                  <c:v>53941</c:v>
                </c:pt>
                <c:pt idx="1709">
                  <c:v>53948</c:v>
                </c:pt>
                <c:pt idx="1710">
                  <c:v>53955</c:v>
                </c:pt>
                <c:pt idx="1711">
                  <c:v>53962</c:v>
                </c:pt>
                <c:pt idx="1712">
                  <c:v>53969</c:v>
                </c:pt>
                <c:pt idx="1713">
                  <c:v>53976</c:v>
                </c:pt>
                <c:pt idx="1714">
                  <c:v>53983</c:v>
                </c:pt>
                <c:pt idx="1715">
                  <c:v>53990</c:v>
                </c:pt>
                <c:pt idx="1716">
                  <c:v>53997</c:v>
                </c:pt>
                <c:pt idx="1717">
                  <c:v>54004</c:v>
                </c:pt>
                <c:pt idx="1718">
                  <c:v>54011</c:v>
                </c:pt>
                <c:pt idx="1719">
                  <c:v>54018</c:v>
                </c:pt>
                <c:pt idx="1720">
                  <c:v>54025</c:v>
                </c:pt>
                <c:pt idx="1721">
                  <c:v>54032</c:v>
                </c:pt>
                <c:pt idx="1722">
                  <c:v>54039</c:v>
                </c:pt>
                <c:pt idx="1723">
                  <c:v>54046</c:v>
                </c:pt>
                <c:pt idx="1724">
                  <c:v>54053</c:v>
                </c:pt>
                <c:pt idx="1725">
                  <c:v>54060</c:v>
                </c:pt>
                <c:pt idx="1726">
                  <c:v>54067</c:v>
                </c:pt>
                <c:pt idx="1727">
                  <c:v>54074</c:v>
                </c:pt>
                <c:pt idx="1728">
                  <c:v>54081</c:v>
                </c:pt>
                <c:pt idx="1729">
                  <c:v>54088</c:v>
                </c:pt>
                <c:pt idx="1730">
                  <c:v>54095</c:v>
                </c:pt>
                <c:pt idx="1731">
                  <c:v>54102</c:v>
                </c:pt>
                <c:pt idx="1732">
                  <c:v>54109</c:v>
                </c:pt>
                <c:pt idx="1733">
                  <c:v>54116</c:v>
                </c:pt>
                <c:pt idx="1734">
                  <c:v>54123</c:v>
                </c:pt>
                <c:pt idx="1735">
                  <c:v>54130</c:v>
                </c:pt>
                <c:pt idx="1736">
                  <c:v>54137</c:v>
                </c:pt>
                <c:pt idx="1737">
                  <c:v>54144</c:v>
                </c:pt>
                <c:pt idx="1738">
                  <c:v>54151</c:v>
                </c:pt>
                <c:pt idx="1739">
                  <c:v>54158</c:v>
                </c:pt>
                <c:pt idx="1740">
                  <c:v>54165</c:v>
                </c:pt>
                <c:pt idx="1741">
                  <c:v>54172</c:v>
                </c:pt>
                <c:pt idx="1742">
                  <c:v>54179</c:v>
                </c:pt>
                <c:pt idx="1743">
                  <c:v>54186</c:v>
                </c:pt>
                <c:pt idx="1744">
                  <c:v>54193</c:v>
                </c:pt>
                <c:pt idx="1745">
                  <c:v>54200</c:v>
                </c:pt>
                <c:pt idx="1746">
                  <c:v>54207</c:v>
                </c:pt>
                <c:pt idx="1747">
                  <c:v>54214</c:v>
                </c:pt>
                <c:pt idx="1748">
                  <c:v>54221</c:v>
                </c:pt>
                <c:pt idx="1749">
                  <c:v>54228</c:v>
                </c:pt>
                <c:pt idx="1750">
                  <c:v>54235</c:v>
                </c:pt>
                <c:pt idx="1751">
                  <c:v>54242</c:v>
                </c:pt>
                <c:pt idx="1752">
                  <c:v>54249</c:v>
                </c:pt>
                <c:pt idx="1753">
                  <c:v>54256</c:v>
                </c:pt>
                <c:pt idx="1754">
                  <c:v>54263</c:v>
                </c:pt>
                <c:pt idx="1755">
                  <c:v>54270</c:v>
                </c:pt>
                <c:pt idx="1756">
                  <c:v>54277</c:v>
                </c:pt>
                <c:pt idx="1757">
                  <c:v>54284</c:v>
                </c:pt>
                <c:pt idx="1758">
                  <c:v>54291</c:v>
                </c:pt>
                <c:pt idx="1759">
                  <c:v>54298</c:v>
                </c:pt>
                <c:pt idx="1760">
                  <c:v>54305</c:v>
                </c:pt>
                <c:pt idx="1761">
                  <c:v>54312</c:v>
                </c:pt>
                <c:pt idx="1762">
                  <c:v>54319</c:v>
                </c:pt>
                <c:pt idx="1763">
                  <c:v>54326</c:v>
                </c:pt>
                <c:pt idx="1764">
                  <c:v>54333</c:v>
                </c:pt>
                <c:pt idx="1765">
                  <c:v>54340</c:v>
                </c:pt>
                <c:pt idx="1766">
                  <c:v>54347</c:v>
                </c:pt>
                <c:pt idx="1767">
                  <c:v>54354</c:v>
                </c:pt>
                <c:pt idx="1768">
                  <c:v>54361</c:v>
                </c:pt>
                <c:pt idx="1769">
                  <c:v>54368</c:v>
                </c:pt>
                <c:pt idx="1770">
                  <c:v>54375</c:v>
                </c:pt>
                <c:pt idx="1771">
                  <c:v>54382</c:v>
                </c:pt>
                <c:pt idx="1772">
                  <c:v>54389</c:v>
                </c:pt>
                <c:pt idx="1773">
                  <c:v>54396</c:v>
                </c:pt>
                <c:pt idx="1774">
                  <c:v>54403</c:v>
                </c:pt>
                <c:pt idx="1775">
                  <c:v>54410</c:v>
                </c:pt>
                <c:pt idx="1776">
                  <c:v>54417</c:v>
                </c:pt>
                <c:pt idx="1777">
                  <c:v>54424</c:v>
                </c:pt>
                <c:pt idx="1778">
                  <c:v>54431</c:v>
                </c:pt>
                <c:pt idx="1779">
                  <c:v>54438</c:v>
                </c:pt>
                <c:pt idx="1780">
                  <c:v>54445</c:v>
                </c:pt>
                <c:pt idx="1781">
                  <c:v>54452</c:v>
                </c:pt>
                <c:pt idx="1782">
                  <c:v>54459</c:v>
                </c:pt>
                <c:pt idx="1783">
                  <c:v>54466</c:v>
                </c:pt>
                <c:pt idx="1784">
                  <c:v>54473</c:v>
                </c:pt>
                <c:pt idx="1785">
                  <c:v>54480</c:v>
                </c:pt>
                <c:pt idx="1786">
                  <c:v>54487</c:v>
                </c:pt>
                <c:pt idx="1787">
                  <c:v>54494</c:v>
                </c:pt>
                <c:pt idx="1788">
                  <c:v>54501</c:v>
                </c:pt>
                <c:pt idx="1789">
                  <c:v>54508</c:v>
                </c:pt>
                <c:pt idx="1790">
                  <c:v>54515</c:v>
                </c:pt>
                <c:pt idx="1791">
                  <c:v>54522</c:v>
                </c:pt>
                <c:pt idx="1792">
                  <c:v>54529</c:v>
                </c:pt>
                <c:pt idx="1793">
                  <c:v>54536</c:v>
                </c:pt>
                <c:pt idx="1794">
                  <c:v>54543</c:v>
                </c:pt>
                <c:pt idx="1795">
                  <c:v>54550</c:v>
                </c:pt>
                <c:pt idx="1796">
                  <c:v>54557</c:v>
                </c:pt>
                <c:pt idx="1797">
                  <c:v>54564</c:v>
                </c:pt>
                <c:pt idx="1798">
                  <c:v>54571</c:v>
                </c:pt>
                <c:pt idx="1799">
                  <c:v>54578</c:v>
                </c:pt>
                <c:pt idx="1800">
                  <c:v>54585</c:v>
                </c:pt>
                <c:pt idx="1801">
                  <c:v>54592</c:v>
                </c:pt>
                <c:pt idx="1802">
                  <c:v>54599</c:v>
                </c:pt>
                <c:pt idx="1803">
                  <c:v>54606</c:v>
                </c:pt>
                <c:pt idx="1804">
                  <c:v>54613</c:v>
                </c:pt>
                <c:pt idx="1805">
                  <c:v>54620</c:v>
                </c:pt>
                <c:pt idx="1806">
                  <c:v>54627</c:v>
                </c:pt>
                <c:pt idx="1807">
                  <c:v>54634</c:v>
                </c:pt>
                <c:pt idx="1808">
                  <c:v>54641</c:v>
                </c:pt>
                <c:pt idx="1809">
                  <c:v>54648</c:v>
                </c:pt>
                <c:pt idx="1810">
                  <c:v>54655</c:v>
                </c:pt>
                <c:pt idx="1811">
                  <c:v>54662</c:v>
                </c:pt>
                <c:pt idx="1812">
                  <c:v>54669</c:v>
                </c:pt>
                <c:pt idx="1813">
                  <c:v>54676</c:v>
                </c:pt>
                <c:pt idx="1814">
                  <c:v>54683</c:v>
                </c:pt>
                <c:pt idx="1815">
                  <c:v>54690</c:v>
                </c:pt>
                <c:pt idx="1816">
                  <c:v>54697</c:v>
                </c:pt>
                <c:pt idx="1817">
                  <c:v>54704</c:v>
                </c:pt>
                <c:pt idx="1818">
                  <c:v>54711</c:v>
                </c:pt>
                <c:pt idx="1819">
                  <c:v>54718</c:v>
                </c:pt>
                <c:pt idx="1820">
                  <c:v>54725</c:v>
                </c:pt>
                <c:pt idx="1821">
                  <c:v>54732</c:v>
                </c:pt>
                <c:pt idx="1822">
                  <c:v>54739</c:v>
                </c:pt>
                <c:pt idx="1823">
                  <c:v>54746</c:v>
                </c:pt>
                <c:pt idx="1824">
                  <c:v>54753</c:v>
                </c:pt>
                <c:pt idx="1825">
                  <c:v>54760</c:v>
                </c:pt>
                <c:pt idx="1826">
                  <c:v>54767</c:v>
                </c:pt>
                <c:pt idx="1827">
                  <c:v>54774</c:v>
                </c:pt>
                <c:pt idx="1828">
                  <c:v>54781</c:v>
                </c:pt>
                <c:pt idx="1829">
                  <c:v>54788</c:v>
                </c:pt>
                <c:pt idx="1830">
                  <c:v>54795</c:v>
                </c:pt>
                <c:pt idx="1831">
                  <c:v>54802</c:v>
                </c:pt>
                <c:pt idx="1832">
                  <c:v>54809</c:v>
                </c:pt>
                <c:pt idx="1833">
                  <c:v>54816</c:v>
                </c:pt>
                <c:pt idx="1834">
                  <c:v>54823</c:v>
                </c:pt>
                <c:pt idx="1835">
                  <c:v>54830</c:v>
                </c:pt>
                <c:pt idx="1836">
                  <c:v>54837</c:v>
                </c:pt>
                <c:pt idx="1837">
                  <c:v>54844</c:v>
                </c:pt>
                <c:pt idx="1838">
                  <c:v>54851</c:v>
                </c:pt>
                <c:pt idx="1839">
                  <c:v>54858</c:v>
                </c:pt>
                <c:pt idx="1840">
                  <c:v>54865</c:v>
                </c:pt>
                <c:pt idx="1841">
                  <c:v>54872</c:v>
                </c:pt>
                <c:pt idx="1842">
                  <c:v>54879</c:v>
                </c:pt>
                <c:pt idx="1843">
                  <c:v>54886</c:v>
                </c:pt>
                <c:pt idx="1844">
                  <c:v>54893</c:v>
                </c:pt>
                <c:pt idx="1845">
                  <c:v>54900</c:v>
                </c:pt>
                <c:pt idx="1846">
                  <c:v>54907</c:v>
                </c:pt>
                <c:pt idx="1847">
                  <c:v>54914</c:v>
                </c:pt>
                <c:pt idx="1848">
                  <c:v>54921</c:v>
                </c:pt>
                <c:pt idx="1849">
                  <c:v>54928</c:v>
                </c:pt>
                <c:pt idx="1850">
                  <c:v>54935</c:v>
                </c:pt>
                <c:pt idx="1851">
                  <c:v>54942</c:v>
                </c:pt>
                <c:pt idx="1852">
                  <c:v>54949</c:v>
                </c:pt>
                <c:pt idx="1853">
                  <c:v>54956</c:v>
                </c:pt>
                <c:pt idx="1854">
                  <c:v>54963</c:v>
                </c:pt>
                <c:pt idx="1855">
                  <c:v>54970</c:v>
                </c:pt>
                <c:pt idx="1856">
                  <c:v>54977</c:v>
                </c:pt>
                <c:pt idx="1857">
                  <c:v>54984</c:v>
                </c:pt>
                <c:pt idx="1858">
                  <c:v>54991</c:v>
                </c:pt>
                <c:pt idx="1859">
                  <c:v>54998</c:v>
                </c:pt>
                <c:pt idx="1860">
                  <c:v>55005</c:v>
                </c:pt>
                <c:pt idx="1861">
                  <c:v>55012</c:v>
                </c:pt>
                <c:pt idx="1862">
                  <c:v>55019</c:v>
                </c:pt>
                <c:pt idx="1863">
                  <c:v>55026</c:v>
                </c:pt>
                <c:pt idx="1864">
                  <c:v>55033</c:v>
                </c:pt>
                <c:pt idx="1865">
                  <c:v>55040</c:v>
                </c:pt>
                <c:pt idx="1866">
                  <c:v>55047</c:v>
                </c:pt>
                <c:pt idx="1867">
                  <c:v>55054</c:v>
                </c:pt>
                <c:pt idx="1868">
                  <c:v>55061</c:v>
                </c:pt>
                <c:pt idx="1869">
                  <c:v>55068</c:v>
                </c:pt>
                <c:pt idx="1870">
                  <c:v>55075</c:v>
                </c:pt>
                <c:pt idx="1871">
                  <c:v>55082</c:v>
                </c:pt>
                <c:pt idx="1872">
                  <c:v>55089</c:v>
                </c:pt>
                <c:pt idx="1873">
                  <c:v>55096</c:v>
                </c:pt>
                <c:pt idx="1874">
                  <c:v>55103</c:v>
                </c:pt>
                <c:pt idx="1875">
                  <c:v>55110</c:v>
                </c:pt>
                <c:pt idx="1876">
                  <c:v>55117</c:v>
                </c:pt>
                <c:pt idx="1877">
                  <c:v>55124</c:v>
                </c:pt>
                <c:pt idx="1878">
                  <c:v>55131</c:v>
                </c:pt>
                <c:pt idx="1879">
                  <c:v>55138</c:v>
                </c:pt>
                <c:pt idx="1880">
                  <c:v>55145</c:v>
                </c:pt>
                <c:pt idx="1881">
                  <c:v>55152</c:v>
                </c:pt>
                <c:pt idx="1882">
                  <c:v>55159</c:v>
                </c:pt>
                <c:pt idx="1883">
                  <c:v>55166</c:v>
                </c:pt>
                <c:pt idx="1884">
                  <c:v>55173</c:v>
                </c:pt>
                <c:pt idx="1885">
                  <c:v>55180</c:v>
                </c:pt>
                <c:pt idx="1886">
                  <c:v>55187</c:v>
                </c:pt>
                <c:pt idx="1887">
                  <c:v>55194</c:v>
                </c:pt>
                <c:pt idx="1888">
                  <c:v>55201</c:v>
                </c:pt>
                <c:pt idx="1889">
                  <c:v>55208</c:v>
                </c:pt>
                <c:pt idx="1890">
                  <c:v>55215</c:v>
                </c:pt>
                <c:pt idx="1891">
                  <c:v>55222</c:v>
                </c:pt>
                <c:pt idx="1892">
                  <c:v>55229</c:v>
                </c:pt>
                <c:pt idx="1893">
                  <c:v>55236</c:v>
                </c:pt>
                <c:pt idx="1894">
                  <c:v>55243</c:v>
                </c:pt>
                <c:pt idx="1895">
                  <c:v>55250</c:v>
                </c:pt>
                <c:pt idx="1896">
                  <c:v>55257</c:v>
                </c:pt>
                <c:pt idx="1897">
                  <c:v>55264</c:v>
                </c:pt>
                <c:pt idx="1898">
                  <c:v>55271</c:v>
                </c:pt>
                <c:pt idx="1899">
                  <c:v>55278</c:v>
                </c:pt>
                <c:pt idx="1900">
                  <c:v>55285</c:v>
                </c:pt>
                <c:pt idx="1901">
                  <c:v>55292</c:v>
                </c:pt>
                <c:pt idx="1902">
                  <c:v>55299</c:v>
                </c:pt>
                <c:pt idx="1903">
                  <c:v>55306</c:v>
                </c:pt>
                <c:pt idx="1904">
                  <c:v>55313</c:v>
                </c:pt>
                <c:pt idx="1905">
                  <c:v>55320</c:v>
                </c:pt>
                <c:pt idx="1906">
                  <c:v>55327</c:v>
                </c:pt>
                <c:pt idx="1907">
                  <c:v>55334</c:v>
                </c:pt>
                <c:pt idx="1908">
                  <c:v>55341</c:v>
                </c:pt>
                <c:pt idx="1909">
                  <c:v>55348</c:v>
                </c:pt>
                <c:pt idx="1910">
                  <c:v>55355</c:v>
                </c:pt>
                <c:pt idx="1911">
                  <c:v>55362</c:v>
                </c:pt>
                <c:pt idx="1912">
                  <c:v>55369</c:v>
                </c:pt>
                <c:pt idx="1913">
                  <c:v>55376</c:v>
                </c:pt>
                <c:pt idx="1914">
                  <c:v>55383</c:v>
                </c:pt>
                <c:pt idx="1915">
                  <c:v>55390</c:v>
                </c:pt>
                <c:pt idx="1916">
                  <c:v>55397</c:v>
                </c:pt>
                <c:pt idx="1917">
                  <c:v>55404</c:v>
                </c:pt>
                <c:pt idx="1918">
                  <c:v>55411</c:v>
                </c:pt>
                <c:pt idx="1919">
                  <c:v>55418</c:v>
                </c:pt>
                <c:pt idx="1920">
                  <c:v>55425</c:v>
                </c:pt>
                <c:pt idx="1921">
                  <c:v>55432</c:v>
                </c:pt>
                <c:pt idx="1922">
                  <c:v>55439</c:v>
                </c:pt>
                <c:pt idx="1923">
                  <c:v>55446</c:v>
                </c:pt>
                <c:pt idx="1924">
                  <c:v>55453</c:v>
                </c:pt>
                <c:pt idx="1925">
                  <c:v>55460</c:v>
                </c:pt>
                <c:pt idx="1926">
                  <c:v>55467</c:v>
                </c:pt>
                <c:pt idx="1927">
                  <c:v>55474</c:v>
                </c:pt>
                <c:pt idx="1928">
                  <c:v>55481</c:v>
                </c:pt>
                <c:pt idx="1929">
                  <c:v>55488</c:v>
                </c:pt>
                <c:pt idx="1930">
                  <c:v>55495</c:v>
                </c:pt>
                <c:pt idx="1931">
                  <c:v>55502</c:v>
                </c:pt>
                <c:pt idx="1932">
                  <c:v>55509</c:v>
                </c:pt>
                <c:pt idx="1933">
                  <c:v>55516</c:v>
                </c:pt>
                <c:pt idx="1934">
                  <c:v>55523</c:v>
                </c:pt>
                <c:pt idx="1935">
                  <c:v>55530</c:v>
                </c:pt>
                <c:pt idx="1936">
                  <c:v>55537</c:v>
                </c:pt>
                <c:pt idx="1937">
                  <c:v>55544</c:v>
                </c:pt>
                <c:pt idx="1938">
                  <c:v>55551</c:v>
                </c:pt>
                <c:pt idx="1939">
                  <c:v>55558</c:v>
                </c:pt>
                <c:pt idx="1940">
                  <c:v>55565</c:v>
                </c:pt>
                <c:pt idx="1941">
                  <c:v>55572</c:v>
                </c:pt>
                <c:pt idx="1942">
                  <c:v>55579</c:v>
                </c:pt>
                <c:pt idx="1943">
                  <c:v>55586</c:v>
                </c:pt>
                <c:pt idx="1944">
                  <c:v>55593</c:v>
                </c:pt>
                <c:pt idx="1945">
                  <c:v>55600</c:v>
                </c:pt>
                <c:pt idx="1946">
                  <c:v>55607</c:v>
                </c:pt>
                <c:pt idx="1947">
                  <c:v>55614</c:v>
                </c:pt>
                <c:pt idx="1948">
                  <c:v>55621</c:v>
                </c:pt>
                <c:pt idx="1949">
                  <c:v>55628</c:v>
                </c:pt>
                <c:pt idx="1950">
                  <c:v>55635</c:v>
                </c:pt>
                <c:pt idx="1951">
                  <c:v>55642</c:v>
                </c:pt>
                <c:pt idx="1952">
                  <c:v>55649</c:v>
                </c:pt>
                <c:pt idx="1953">
                  <c:v>55656</c:v>
                </c:pt>
                <c:pt idx="1954">
                  <c:v>55663</c:v>
                </c:pt>
                <c:pt idx="1955">
                  <c:v>55670</c:v>
                </c:pt>
                <c:pt idx="1956">
                  <c:v>55677</c:v>
                </c:pt>
                <c:pt idx="1957">
                  <c:v>55684</c:v>
                </c:pt>
                <c:pt idx="1958">
                  <c:v>55691</c:v>
                </c:pt>
                <c:pt idx="1959">
                  <c:v>55698</c:v>
                </c:pt>
                <c:pt idx="1960">
                  <c:v>55705</c:v>
                </c:pt>
                <c:pt idx="1961">
                  <c:v>55712</c:v>
                </c:pt>
                <c:pt idx="1962">
                  <c:v>55719</c:v>
                </c:pt>
                <c:pt idx="1963">
                  <c:v>55726</c:v>
                </c:pt>
                <c:pt idx="1964">
                  <c:v>55733</c:v>
                </c:pt>
                <c:pt idx="1965">
                  <c:v>55740</c:v>
                </c:pt>
                <c:pt idx="1966">
                  <c:v>55747</c:v>
                </c:pt>
                <c:pt idx="1967">
                  <c:v>55754</c:v>
                </c:pt>
                <c:pt idx="1968">
                  <c:v>55761</c:v>
                </c:pt>
                <c:pt idx="1969">
                  <c:v>55768</c:v>
                </c:pt>
                <c:pt idx="1970">
                  <c:v>55775</c:v>
                </c:pt>
                <c:pt idx="1971">
                  <c:v>55782</c:v>
                </c:pt>
                <c:pt idx="1972">
                  <c:v>55789</c:v>
                </c:pt>
                <c:pt idx="1973">
                  <c:v>55796</c:v>
                </c:pt>
                <c:pt idx="1974">
                  <c:v>55803</c:v>
                </c:pt>
                <c:pt idx="1975">
                  <c:v>55810</c:v>
                </c:pt>
                <c:pt idx="1976">
                  <c:v>55817</c:v>
                </c:pt>
                <c:pt idx="1977">
                  <c:v>55824</c:v>
                </c:pt>
                <c:pt idx="1978">
                  <c:v>55831</c:v>
                </c:pt>
                <c:pt idx="1979">
                  <c:v>55838</c:v>
                </c:pt>
                <c:pt idx="1980">
                  <c:v>55845</c:v>
                </c:pt>
                <c:pt idx="1981">
                  <c:v>55852</c:v>
                </c:pt>
                <c:pt idx="1982">
                  <c:v>55859</c:v>
                </c:pt>
                <c:pt idx="1983">
                  <c:v>55866</c:v>
                </c:pt>
                <c:pt idx="1984">
                  <c:v>55873</c:v>
                </c:pt>
                <c:pt idx="1985">
                  <c:v>55880</c:v>
                </c:pt>
                <c:pt idx="1986">
                  <c:v>55887</c:v>
                </c:pt>
                <c:pt idx="1987">
                  <c:v>55894</c:v>
                </c:pt>
                <c:pt idx="1988">
                  <c:v>55901</c:v>
                </c:pt>
                <c:pt idx="1989">
                  <c:v>55908</c:v>
                </c:pt>
                <c:pt idx="1990">
                  <c:v>55915</c:v>
                </c:pt>
                <c:pt idx="1991">
                  <c:v>55922</c:v>
                </c:pt>
                <c:pt idx="1992">
                  <c:v>55929</c:v>
                </c:pt>
                <c:pt idx="1993">
                  <c:v>55936</c:v>
                </c:pt>
                <c:pt idx="1994">
                  <c:v>55943</c:v>
                </c:pt>
                <c:pt idx="1995">
                  <c:v>55950</c:v>
                </c:pt>
                <c:pt idx="1996">
                  <c:v>55957</c:v>
                </c:pt>
                <c:pt idx="1997">
                  <c:v>55964</c:v>
                </c:pt>
                <c:pt idx="1998">
                  <c:v>55971</c:v>
                </c:pt>
                <c:pt idx="1999">
                  <c:v>55978</c:v>
                </c:pt>
                <c:pt idx="2000">
                  <c:v>55985</c:v>
                </c:pt>
                <c:pt idx="2001">
                  <c:v>55992</c:v>
                </c:pt>
                <c:pt idx="2002">
                  <c:v>55999</c:v>
                </c:pt>
                <c:pt idx="2003">
                  <c:v>56006</c:v>
                </c:pt>
                <c:pt idx="2004">
                  <c:v>56013</c:v>
                </c:pt>
                <c:pt idx="2005">
                  <c:v>56020</c:v>
                </c:pt>
                <c:pt idx="2006">
                  <c:v>56027</c:v>
                </c:pt>
                <c:pt idx="2007">
                  <c:v>56034</c:v>
                </c:pt>
                <c:pt idx="2008">
                  <c:v>56041</c:v>
                </c:pt>
                <c:pt idx="2009">
                  <c:v>56048</c:v>
                </c:pt>
                <c:pt idx="2010">
                  <c:v>56055</c:v>
                </c:pt>
                <c:pt idx="2011">
                  <c:v>56062</c:v>
                </c:pt>
                <c:pt idx="2012">
                  <c:v>56069</c:v>
                </c:pt>
                <c:pt idx="2013">
                  <c:v>56076</c:v>
                </c:pt>
                <c:pt idx="2014">
                  <c:v>56083</c:v>
                </c:pt>
                <c:pt idx="2015">
                  <c:v>56090</c:v>
                </c:pt>
                <c:pt idx="2016">
                  <c:v>56097</c:v>
                </c:pt>
                <c:pt idx="2017">
                  <c:v>56104</c:v>
                </c:pt>
                <c:pt idx="2018">
                  <c:v>56111</c:v>
                </c:pt>
                <c:pt idx="2019">
                  <c:v>56118</c:v>
                </c:pt>
                <c:pt idx="2020">
                  <c:v>56125</c:v>
                </c:pt>
                <c:pt idx="2021">
                  <c:v>56132</c:v>
                </c:pt>
                <c:pt idx="2022">
                  <c:v>56139</c:v>
                </c:pt>
                <c:pt idx="2023">
                  <c:v>56146</c:v>
                </c:pt>
                <c:pt idx="2024">
                  <c:v>56153</c:v>
                </c:pt>
                <c:pt idx="2025">
                  <c:v>56160</c:v>
                </c:pt>
                <c:pt idx="2026">
                  <c:v>56167</c:v>
                </c:pt>
                <c:pt idx="2027">
                  <c:v>56174</c:v>
                </c:pt>
                <c:pt idx="2028">
                  <c:v>56181</c:v>
                </c:pt>
                <c:pt idx="2029">
                  <c:v>56188</c:v>
                </c:pt>
                <c:pt idx="2030">
                  <c:v>56195</c:v>
                </c:pt>
                <c:pt idx="2031">
                  <c:v>56202</c:v>
                </c:pt>
                <c:pt idx="2032">
                  <c:v>56209</c:v>
                </c:pt>
                <c:pt idx="2033">
                  <c:v>56216</c:v>
                </c:pt>
                <c:pt idx="2034">
                  <c:v>56223</c:v>
                </c:pt>
                <c:pt idx="2035">
                  <c:v>56230</c:v>
                </c:pt>
                <c:pt idx="2036">
                  <c:v>56237</c:v>
                </c:pt>
                <c:pt idx="2037">
                  <c:v>56244</c:v>
                </c:pt>
                <c:pt idx="2038">
                  <c:v>56251</c:v>
                </c:pt>
                <c:pt idx="2039">
                  <c:v>56258</c:v>
                </c:pt>
                <c:pt idx="2040">
                  <c:v>56265</c:v>
                </c:pt>
                <c:pt idx="2041">
                  <c:v>56272</c:v>
                </c:pt>
                <c:pt idx="2042">
                  <c:v>56279</c:v>
                </c:pt>
                <c:pt idx="2043">
                  <c:v>56286</c:v>
                </c:pt>
                <c:pt idx="2044">
                  <c:v>56293</c:v>
                </c:pt>
                <c:pt idx="2045">
                  <c:v>56300</c:v>
                </c:pt>
                <c:pt idx="2046">
                  <c:v>56307</c:v>
                </c:pt>
                <c:pt idx="2047">
                  <c:v>56314</c:v>
                </c:pt>
                <c:pt idx="2048">
                  <c:v>56321</c:v>
                </c:pt>
                <c:pt idx="2049">
                  <c:v>56328</c:v>
                </c:pt>
                <c:pt idx="2050">
                  <c:v>56335</c:v>
                </c:pt>
                <c:pt idx="2051">
                  <c:v>56342</c:v>
                </c:pt>
                <c:pt idx="2052">
                  <c:v>56349</c:v>
                </c:pt>
                <c:pt idx="2053">
                  <c:v>56356</c:v>
                </c:pt>
                <c:pt idx="2054">
                  <c:v>56363</c:v>
                </c:pt>
                <c:pt idx="2055">
                  <c:v>56370</c:v>
                </c:pt>
                <c:pt idx="2056">
                  <c:v>56377</c:v>
                </c:pt>
                <c:pt idx="2057">
                  <c:v>56384</c:v>
                </c:pt>
                <c:pt idx="2058">
                  <c:v>56391</c:v>
                </c:pt>
                <c:pt idx="2059">
                  <c:v>56398</c:v>
                </c:pt>
                <c:pt idx="2060">
                  <c:v>56405</c:v>
                </c:pt>
                <c:pt idx="2061">
                  <c:v>56412</c:v>
                </c:pt>
                <c:pt idx="2062">
                  <c:v>56419</c:v>
                </c:pt>
                <c:pt idx="2063">
                  <c:v>56426</c:v>
                </c:pt>
                <c:pt idx="2064">
                  <c:v>56433</c:v>
                </c:pt>
                <c:pt idx="2065">
                  <c:v>56440</c:v>
                </c:pt>
                <c:pt idx="2066">
                  <c:v>56447</c:v>
                </c:pt>
                <c:pt idx="2067">
                  <c:v>56454</c:v>
                </c:pt>
                <c:pt idx="2068">
                  <c:v>56461</c:v>
                </c:pt>
                <c:pt idx="2069">
                  <c:v>56468</c:v>
                </c:pt>
                <c:pt idx="2070">
                  <c:v>56475</c:v>
                </c:pt>
                <c:pt idx="2071">
                  <c:v>56482</c:v>
                </c:pt>
                <c:pt idx="2072">
                  <c:v>56489</c:v>
                </c:pt>
                <c:pt idx="2073">
                  <c:v>56496</c:v>
                </c:pt>
                <c:pt idx="2074">
                  <c:v>56503</c:v>
                </c:pt>
                <c:pt idx="2075">
                  <c:v>56510</c:v>
                </c:pt>
                <c:pt idx="2076">
                  <c:v>56517</c:v>
                </c:pt>
                <c:pt idx="2077">
                  <c:v>56524</c:v>
                </c:pt>
                <c:pt idx="2078">
                  <c:v>56531</c:v>
                </c:pt>
                <c:pt idx="2079">
                  <c:v>56538</c:v>
                </c:pt>
                <c:pt idx="2080">
                  <c:v>56545</c:v>
                </c:pt>
                <c:pt idx="2081">
                  <c:v>56552</c:v>
                </c:pt>
                <c:pt idx="2082">
                  <c:v>56559</c:v>
                </c:pt>
                <c:pt idx="2083">
                  <c:v>56566</c:v>
                </c:pt>
                <c:pt idx="2084">
                  <c:v>56573</c:v>
                </c:pt>
                <c:pt idx="2085">
                  <c:v>56580</c:v>
                </c:pt>
                <c:pt idx="2086">
                  <c:v>56587</c:v>
                </c:pt>
                <c:pt idx="2087">
                  <c:v>56594</c:v>
                </c:pt>
                <c:pt idx="2088">
                  <c:v>56601</c:v>
                </c:pt>
                <c:pt idx="2089">
                  <c:v>56608</c:v>
                </c:pt>
                <c:pt idx="2090">
                  <c:v>56615</c:v>
                </c:pt>
                <c:pt idx="2091">
                  <c:v>56622</c:v>
                </c:pt>
                <c:pt idx="2092">
                  <c:v>56629</c:v>
                </c:pt>
                <c:pt idx="2093">
                  <c:v>56636</c:v>
                </c:pt>
                <c:pt idx="2094">
                  <c:v>56643</c:v>
                </c:pt>
                <c:pt idx="2095">
                  <c:v>56650</c:v>
                </c:pt>
                <c:pt idx="2096">
                  <c:v>56657</c:v>
                </c:pt>
                <c:pt idx="2097">
                  <c:v>56664</c:v>
                </c:pt>
                <c:pt idx="2098">
                  <c:v>56671</c:v>
                </c:pt>
                <c:pt idx="2099">
                  <c:v>56678</c:v>
                </c:pt>
                <c:pt idx="2100">
                  <c:v>56685</c:v>
                </c:pt>
                <c:pt idx="2101">
                  <c:v>56692</c:v>
                </c:pt>
                <c:pt idx="2102">
                  <c:v>56699</c:v>
                </c:pt>
                <c:pt idx="2103">
                  <c:v>56706</c:v>
                </c:pt>
                <c:pt idx="2104">
                  <c:v>56713</c:v>
                </c:pt>
                <c:pt idx="2105">
                  <c:v>56720</c:v>
                </c:pt>
                <c:pt idx="2106">
                  <c:v>56727</c:v>
                </c:pt>
                <c:pt idx="2107">
                  <c:v>56734</c:v>
                </c:pt>
                <c:pt idx="2108">
                  <c:v>56741</c:v>
                </c:pt>
                <c:pt idx="2109">
                  <c:v>56748</c:v>
                </c:pt>
                <c:pt idx="2110">
                  <c:v>56755</c:v>
                </c:pt>
                <c:pt idx="2111">
                  <c:v>56762</c:v>
                </c:pt>
                <c:pt idx="2112">
                  <c:v>56769</c:v>
                </c:pt>
                <c:pt idx="2113">
                  <c:v>56776</c:v>
                </c:pt>
                <c:pt idx="2114">
                  <c:v>56783</c:v>
                </c:pt>
                <c:pt idx="2115">
                  <c:v>56790</c:v>
                </c:pt>
                <c:pt idx="2116">
                  <c:v>56797</c:v>
                </c:pt>
                <c:pt idx="2117">
                  <c:v>56804</c:v>
                </c:pt>
                <c:pt idx="2118">
                  <c:v>56811</c:v>
                </c:pt>
                <c:pt idx="2119">
                  <c:v>56818</c:v>
                </c:pt>
                <c:pt idx="2120">
                  <c:v>56825</c:v>
                </c:pt>
                <c:pt idx="2121">
                  <c:v>56832</c:v>
                </c:pt>
                <c:pt idx="2122">
                  <c:v>56839</c:v>
                </c:pt>
                <c:pt idx="2123">
                  <c:v>56846</c:v>
                </c:pt>
                <c:pt idx="2124">
                  <c:v>56853</c:v>
                </c:pt>
                <c:pt idx="2125">
                  <c:v>56860</c:v>
                </c:pt>
                <c:pt idx="2126">
                  <c:v>56867</c:v>
                </c:pt>
                <c:pt idx="2127">
                  <c:v>56874</c:v>
                </c:pt>
                <c:pt idx="2128">
                  <c:v>56881</c:v>
                </c:pt>
                <c:pt idx="2129">
                  <c:v>56888</c:v>
                </c:pt>
                <c:pt idx="2130">
                  <c:v>56895</c:v>
                </c:pt>
                <c:pt idx="2131">
                  <c:v>56902</c:v>
                </c:pt>
                <c:pt idx="2132">
                  <c:v>56909</c:v>
                </c:pt>
                <c:pt idx="2133">
                  <c:v>56916</c:v>
                </c:pt>
                <c:pt idx="2134">
                  <c:v>56923</c:v>
                </c:pt>
                <c:pt idx="2135">
                  <c:v>56930</c:v>
                </c:pt>
                <c:pt idx="2136">
                  <c:v>56937</c:v>
                </c:pt>
                <c:pt idx="2137">
                  <c:v>56944</c:v>
                </c:pt>
                <c:pt idx="2138">
                  <c:v>56951</c:v>
                </c:pt>
                <c:pt idx="2139">
                  <c:v>56958</c:v>
                </c:pt>
                <c:pt idx="2140">
                  <c:v>56965</c:v>
                </c:pt>
                <c:pt idx="2141">
                  <c:v>56972</c:v>
                </c:pt>
                <c:pt idx="2142">
                  <c:v>56979</c:v>
                </c:pt>
                <c:pt idx="2143">
                  <c:v>56986</c:v>
                </c:pt>
                <c:pt idx="2144">
                  <c:v>56993</c:v>
                </c:pt>
                <c:pt idx="2145">
                  <c:v>57000</c:v>
                </c:pt>
                <c:pt idx="2146">
                  <c:v>57007</c:v>
                </c:pt>
                <c:pt idx="2147">
                  <c:v>57014</c:v>
                </c:pt>
                <c:pt idx="2148">
                  <c:v>57021</c:v>
                </c:pt>
                <c:pt idx="2149">
                  <c:v>57028</c:v>
                </c:pt>
                <c:pt idx="2150">
                  <c:v>57035</c:v>
                </c:pt>
                <c:pt idx="2151">
                  <c:v>57042</c:v>
                </c:pt>
                <c:pt idx="2152">
                  <c:v>57049</c:v>
                </c:pt>
                <c:pt idx="2153">
                  <c:v>57056</c:v>
                </c:pt>
                <c:pt idx="2154">
                  <c:v>57063</c:v>
                </c:pt>
                <c:pt idx="2155">
                  <c:v>57070</c:v>
                </c:pt>
                <c:pt idx="2156">
                  <c:v>57077</c:v>
                </c:pt>
                <c:pt idx="2157">
                  <c:v>57084</c:v>
                </c:pt>
                <c:pt idx="2158">
                  <c:v>57091</c:v>
                </c:pt>
                <c:pt idx="2159">
                  <c:v>57098</c:v>
                </c:pt>
                <c:pt idx="2160">
                  <c:v>57105</c:v>
                </c:pt>
                <c:pt idx="2161">
                  <c:v>57112</c:v>
                </c:pt>
                <c:pt idx="2162">
                  <c:v>57119</c:v>
                </c:pt>
                <c:pt idx="2163">
                  <c:v>57126</c:v>
                </c:pt>
                <c:pt idx="2164">
                  <c:v>57133</c:v>
                </c:pt>
                <c:pt idx="2165">
                  <c:v>57140</c:v>
                </c:pt>
                <c:pt idx="2166">
                  <c:v>57147</c:v>
                </c:pt>
                <c:pt idx="2167">
                  <c:v>57154</c:v>
                </c:pt>
                <c:pt idx="2168">
                  <c:v>57161</c:v>
                </c:pt>
                <c:pt idx="2169">
                  <c:v>57168</c:v>
                </c:pt>
                <c:pt idx="2170">
                  <c:v>57175</c:v>
                </c:pt>
                <c:pt idx="2171">
                  <c:v>57182</c:v>
                </c:pt>
                <c:pt idx="2172">
                  <c:v>57189</c:v>
                </c:pt>
                <c:pt idx="2173">
                  <c:v>57196</c:v>
                </c:pt>
                <c:pt idx="2174">
                  <c:v>57203</c:v>
                </c:pt>
                <c:pt idx="2175">
                  <c:v>57210</c:v>
                </c:pt>
                <c:pt idx="2176">
                  <c:v>57217</c:v>
                </c:pt>
                <c:pt idx="2177">
                  <c:v>57224</c:v>
                </c:pt>
                <c:pt idx="2178">
                  <c:v>57231</c:v>
                </c:pt>
                <c:pt idx="2179">
                  <c:v>57238</c:v>
                </c:pt>
                <c:pt idx="2180">
                  <c:v>57245</c:v>
                </c:pt>
                <c:pt idx="2181">
                  <c:v>57252</c:v>
                </c:pt>
                <c:pt idx="2182">
                  <c:v>57259</c:v>
                </c:pt>
                <c:pt idx="2183">
                  <c:v>57266</c:v>
                </c:pt>
                <c:pt idx="2184">
                  <c:v>57273</c:v>
                </c:pt>
                <c:pt idx="2185">
                  <c:v>57280</c:v>
                </c:pt>
                <c:pt idx="2186">
                  <c:v>57287</c:v>
                </c:pt>
                <c:pt idx="2187">
                  <c:v>57294</c:v>
                </c:pt>
                <c:pt idx="2188">
                  <c:v>57301</c:v>
                </c:pt>
                <c:pt idx="2189">
                  <c:v>57308</c:v>
                </c:pt>
                <c:pt idx="2190">
                  <c:v>57315</c:v>
                </c:pt>
                <c:pt idx="2191">
                  <c:v>57322</c:v>
                </c:pt>
                <c:pt idx="2192">
                  <c:v>57329</c:v>
                </c:pt>
                <c:pt idx="2193">
                  <c:v>57336</c:v>
                </c:pt>
                <c:pt idx="2194">
                  <c:v>57343</c:v>
                </c:pt>
                <c:pt idx="2195">
                  <c:v>57350</c:v>
                </c:pt>
                <c:pt idx="2196">
                  <c:v>57357</c:v>
                </c:pt>
                <c:pt idx="2197">
                  <c:v>57364</c:v>
                </c:pt>
                <c:pt idx="2198">
                  <c:v>57371</c:v>
                </c:pt>
                <c:pt idx="2199">
                  <c:v>57378</c:v>
                </c:pt>
                <c:pt idx="2200">
                  <c:v>57385</c:v>
                </c:pt>
                <c:pt idx="2201">
                  <c:v>57392</c:v>
                </c:pt>
                <c:pt idx="2202">
                  <c:v>57399</c:v>
                </c:pt>
                <c:pt idx="2203">
                  <c:v>57406</c:v>
                </c:pt>
                <c:pt idx="2204">
                  <c:v>57413</c:v>
                </c:pt>
                <c:pt idx="2205">
                  <c:v>57420</c:v>
                </c:pt>
                <c:pt idx="2206">
                  <c:v>57427</c:v>
                </c:pt>
                <c:pt idx="2207">
                  <c:v>57434</c:v>
                </c:pt>
                <c:pt idx="2208">
                  <c:v>57441</c:v>
                </c:pt>
                <c:pt idx="2209">
                  <c:v>57448</c:v>
                </c:pt>
                <c:pt idx="2210">
                  <c:v>57455</c:v>
                </c:pt>
                <c:pt idx="2211">
                  <c:v>57462</c:v>
                </c:pt>
                <c:pt idx="2212">
                  <c:v>57469</c:v>
                </c:pt>
                <c:pt idx="2213">
                  <c:v>57476</c:v>
                </c:pt>
                <c:pt idx="2214">
                  <c:v>57483</c:v>
                </c:pt>
                <c:pt idx="2215">
                  <c:v>57490</c:v>
                </c:pt>
                <c:pt idx="2216">
                  <c:v>57497</c:v>
                </c:pt>
                <c:pt idx="2217">
                  <c:v>57504</c:v>
                </c:pt>
                <c:pt idx="2218">
                  <c:v>57511</c:v>
                </c:pt>
                <c:pt idx="2219">
                  <c:v>57518</c:v>
                </c:pt>
                <c:pt idx="2220">
                  <c:v>57525</c:v>
                </c:pt>
                <c:pt idx="2221">
                  <c:v>57532</c:v>
                </c:pt>
                <c:pt idx="2222">
                  <c:v>57539</c:v>
                </c:pt>
                <c:pt idx="2223">
                  <c:v>57546</c:v>
                </c:pt>
                <c:pt idx="2224">
                  <c:v>57553</c:v>
                </c:pt>
                <c:pt idx="2225">
                  <c:v>57560</c:v>
                </c:pt>
                <c:pt idx="2226">
                  <c:v>57567</c:v>
                </c:pt>
                <c:pt idx="2227">
                  <c:v>57574</c:v>
                </c:pt>
                <c:pt idx="2228">
                  <c:v>57581</c:v>
                </c:pt>
                <c:pt idx="2229">
                  <c:v>57588</c:v>
                </c:pt>
                <c:pt idx="2230">
                  <c:v>57595</c:v>
                </c:pt>
                <c:pt idx="2231">
                  <c:v>57602</c:v>
                </c:pt>
                <c:pt idx="2232">
                  <c:v>57609</c:v>
                </c:pt>
                <c:pt idx="2233">
                  <c:v>57616</c:v>
                </c:pt>
                <c:pt idx="2234">
                  <c:v>57623</c:v>
                </c:pt>
                <c:pt idx="2235">
                  <c:v>57630</c:v>
                </c:pt>
                <c:pt idx="2236">
                  <c:v>57637</c:v>
                </c:pt>
                <c:pt idx="2237">
                  <c:v>57644</c:v>
                </c:pt>
                <c:pt idx="2238">
                  <c:v>57651</c:v>
                </c:pt>
                <c:pt idx="2239">
                  <c:v>57658</c:v>
                </c:pt>
                <c:pt idx="2240">
                  <c:v>57665</c:v>
                </c:pt>
                <c:pt idx="2241">
                  <c:v>57672</c:v>
                </c:pt>
                <c:pt idx="2242">
                  <c:v>57679</c:v>
                </c:pt>
                <c:pt idx="2243">
                  <c:v>57686</c:v>
                </c:pt>
                <c:pt idx="2244">
                  <c:v>57693</c:v>
                </c:pt>
                <c:pt idx="2245">
                  <c:v>57700</c:v>
                </c:pt>
                <c:pt idx="2246">
                  <c:v>57707</c:v>
                </c:pt>
                <c:pt idx="2247">
                  <c:v>57714</c:v>
                </c:pt>
                <c:pt idx="2248">
                  <c:v>57721</c:v>
                </c:pt>
                <c:pt idx="2249">
                  <c:v>57728</c:v>
                </c:pt>
                <c:pt idx="2250">
                  <c:v>57735</c:v>
                </c:pt>
                <c:pt idx="2251">
                  <c:v>57742</c:v>
                </c:pt>
                <c:pt idx="2252">
                  <c:v>57749</c:v>
                </c:pt>
                <c:pt idx="2253">
                  <c:v>57756</c:v>
                </c:pt>
                <c:pt idx="2254">
                  <c:v>57763</c:v>
                </c:pt>
                <c:pt idx="2255">
                  <c:v>57770</c:v>
                </c:pt>
                <c:pt idx="2256">
                  <c:v>57777</c:v>
                </c:pt>
                <c:pt idx="2257">
                  <c:v>57784</c:v>
                </c:pt>
                <c:pt idx="2258">
                  <c:v>57791</c:v>
                </c:pt>
                <c:pt idx="2259">
                  <c:v>57798</c:v>
                </c:pt>
                <c:pt idx="2260">
                  <c:v>57805</c:v>
                </c:pt>
                <c:pt idx="2261">
                  <c:v>57812</c:v>
                </c:pt>
                <c:pt idx="2262">
                  <c:v>57819</c:v>
                </c:pt>
                <c:pt idx="2263">
                  <c:v>57826</c:v>
                </c:pt>
                <c:pt idx="2264">
                  <c:v>57833</c:v>
                </c:pt>
                <c:pt idx="2265">
                  <c:v>57840</c:v>
                </c:pt>
                <c:pt idx="2266">
                  <c:v>57847</c:v>
                </c:pt>
                <c:pt idx="2267">
                  <c:v>57854</c:v>
                </c:pt>
                <c:pt idx="2268">
                  <c:v>57861</c:v>
                </c:pt>
                <c:pt idx="2269">
                  <c:v>57868</c:v>
                </c:pt>
                <c:pt idx="2270">
                  <c:v>57875</c:v>
                </c:pt>
                <c:pt idx="2271">
                  <c:v>57882</c:v>
                </c:pt>
                <c:pt idx="2272">
                  <c:v>57889</c:v>
                </c:pt>
                <c:pt idx="2273">
                  <c:v>57896</c:v>
                </c:pt>
                <c:pt idx="2274">
                  <c:v>57903</c:v>
                </c:pt>
                <c:pt idx="2275">
                  <c:v>57910</c:v>
                </c:pt>
                <c:pt idx="2276">
                  <c:v>57917</c:v>
                </c:pt>
                <c:pt idx="2277">
                  <c:v>57924</c:v>
                </c:pt>
                <c:pt idx="2278">
                  <c:v>57931</c:v>
                </c:pt>
                <c:pt idx="2279">
                  <c:v>57938</c:v>
                </c:pt>
                <c:pt idx="2280">
                  <c:v>57945</c:v>
                </c:pt>
                <c:pt idx="2281">
                  <c:v>57952</c:v>
                </c:pt>
                <c:pt idx="2282">
                  <c:v>57959</c:v>
                </c:pt>
                <c:pt idx="2283">
                  <c:v>57966</c:v>
                </c:pt>
                <c:pt idx="2284">
                  <c:v>57973</c:v>
                </c:pt>
                <c:pt idx="2285">
                  <c:v>57980</c:v>
                </c:pt>
                <c:pt idx="2286">
                  <c:v>57987</c:v>
                </c:pt>
                <c:pt idx="2287">
                  <c:v>57994</c:v>
                </c:pt>
                <c:pt idx="2288">
                  <c:v>58001</c:v>
                </c:pt>
                <c:pt idx="2289">
                  <c:v>58008</c:v>
                </c:pt>
                <c:pt idx="2290">
                  <c:v>58015</c:v>
                </c:pt>
                <c:pt idx="2291">
                  <c:v>58022</c:v>
                </c:pt>
                <c:pt idx="2292">
                  <c:v>58029</c:v>
                </c:pt>
                <c:pt idx="2293">
                  <c:v>58036</c:v>
                </c:pt>
                <c:pt idx="2294">
                  <c:v>58043</c:v>
                </c:pt>
                <c:pt idx="2295">
                  <c:v>58050</c:v>
                </c:pt>
                <c:pt idx="2296">
                  <c:v>58057</c:v>
                </c:pt>
                <c:pt idx="2297">
                  <c:v>58064</c:v>
                </c:pt>
                <c:pt idx="2298">
                  <c:v>58071</c:v>
                </c:pt>
                <c:pt idx="2299">
                  <c:v>58078</c:v>
                </c:pt>
                <c:pt idx="2300">
                  <c:v>58085</c:v>
                </c:pt>
                <c:pt idx="2301">
                  <c:v>58092</c:v>
                </c:pt>
                <c:pt idx="2302">
                  <c:v>58099</c:v>
                </c:pt>
                <c:pt idx="2303">
                  <c:v>58106</c:v>
                </c:pt>
                <c:pt idx="2304">
                  <c:v>58113</c:v>
                </c:pt>
                <c:pt idx="2305">
                  <c:v>58120</c:v>
                </c:pt>
                <c:pt idx="2306">
                  <c:v>58127</c:v>
                </c:pt>
                <c:pt idx="2307">
                  <c:v>58134</c:v>
                </c:pt>
                <c:pt idx="2308">
                  <c:v>58141</c:v>
                </c:pt>
                <c:pt idx="2309">
                  <c:v>58148</c:v>
                </c:pt>
                <c:pt idx="2310">
                  <c:v>58155</c:v>
                </c:pt>
                <c:pt idx="2311">
                  <c:v>58162</c:v>
                </c:pt>
                <c:pt idx="2312">
                  <c:v>58169</c:v>
                </c:pt>
                <c:pt idx="2313">
                  <c:v>58176</c:v>
                </c:pt>
                <c:pt idx="2314">
                  <c:v>58183</c:v>
                </c:pt>
                <c:pt idx="2315">
                  <c:v>58190</c:v>
                </c:pt>
                <c:pt idx="2316">
                  <c:v>58197</c:v>
                </c:pt>
                <c:pt idx="2317">
                  <c:v>58204</c:v>
                </c:pt>
                <c:pt idx="2318">
                  <c:v>58211</c:v>
                </c:pt>
                <c:pt idx="2319">
                  <c:v>58218</c:v>
                </c:pt>
                <c:pt idx="2320">
                  <c:v>58225</c:v>
                </c:pt>
                <c:pt idx="2321">
                  <c:v>58232</c:v>
                </c:pt>
                <c:pt idx="2322">
                  <c:v>58239</c:v>
                </c:pt>
                <c:pt idx="2323">
                  <c:v>58246</c:v>
                </c:pt>
                <c:pt idx="2324">
                  <c:v>58253</c:v>
                </c:pt>
                <c:pt idx="2325">
                  <c:v>58260</c:v>
                </c:pt>
                <c:pt idx="2326">
                  <c:v>58267</c:v>
                </c:pt>
                <c:pt idx="2327">
                  <c:v>58274</c:v>
                </c:pt>
                <c:pt idx="2328">
                  <c:v>58281</c:v>
                </c:pt>
                <c:pt idx="2329">
                  <c:v>58288</c:v>
                </c:pt>
                <c:pt idx="2330">
                  <c:v>58295</c:v>
                </c:pt>
                <c:pt idx="2331">
                  <c:v>58302</c:v>
                </c:pt>
                <c:pt idx="2332">
                  <c:v>58309</c:v>
                </c:pt>
                <c:pt idx="2333">
                  <c:v>58316</c:v>
                </c:pt>
                <c:pt idx="2334">
                  <c:v>58323</c:v>
                </c:pt>
                <c:pt idx="2335">
                  <c:v>58330</c:v>
                </c:pt>
                <c:pt idx="2336">
                  <c:v>58337</c:v>
                </c:pt>
                <c:pt idx="2337">
                  <c:v>58344</c:v>
                </c:pt>
                <c:pt idx="2338">
                  <c:v>58351</c:v>
                </c:pt>
                <c:pt idx="2339">
                  <c:v>58358</c:v>
                </c:pt>
                <c:pt idx="2340">
                  <c:v>58365</c:v>
                </c:pt>
                <c:pt idx="2341">
                  <c:v>58372</c:v>
                </c:pt>
                <c:pt idx="2342">
                  <c:v>58379</c:v>
                </c:pt>
                <c:pt idx="2343">
                  <c:v>58386</c:v>
                </c:pt>
                <c:pt idx="2344">
                  <c:v>58393</c:v>
                </c:pt>
                <c:pt idx="2345">
                  <c:v>58400</c:v>
                </c:pt>
                <c:pt idx="2346">
                  <c:v>58407</c:v>
                </c:pt>
                <c:pt idx="2347">
                  <c:v>58414</c:v>
                </c:pt>
                <c:pt idx="2348">
                  <c:v>58421</c:v>
                </c:pt>
                <c:pt idx="2349">
                  <c:v>58428</c:v>
                </c:pt>
                <c:pt idx="2350">
                  <c:v>58435</c:v>
                </c:pt>
                <c:pt idx="2351">
                  <c:v>58442</c:v>
                </c:pt>
                <c:pt idx="2352">
                  <c:v>58449</c:v>
                </c:pt>
                <c:pt idx="2353">
                  <c:v>58456</c:v>
                </c:pt>
                <c:pt idx="2354">
                  <c:v>58463</c:v>
                </c:pt>
                <c:pt idx="2355">
                  <c:v>58470</c:v>
                </c:pt>
                <c:pt idx="2356">
                  <c:v>58477</c:v>
                </c:pt>
                <c:pt idx="2357">
                  <c:v>58484</c:v>
                </c:pt>
                <c:pt idx="2358">
                  <c:v>58491</c:v>
                </c:pt>
                <c:pt idx="2359">
                  <c:v>58498</c:v>
                </c:pt>
                <c:pt idx="2360">
                  <c:v>58505</c:v>
                </c:pt>
                <c:pt idx="2361">
                  <c:v>58512</c:v>
                </c:pt>
                <c:pt idx="2362">
                  <c:v>58519</c:v>
                </c:pt>
                <c:pt idx="2363">
                  <c:v>58526</c:v>
                </c:pt>
                <c:pt idx="2364">
                  <c:v>58533</c:v>
                </c:pt>
                <c:pt idx="2365">
                  <c:v>58540</c:v>
                </c:pt>
                <c:pt idx="2366">
                  <c:v>58547</c:v>
                </c:pt>
                <c:pt idx="2367">
                  <c:v>58554</c:v>
                </c:pt>
                <c:pt idx="2368">
                  <c:v>58561</c:v>
                </c:pt>
                <c:pt idx="2369">
                  <c:v>58568</c:v>
                </c:pt>
                <c:pt idx="2370">
                  <c:v>58575</c:v>
                </c:pt>
                <c:pt idx="2371">
                  <c:v>58582</c:v>
                </c:pt>
                <c:pt idx="2372">
                  <c:v>58589</c:v>
                </c:pt>
                <c:pt idx="2373">
                  <c:v>58596</c:v>
                </c:pt>
                <c:pt idx="2374">
                  <c:v>58603</c:v>
                </c:pt>
                <c:pt idx="2375">
                  <c:v>58610</c:v>
                </c:pt>
                <c:pt idx="2376">
                  <c:v>58617</c:v>
                </c:pt>
                <c:pt idx="2377">
                  <c:v>58624</c:v>
                </c:pt>
                <c:pt idx="2378">
                  <c:v>58631</c:v>
                </c:pt>
                <c:pt idx="2379">
                  <c:v>58638</c:v>
                </c:pt>
                <c:pt idx="2380">
                  <c:v>58645</c:v>
                </c:pt>
                <c:pt idx="2381">
                  <c:v>58652</c:v>
                </c:pt>
                <c:pt idx="2382">
                  <c:v>58659</c:v>
                </c:pt>
                <c:pt idx="2383">
                  <c:v>58666</c:v>
                </c:pt>
                <c:pt idx="2384">
                  <c:v>58673</c:v>
                </c:pt>
                <c:pt idx="2385">
                  <c:v>58680</c:v>
                </c:pt>
                <c:pt idx="2386">
                  <c:v>58687</c:v>
                </c:pt>
                <c:pt idx="2387">
                  <c:v>58694</c:v>
                </c:pt>
                <c:pt idx="2388">
                  <c:v>58701</c:v>
                </c:pt>
                <c:pt idx="2389">
                  <c:v>58708</c:v>
                </c:pt>
                <c:pt idx="2390">
                  <c:v>58715</c:v>
                </c:pt>
                <c:pt idx="2391">
                  <c:v>58722</c:v>
                </c:pt>
                <c:pt idx="2392">
                  <c:v>58729</c:v>
                </c:pt>
                <c:pt idx="2393">
                  <c:v>58736</c:v>
                </c:pt>
                <c:pt idx="2394">
                  <c:v>58743</c:v>
                </c:pt>
                <c:pt idx="2395">
                  <c:v>58750</c:v>
                </c:pt>
                <c:pt idx="2396">
                  <c:v>58757</c:v>
                </c:pt>
                <c:pt idx="2397">
                  <c:v>58764</c:v>
                </c:pt>
                <c:pt idx="2398">
                  <c:v>58771</c:v>
                </c:pt>
                <c:pt idx="2399">
                  <c:v>58778</c:v>
                </c:pt>
                <c:pt idx="2400">
                  <c:v>58785</c:v>
                </c:pt>
                <c:pt idx="2401">
                  <c:v>58792</c:v>
                </c:pt>
                <c:pt idx="2402">
                  <c:v>58799</c:v>
                </c:pt>
                <c:pt idx="2403">
                  <c:v>58806</c:v>
                </c:pt>
                <c:pt idx="2404">
                  <c:v>58813</c:v>
                </c:pt>
                <c:pt idx="2405">
                  <c:v>58820</c:v>
                </c:pt>
                <c:pt idx="2406">
                  <c:v>58827</c:v>
                </c:pt>
                <c:pt idx="2407">
                  <c:v>58834</c:v>
                </c:pt>
                <c:pt idx="2408">
                  <c:v>58841</c:v>
                </c:pt>
                <c:pt idx="2409">
                  <c:v>58848</c:v>
                </c:pt>
                <c:pt idx="2410">
                  <c:v>58855</c:v>
                </c:pt>
                <c:pt idx="2411">
                  <c:v>58862</c:v>
                </c:pt>
                <c:pt idx="2412">
                  <c:v>58869</c:v>
                </c:pt>
                <c:pt idx="2413">
                  <c:v>58876</c:v>
                </c:pt>
                <c:pt idx="2414">
                  <c:v>58883</c:v>
                </c:pt>
                <c:pt idx="2415">
                  <c:v>58890</c:v>
                </c:pt>
                <c:pt idx="2416">
                  <c:v>58897</c:v>
                </c:pt>
                <c:pt idx="2417">
                  <c:v>58904</c:v>
                </c:pt>
                <c:pt idx="2418">
                  <c:v>58911</c:v>
                </c:pt>
                <c:pt idx="2419">
                  <c:v>58918</c:v>
                </c:pt>
                <c:pt idx="2420">
                  <c:v>58925</c:v>
                </c:pt>
                <c:pt idx="2421">
                  <c:v>58932</c:v>
                </c:pt>
                <c:pt idx="2422">
                  <c:v>58939</c:v>
                </c:pt>
                <c:pt idx="2423">
                  <c:v>58946</c:v>
                </c:pt>
                <c:pt idx="2424">
                  <c:v>58953</c:v>
                </c:pt>
                <c:pt idx="2425">
                  <c:v>58960</c:v>
                </c:pt>
                <c:pt idx="2426">
                  <c:v>58967</c:v>
                </c:pt>
                <c:pt idx="2427">
                  <c:v>58974</c:v>
                </c:pt>
                <c:pt idx="2428">
                  <c:v>58981</c:v>
                </c:pt>
                <c:pt idx="2429">
                  <c:v>58988</c:v>
                </c:pt>
                <c:pt idx="2430">
                  <c:v>58995</c:v>
                </c:pt>
                <c:pt idx="2431">
                  <c:v>59002</c:v>
                </c:pt>
                <c:pt idx="2432">
                  <c:v>59009</c:v>
                </c:pt>
                <c:pt idx="2433">
                  <c:v>59016</c:v>
                </c:pt>
                <c:pt idx="2434">
                  <c:v>59023</c:v>
                </c:pt>
                <c:pt idx="2435">
                  <c:v>59030</c:v>
                </c:pt>
                <c:pt idx="2436">
                  <c:v>59037</c:v>
                </c:pt>
                <c:pt idx="2437">
                  <c:v>59044</c:v>
                </c:pt>
                <c:pt idx="2438">
                  <c:v>59051</c:v>
                </c:pt>
                <c:pt idx="2439">
                  <c:v>59058</c:v>
                </c:pt>
                <c:pt idx="2440">
                  <c:v>59065</c:v>
                </c:pt>
                <c:pt idx="2441">
                  <c:v>59072</c:v>
                </c:pt>
                <c:pt idx="2442">
                  <c:v>59079</c:v>
                </c:pt>
                <c:pt idx="2443">
                  <c:v>59086</c:v>
                </c:pt>
                <c:pt idx="2444">
                  <c:v>59093</c:v>
                </c:pt>
                <c:pt idx="2445">
                  <c:v>59100</c:v>
                </c:pt>
                <c:pt idx="2446">
                  <c:v>59107</c:v>
                </c:pt>
                <c:pt idx="2447">
                  <c:v>59114</c:v>
                </c:pt>
                <c:pt idx="2448">
                  <c:v>59121</c:v>
                </c:pt>
                <c:pt idx="2449">
                  <c:v>59128</c:v>
                </c:pt>
                <c:pt idx="2450">
                  <c:v>59135</c:v>
                </c:pt>
                <c:pt idx="2451">
                  <c:v>59142</c:v>
                </c:pt>
                <c:pt idx="2452">
                  <c:v>59149</c:v>
                </c:pt>
                <c:pt idx="2453">
                  <c:v>59156</c:v>
                </c:pt>
                <c:pt idx="2454">
                  <c:v>59163</c:v>
                </c:pt>
                <c:pt idx="2455">
                  <c:v>59170</c:v>
                </c:pt>
                <c:pt idx="2456">
                  <c:v>59177</c:v>
                </c:pt>
                <c:pt idx="2457">
                  <c:v>59184</c:v>
                </c:pt>
                <c:pt idx="2458">
                  <c:v>59191</c:v>
                </c:pt>
                <c:pt idx="2459">
                  <c:v>59198</c:v>
                </c:pt>
                <c:pt idx="2460">
                  <c:v>59205</c:v>
                </c:pt>
                <c:pt idx="2461">
                  <c:v>59212</c:v>
                </c:pt>
                <c:pt idx="2462">
                  <c:v>59219</c:v>
                </c:pt>
                <c:pt idx="2463">
                  <c:v>59226</c:v>
                </c:pt>
                <c:pt idx="2464">
                  <c:v>59233</c:v>
                </c:pt>
                <c:pt idx="2465">
                  <c:v>59240</c:v>
                </c:pt>
                <c:pt idx="2466">
                  <c:v>59247</c:v>
                </c:pt>
                <c:pt idx="2467">
                  <c:v>59254</c:v>
                </c:pt>
                <c:pt idx="2468">
                  <c:v>59261</c:v>
                </c:pt>
                <c:pt idx="2469">
                  <c:v>59268</c:v>
                </c:pt>
                <c:pt idx="2470">
                  <c:v>59275</c:v>
                </c:pt>
                <c:pt idx="2471">
                  <c:v>59282</c:v>
                </c:pt>
                <c:pt idx="2472">
                  <c:v>59289</c:v>
                </c:pt>
                <c:pt idx="2473">
                  <c:v>59296</c:v>
                </c:pt>
                <c:pt idx="2474">
                  <c:v>59303</c:v>
                </c:pt>
                <c:pt idx="2475">
                  <c:v>59310</c:v>
                </c:pt>
                <c:pt idx="2476">
                  <c:v>59317</c:v>
                </c:pt>
                <c:pt idx="2477">
                  <c:v>59324</c:v>
                </c:pt>
                <c:pt idx="2478">
                  <c:v>59331</c:v>
                </c:pt>
                <c:pt idx="2479">
                  <c:v>59338</c:v>
                </c:pt>
                <c:pt idx="2480">
                  <c:v>59345</c:v>
                </c:pt>
                <c:pt idx="2481">
                  <c:v>59352</c:v>
                </c:pt>
                <c:pt idx="2482">
                  <c:v>59359</c:v>
                </c:pt>
                <c:pt idx="2483">
                  <c:v>59366</c:v>
                </c:pt>
                <c:pt idx="2484">
                  <c:v>59373</c:v>
                </c:pt>
                <c:pt idx="2485">
                  <c:v>59380</c:v>
                </c:pt>
                <c:pt idx="2486">
                  <c:v>59387</c:v>
                </c:pt>
                <c:pt idx="2487">
                  <c:v>59394</c:v>
                </c:pt>
                <c:pt idx="2488">
                  <c:v>59401</c:v>
                </c:pt>
                <c:pt idx="2489">
                  <c:v>59408</c:v>
                </c:pt>
                <c:pt idx="2490">
                  <c:v>59415</c:v>
                </c:pt>
                <c:pt idx="2491">
                  <c:v>59422</c:v>
                </c:pt>
                <c:pt idx="2492">
                  <c:v>59429</c:v>
                </c:pt>
                <c:pt idx="2493">
                  <c:v>59436</c:v>
                </c:pt>
                <c:pt idx="2494">
                  <c:v>59443</c:v>
                </c:pt>
                <c:pt idx="2495">
                  <c:v>59450</c:v>
                </c:pt>
                <c:pt idx="2496">
                  <c:v>59457</c:v>
                </c:pt>
                <c:pt idx="2497">
                  <c:v>59464</c:v>
                </c:pt>
                <c:pt idx="2498">
                  <c:v>59471</c:v>
                </c:pt>
                <c:pt idx="2499">
                  <c:v>59478</c:v>
                </c:pt>
                <c:pt idx="2500">
                  <c:v>59485</c:v>
                </c:pt>
                <c:pt idx="2501">
                  <c:v>59492</c:v>
                </c:pt>
                <c:pt idx="2502">
                  <c:v>59499</c:v>
                </c:pt>
                <c:pt idx="2503">
                  <c:v>59506</c:v>
                </c:pt>
                <c:pt idx="2504">
                  <c:v>59513</c:v>
                </c:pt>
                <c:pt idx="2505">
                  <c:v>59520</c:v>
                </c:pt>
                <c:pt idx="2506">
                  <c:v>59527</c:v>
                </c:pt>
                <c:pt idx="2507">
                  <c:v>59534</c:v>
                </c:pt>
                <c:pt idx="2508">
                  <c:v>59541</c:v>
                </c:pt>
                <c:pt idx="2509">
                  <c:v>59548</c:v>
                </c:pt>
                <c:pt idx="2510">
                  <c:v>59555</c:v>
                </c:pt>
                <c:pt idx="2511">
                  <c:v>59562</c:v>
                </c:pt>
                <c:pt idx="2512">
                  <c:v>59569</c:v>
                </c:pt>
                <c:pt idx="2513">
                  <c:v>59576</c:v>
                </c:pt>
                <c:pt idx="2514">
                  <c:v>59583</c:v>
                </c:pt>
                <c:pt idx="2515">
                  <c:v>59590</c:v>
                </c:pt>
                <c:pt idx="2516">
                  <c:v>59597</c:v>
                </c:pt>
                <c:pt idx="2517">
                  <c:v>59604</c:v>
                </c:pt>
                <c:pt idx="2518">
                  <c:v>59611</c:v>
                </c:pt>
                <c:pt idx="2519">
                  <c:v>59618</c:v>
                </c:pt>
                <c:pt idx="2520">
                  <c:v>59625</c:v>
                </c:pt>
                <c:pt idx="2521">
                  <c:v>59632</c:v>
                </c:pt>
                <c:pt idx="2522">
                  <c:v>59639</c:v>
                </c:pt>
                <c:pt idx="2523">
                  <c:v>59646</c:v>
                </c:pt>
                <c:pt idx="2524">
                  <c:v>59653</c:v>
                </c:pt>
                <c:pt idx="2525">
                  <c:v>59660</c:v>
                </c:pt>
                <c:pt idx="2526">
                  <c:v>59667</c:v>
                </c:pt>
                <c:pt idx="2527">
                  <c:v>59674</c:v>
                </c:pt>
                <c:pt idx="2528">
                  <c:v>59681</c:v>
                </c:pt>
                <c:pt idx="2529">
                  <c:v>59688</c:v>
                </c:pt>
                <c:pt idx="2530">
                  <c:v>59695</c:v>
                </c:pt>
                <c:pt idx="2531">
                  <c:v>59702</c:v>
                </c:pt>
                <c:pt idx="2532">
                  <c:v>59709</c:v>
                </c:pt>
                <c:pt idx="2533">
                  <c:v>59716</c:v>
                </c:pt>
                <c:pt idx="2534">
                  <c:v>59723</c:v>
                </c:pt>
                <c:pt idx="2535">
                  <c:v>59730</c:v>
                </c:pt>
                <c:pt idx="2536">
                  <c:v>59737</c:v>
                </c:pt>
                <c:pt idx="2537">
                  <c:v>59744</c:v>
                </c:pt>
                <c:pt idx="2538">
                  <c:v>59751</c:v>
                </c:pt>
                <c:pt idx="2539">
                  <c:v>59758</c:v>
                </c:pt>
                <c:pt idx="2540">
                  <c:v>59765</c:v>
                </c:pt>
                <c:pt idx="2541">
                  <c:v>59772</c:v>
                </c:pt>
                <c:pt idx="2542">
                  <c:v>59779</c:v>
                </c:pt>
                <c:pt idx="2543">
                  <c:v>59786</c:v>
                </c:pt>
                <c:pt idx="2544">
                  <c:v>59793</c:v>
                </c:pt>
                <c:pt idx="2545">
                  <c:v>59800</c:v>
                </c:pt>
                <c:pt idx="2546">
                  <c:v>59807</c:v>
                </c:pt>
                <c:pt idx="2547">
                  <c:v>59814</c:v>
                </c:pt>
                <c:pt idx="2548">
                  <c:v>59821</c:v>
                </c:pt>
                <c:pt idx="2549">
                  <c:v>59828</c:v>
                </c:pt>
                <c:pt idx="2550">
                  <c:v>59835</c:v>
                </c:pt>
                <c:pt idx="2551">
                  <c:v>59842</c:v>
                </c:pt>
                <c:pt idx="2552">
                  <c:v>59849</c:v>
                </c:pt>
                <c:pt idx="2553">
                  <c:v>59856</c:v>
                </c:pt>
                <c:pt idx="2554">
                  <c:v>59863</c:v>
                </c:pt>
                <c:pt idx="2555">
                  <c:v>59870</c:v>
                </c:pt>
                <c:pt idx="2556">
                  <c:v>59877</c:v>
                </c:pt>
                <c:pt idx="2557">
                  <c:v>59884</c:v>
                </c:pt>
                <c:pt idx="2558">
                  <c:v>59891</c:v>
                </c:pt>
                <c:pt idx="2559">
                  <c:v>59898</c:v>
                </c:pt>
                <c:pt idx="2560">
                  <c:v>59905</c:v>
                </c:pt>
                <c:pt idx="2561">
                  <c:v>59912</c:v>
                </c:pt>
                <c:pt idx="2562">
                  <c:v>59919</c:v>
                </c:pt>
                <c:pt idx="2563">
                  <c:v>59926</c:v>
                </c:pt>
                <c:pt idx="2564">
                  <c:v>59933</c:v>
                </c:pt>
                <c:pt idx="2565">
                  <c:v>59940</c:v>
                </c:pt>
                <c:pt idx="2566">
                  <c:v>59947</c:v>
                </c:pt>
                <c:pt idx="2567">
                  <c:v>59954</c:v>
                </c:pt>
                <c:pt idx="2568">
                  <c:v>59961</c:v>
                </c:pt>
                <c:pt idx="2569">
                  <c:v>59968</c:v>
                </c:pt>
                <c:pt idx="2570">
                  <c:v>59975</c:v>
                </c:pt>
                <c:pt idx="2571">
                  <c:v>59982</c:v>
                </c:pt>
                <c:pt idx="2572">
                  <c:v>59989</c:v>
                </c:pt>
                <c:pt idx="2573">
                  <c:v>59996</c:v>
                </c:pt>
                <c:pt idx="2574">
                  <c:v>60003</c:v>
                </c:pt>
                <c:pt idx="2575">
                  <c:v>60010</c:v>
                </c:pt>
                <c:pt idx="2576">
                  <c:v>60017</c:v>
                </c:pt>
                <c:pt idx="2577">
                  <c:v>60024</c:v>
                </c:pt>
                <c:pt idx="2578">
                  <c:v>60031</c:v>
                </c:pt>
                <c:pt idx="2579">
                  <c:v>60038</c:v>
                </c:pt>
                <c:pt idx="2580">
                  <c:v>60045</c:v>
                </c:pt>
                <c:pt idx="2581">
                  <c:v>60052</c:v>
                </c:pt>
                <c:pt idx="2582">
                  <c:v>60059</c:v>
                </c:pt>
                <c:pt idx="2583">
                  <c:v>60066</c:v>
                </c:pt>
                <c:pt idx="2584">
                  <c:v>60073</c:v>
                </c:pt>
                <c:pt idx="2585">
                  <c:v>60080</c:v>
                </c:pt>
                <c:pt idx="2586">
                  <c:v>60087</c:v>
                </c:pt>
                <c:pt idx="2587">
                  <c:v>60094</c:v>
                </c:pt>
                <c:pt idx="2588">
                  <c:v>60101</c:v>
                </c:pt>
                <c:pt idx="2589">
                  <c:v>60108</c:v>
                </c:pt>
                <c:pt idx="2590">
                  <c:v>60115</c:v>
                </c:pt>
                <c:pt idx="2591">
                  <c:v>60122</c:v>
                </c:pt>
                <c:pt idx="2592">
                  <c:v>60129</c:v>
                </c:pt>
                <c:pt idx="2593">
                  <c:v>60136</c:v>
                </c:pt>
                <c:pt idx="2594">
                  <c:v>60143</c:v>
                </c:pt>
                <c:pt idx="2595">
                  <c:v>60150</c:v>
                </c:pt>
                <c:pt idx="2596">
                  <c:v>60157</c:v>
                </c:pt>
                <c:pt idx="2597">
                  <c:v>60164</c:v>
                </c:pt>
                <c:pt idx="2598">
                  <c:v>60171</c:v>
                </c:pt>
                <c:pt idx="2599">
                  <c:v>60178</c:v>
                </c:pt>
                <c:pt idx="2600">
                  <c:v>60185</c:v>
                </c:pt>
                <c:pt idx="2601">
                  <c:v>60192</c:v>
                </c:pt>
                <c:pt idx="2602">
                  <c:v>60199</c:v>
                </c:pt>
                <c:pt idx="2603">
                  <c:v>60206</c:v>
                </c:pt>
                <c:pt idx="2604">
                  <c:v>60213</c:v>
                </c:pt>
                <c:pt idx="2605">
                  <c:v>60220</c:v>
                </c:pt>
                <c:pt idx="2606">
                  <c:v>60227</c:v>
                </c:pt>
                <c:pt idx="2607">
                  <c:v>60234</c:v>
                </c:pt>
                <c:pt idx="2608">
                  <c:v>60241</c:v>
                </c:pt>
                <c:pt idx="2609">
                  <c:v>60248</c:v>
                </c:pt>
              </c:numCache>
            </c:numRef>
          </c:xVal>
          <c:yVal>
            <c:numRef>
              <c:f>FittedCurve!$F$42:$F$2651</c:f>
              <c:numCache>
                <c:formatCode>General</c:formatCode>
                <c:ptCount val="2610"/>
                <c:pt idx="0">
                  <c:v>0.14657738927494326</c:v>
                </c:pt>
                <c:pt idx="1">
                  <c:v>0.15150492220780162</c:v>
                </c:pt>
                <c:pt idx="2">
                  <c:v>0.15640836846433789</c:v>
                </c:pt>
                <c:pt idx="3">
                  <c:v>0.16129147886311163</c:v>
                </c:pt>
                <c:pt idx="4">
                  <c:v>0.16615826731148731</c:v>
                </c:pt>
                <c:pt idx="5">
                  <c:v>0.17101288820630847</c:v>
                </c:pt>
                <c:pt idx="6">
                  <c:v>0.17585951411102119</c:v>
                </c:pt>
                <c:pt idx="7">
                  <c:v>0.18070222070497632</c:v>
                </c:pt>
                <c:pt idx="8">
                  <c:v>0.18554488485679174</c:v>
                </c:pt>
                <c:pt idx="9">
                  <c:v>0.19039110009984267</c:v>
                </c:pt>
                <c:pt idx="10">
                  <c:v>0.19524411201985509</c:v>
                </c:pt>
                <c:pt idx="11">
                  <c:v>0.20010677432898202</c:v>
                </c:pt>
                <c:pt idx="12">
                  <c:v>0.20498152488093696</c:v>
                </c:pt>
                <c:pt idx="13">
                  <c:v>0.20987037969768804</c:v>
                </c:pt>
                <c:pt idx="14">
                  <c:v>0.21477494228234806</c:v>
                </c:pt>
                <c:pt idx="15">
                  <c:v>0.21969642507860129</c:v>
                </c:pt>
                <c:pt idx="16">
                  <c:v>0.22463567985463093</c:v>
                </c:pt>
                <c:pt idx="17">
                  <c:v>0.22959323396474721</c:v>
                </c:pt>
                <c:pt idx="18">
                  <c:v>0.23456932979264036</c:v>
                </c:pt>
                <c:pt idx="19">
                  <c:v>0.2395639651291096</c:v>
                </c:pt>
                <c:pt idx="20">
                  <c:v>0.24457693271978628</c:v>
                </c:pt>
                <c:pt idx="21">
                  <c:v>0.24960785768652335</c:v>
                </c:pt>
                <c:pt idx="22">
                  <c:v>0.25465623194791454</c:v>
                </c:pt>
                <c:pt idx="23">
                  <c:v>0.25972144512228229</c:v>
                </c:pt>
                <c:pt idx="24">
                  <c:v>0.26480281168415015</c:v>
                </c:pt>
                <c:pt idx="25">
                  <c:v>0.26989959436436423</c:v>
                </c:pt>
                <c:pt idx="26">
                  <c:v>0.275011023941308</c:v>
                </c:pt>
                <c:pt idx="27">
                  <c:v>0.28017199538269455</c:v>
                </c:pt>
                <c:pt idx="28">
                  <c:v>0.28544281697207313</c:v>
                </c:pt>
                <c:pt idx="29">
                  <c:v>0.29082334953451483</c:v>
                </c:pt>
                <c:pt idx="30">
                  <c:v>0.29631007110434071</c:v>
                </c:pt>
                <c:pt idx="31">
                  <c:v>0.30189673856850341</c:v>
                </c:pt>
                <c:pt idx="32">
                  <c:v>0.30757414119873278</c:v>
                </c:pt>
                <c:pt idx="33">
                  <c:v>0.31332996797744811</c:v>
                </c:pt>
                <c:pt idx="34">
                  <c:v>0.31914882497461805</c:v>
                </c:pt>
                <c:pt idx="35">
                  <c:v>0.32501243201383384</c:v>
                </c:pt>
                <c:pt idx="36">
                  <c:v>0.33090001490595838</c:v>
                </c:pt>
                <c:pt idx="37">
                  <c:v>0.33678889124880762</c:v>
                </c:pt>
                <c:pt idx="38">
                  <c:v>0.34265522614216398</c:v>
                </c:pt>
                <c:pt idx="39">
                  <c:v>0.34847491230841965</c:v>
                </c:pt>
                <c:pt idx="40">
                  <c:v>0.35422451088072188</c:v>
                </c:pt>
                <c:pt idx="41">
                  <c:v>0.35988217818367352</c:v>
                </c:pt>
                <c:pt idx="42">
                  <c:v>0.36542850270371718</c:v>
                </c:pt>
                <c:pt idx="43">
                  <c:v>0.37084718575140863</c:v>
                </c:pt>
                <c:pt idx="44">
                  <c:v>0.37612551753371926</c:v>
                </c:pt>
                <c:pt idx="45">
                  <c:v>0.38125462417042089</c:v>
                </c:pt>
                <c:pt idx="46">
                  <c:v>0.38622948636019117</c:v>
                </c:pt>
                <c:pt idx="47">
                  <c:v>0.39104875280984047</c:v>
                </c:pt>
                <c:pt idx="48">
                  <c:v>0.39571438810345044</c:v>
                </c:pt>
                <c:pt idx="49">
                  <c:v>0.40023120387958105</c:v>
                </c:pt>
                <c:pt idx="50">
                  <c:v>0.40460632406221009</c:v>
                </c:pt>
                <c:pt idx="51">
                  <c:v>0.40884863074267691</c:v>
                </c:pt>
                <c:pt idx="52">
                  <c:v>0.41296822909942693</c:v>
                </c:pt>
                <c:pt idx="53">
                  <c:v>0.4169730759043575</c:v>
                </c:pt>
                <c:pt idx="54">
                  <c:v>0.42086153627515493</c:v>
                </c:pt>
                <c:pt idx="55">
                  <c:v>0.42463126373567872</c:v>
                </c:pt>
                <c:pt idx="56">
                  <c:v>0.42828032899648472</c:v>
                </c:pt>
                <c:pt idx="57">
                  <c:v>0.43180723905129276</c:v>
                </c:pt>
                <c:pt idx="58">
                  <c:v>0.43521098977351469</c:v>
                </c:pt>
                <c:pt idx="59">
                  <c:v>0.43849111825479437</c:v>
                </c:pt>
                <c:pt idx="60">
                  <c:v>0.4416477539280525</c:v>
                </c:pt>
                <c:pt idx="61">
                  <c:v>0.44468166740760001</c:v>
                </c:pt>
                <c:pt idx="62">
                  <c:v>0.44759431588445725</c:v>
                </c:pt>
                <c:pt idx="63">
                  <c:v>0.45038788384259226</c:v>
                </c:pt>
                <c:pt idx="64">
                  <c:v>0.45306531781801807</c:v>
                </c:pt>
                <c:pt idx="65">
                  <c:v>0.45563035391406942</c:v>
                </c:pt>
                <c:pt idx="66">
                  <c:v>0.45808753681857867</c:v>
                </c:pt>
                <c:pt idx="67">
                  <c:v>0.46044222914690025</c:v>
                </c:pt>
                <c:pt idx="68">
                  <c:v>0.46270061006199953</c:v>
                </c:pt>
                <c:pt idx="69">
                  <c:v>0.46486966230033144</c:v>
                </c:pt>
                <c:pt idx="70">
                  <c:v>0.46695714695871388</c:v>
                </c:pt>
                <c:pt idx="71">
                  <c:v>0.46897156566884834</c:v>
                </c:pt>
                <c:pt idx="72">
                  <c:v>0.47092211009570528</c:v>
                </c:pt>
                <c:pt idx="73">
                  <c:v>0.47281859903397999</c:v>
                </c:pt>
                <c:pt idx="74">
                  <c:v>0.47467140373105132</c:v>
                </c:pt>
                <c:pt idx="75">
                  <c:v>0.47649136242113438</c:v>
                </c:pt>
                <c:pt idx="76">
                  <c:v>0.4782896853980938</c:v>
                </c:pt>
                <c:pt idx="77">
                  <c:v>0.48007785226780875</c:v>
                </c:pt>
                <c:pt idx="78">
                  <c:v>0.48186750328971351</c:v>
                </c:pt>
                <c:pt idx="79">
                  <c:v>0.48367032692752904</c:v>
                </c:pt>
                <c:pt idx="80">
                  <c:v>0.48549794587013201</c:v>
                </c:pt>
                <c:pt idx="81">
                  <c:v>0.48736180384728928</c:v>
                </c:pt>
                <c:pt idx="82">
                  <c:v>0.48927305554787598</c:v>
                </c:pt>
                <c:pt idx="83">
                  <c:v>0.4912424618507662</c:v>
                </c:pt>
                <c:pt idx="84">
                  <c:v>0.49328029240561011</c:v>
                </c:pt>
                <c:pt idx="85">
                  <c:v>0.4953962373609318</c:v>
                </c:pt>
                <c:pt idx="86">
                  <c:v>0.49759932974236326</c:v>
                </c:pt>
                <c:pt idx="87">
                  <c:v>0.49989787964884908</c:v>
                </c:pt>
                <c:pt idx="88">
                  <c:v>0.50229942107515368</c:v>
                </c:pt>
                <c:pt idx="89">
                  <c:v>0.50481067180129857</c:v>
                </c:pt>
                <c:pt idx="90">
                  <c:v>0.50743750642928787</c:v>
                </c:pt>
                <c:pt idx="91">
                  <c:v>0.51018494230883982</c:v>
                </c:pt>
                <c:pt idx="92">
                  <c:v>0.51305713778875373</c:v>
                </c:pt>
                <c:pt idx="93">
                  <c:v>0.5160574019682832</c:v>
                </c:pt>
                <c:pt idx="94">
                  <c:v>0.51918821490969258</c:v>
                </c:pt>
                <c:pt idx="95">
                  <c:v>0.5224512571123876</c:v>
                </c:pt>
                <c:pt idx="96">
                  <c:v>0.52584744694105678</c:v>
                </c:pt>
                <c:pt idx="97">
                  <c:v>0.5293769846431583</c:v>
                </c:pt>
                <c:pt idx="98">
                  <c:v>0.53303940158077456</c:v>
                </c:pt>
                <c:pt idx="99">
                  <c:v>0.53683361333275903</c:v>
                </c:pt>
                <c:pt idx="100">
                  <c:v>0.54075797538862358</c:v>
                </c:pt>
                <c:pt idx="101">
                  <c:v>0.54481034024866704</c:v>
                </c:pt>
                <c:pt idx="102">
                  <c:v>0.54898811485825894</c:v>
                </c:pt>
                <c:pt idx="103">
                  <c:v>0.55328831743109019</c:v>
                </c:pt>
                <c:pt idx="104">
                  <c:v>0.55770763285031821</c:v>
                </c:pt>
                <c:pt idx="105">
                  <c:v>0.56223971916627735</c:v>
                </c:pt>
                <c:pt idx="106">
                  <c:v>0.56687448343779911</c:v>
                </c:pt>
                <c:pt idx="107">
                  <c:v>0.5716145216278582</c:v>
                </c:pt>
                <c:pt idx="108">
                  <c:v>0.576463220011868</c:v>
                </c:pt>
                <c:pt idx="109">
                  <c:v>0.58142369756705503</c:v>
                </c:pt>
                <c:pt idx="110">
                  <c:v>0.58649875568201892</c:v>
                </c:pt>
                <c:pt idx="111">
                  <c:v>0.591690826205863</c:v>
                </c:pt>
                <c:pt idx="112">
                  <c:v>0.59700191853866613</c:v>
                </c:pt>
                <c:pt idx="113">
                  <c:v>0.60243356659057223</c:v>
                </c:pt>
                <c:pt idx="114">
                  <c:v>0.60798677655700173</c:v>
                </c:pt>
                <c:pt idx="115">
                  <c:v>0.61366197656670696</c:v>
                </c:pt>
                <c:pt idx="116">
                  <c:v>0.61945896935138101</c:v>
                </c:pt>
                <c:pt idx="117">
                  <c:v>0.62537688915365786</c:v>
                </c:pt>
                <c:pt idx="118">
                  <c:v>0.63141416412805418</c:v>
                </c:pt>
                <c:pt idx="119">
                  <c:v>0.63756848549053768</c:v>
                </c:pt>
                <c:pt idx="120">
                  <c:v>0.64383678463163374</c:v>
                </c:pt>
                <c:pt idx="121">
                  <c:v>0.65021521932138815</c:v>
                </c:pt>
                <c:pt idx="122">
                  <c:v>0.6566991699998922</c:v>
                </c:pt>
                <c:pt idx="123">
                  <c:v>0.66328324696456853</c:v>
                </c:pt>
                <c:pt idx="124">
                  <c:v>0.66996130903761697</c:v>
                </c:pt>
                <c:pt idx="125">
                  <c:v>0.67672649402924312</c:v>
                </c:pt>
                <c:pt idx="126">
                  <c:v>0.68357126101259236</c:v>
                </c:pt>
                <c:pt idx="127">
                  <c:v>0.69048744410517415</c:v>
                </c:pt>
                <c:pt idx="128">
                  <c:v>0.69746631712155061</c:v>
                </c:pt>
                <c:pt idx="129">
                  <c:v>0.70449866813714646</c:v>
                </c:pt>
                <c:pt idx="130">
                  <c:v>0.71157488269779812</c:v>
                </c:pt>
                <c:pt idx="131">
                  <c:v>0.7186850341384371</c:v>
                </c:pt>
                <c:pt idx="132">
                  <c:v>0.72581897925012717</c:v>
                </c:pt>
                <c:pt idx="133">
                  <c:v>0.73296645736858801</c:v>
                </c:pt>
                <c:pt idx="134">
                  <c:v>0.74011719085737104</c:v>
                </c:pt>
                <c:pt idx="135">
                  <c:v>0.74726098492970161</c:v>
                </c:pt>
                <c:pt idx="136">
                  <c:v>0.75438782479551802</c:v>
                </c:pt>
                <c:pt idx="137">
                  <c:v>0.76148796823154141</c:v>
                </c:pt>
                <c:pt idx="138">
                  <c:v>0.76855203184584886</c:v>
                </c:pt>
                <c:pt idx="139">
                  <c:v>0.77557106953490484</c:v>
                </c:pt>
                <c:pt idx="140">
                  <c:v>0.78253664189852778</c:v>
                </c:pt>
                <c:pt idx="141">
                  <c:v>0.78944087567354426</c:v>
                </c:pt>
                <c:pt idx="142">
                  <c:v>0.7962765125559863</c:v>
                </c:pt>
                <c:pt idx="143">
                  <c:v>0.80303694709108064</c:v>
                </c:pt>
                <c:pt idx="144">
                  <c:v>0.809716253607354</c:v>
                </c:pt>
                <c:pt idx="145">
                  <c:v>0.81630920244519456</c:v>
                </c:pt>
                <c:pt idx="146">
                  <c:v>0.82281126597243481</c:v>
                </c:pt>
                <c:pt idx="147">
                  <c:v>0.82921861508375638</c:v>
                </c:pt>
                <c:pt idx="148">
                  <c:v>0.83552810704317848</c:v>
                </c:pt>
                <c:pt idx="149">
                  <c:v>0.84173726564819873</c:v>
                </c:pt>
                <c:pt idx="150">
                  <c:v>0.84784425477108594</c:v>
                </c:pt>
                <c:pt idx="151">
                  <c:v>0.85384784636985422</c:v>
                </c:pt>
                <c:pt idx="152">
                  <c:v>0.85974738406261808</c:v>
                </c:pt>
                <c:pt idx="153">
                  <c:v>0.86554274332911596</c:v>
                </c:pt>
                <c:pt idx="154">
                  <c:v>0.87123428934778113</c:v>
                </c:pt>
                <c:pt idx="155">
                  <c:v>0.87682283340140466</c:v>
                </c:pt>
                <c:pt idx="156">
                  <c:v>0.88230958869479803</c:v>
                </c:pt>
                <c:pt idx="157">
                  <c:v>0.88770702068620111</c:v>
                </c:pt>
                <c:pt idx="158">
                  <c:v>0.89309179452507126</c:v>
                </c:pt>
                <c:pt idx="159">
                  <c:v>0.89847803261814718</c:v>
                </c:pt>
                <c:pt idx="160">
                  <c:v>0.90386521892402105</c:v>
                </c:pt>
                <c:pt idx="161">
                  <c:v>0.90925281666153268</c:v>
                </c:pt>
                <c:pt idx="162">
                  <c:v>0.91464026836084911</c:v>
                </c:pt>
                <c:pt idx="163">
                  <c:v>0.92002699597796656</c:v>
                </c:pt>
                <c:pt idx="164">
                  <c:v>0.92541240107636569</c:v>
                </c:pt>
                <c:pt idx="165">
                  <c:v>0.93079586507947198</c:v>
                </c:pt>
                <c:pt idx="166">
                  <c:v>0.93617674959744057</c:v>
                </c:pt>
                <c:pt idx="167">
                  <c:v>0.94155439683163367</c:v>
                </c:pt>
                <c:pt idx="168">
                  <c:v>0.94692813005994958</c:v>
                </c:pt>
                <c:pt idx="169">
                  <c:v>0.95229725420593814</c:v>
                </c:pt>
                <c:pt idx="170">
                  <c:v>0.95766105649434663</c:v>
                </c:pt>
                <c:pt idx="171">
                  <c:v>0.96301880719543131</c:v>
                </c:pt>
                <c:pt idx="172">
                  <c:v>0.9683697604599919</c:v>
                </c:pt>
                <c:pt idx="173">
                  <c:v>0.97371315524670288</c:v>
                </c:pt>
                <c:pt idx="174">
                  <c:v>0.97904821634283945</c:v>
                </c:pt>
                <c:pt idx="175">
                  <c:v>0.98437415547903406</c:v>
                </c:pt>
                <c:pt idx="176">
                  <c:v>0.98969017253814329</c:v>
                </c:pt>
                <c:pt idx="177">
                  <c:v>0.99499545685776125</c:v>
                </c:pt>
                <c:pt idx="178">
                  <c:v>1.0002891886252845</c:v>
                </c:pt>
                <c:pt idx="179">
                  <c:v>1.0055705403638222</c:v>
                </c:pt>
                <c:pt idx="180">
                  <c:v>1.0108386785065608</c:v>
                </c:pt>
                <c:pt idx="181">
                  <c:v>1.0160927650565064</c:v>
                </c:pt>
                <c:pt idx="182">
                  <c:v>1.0213319593278343</c:v>
                </c:pt>
                <c:pt idx="183">
                  <c:v>1.0265554197643283</c:v>
                </c:pt>
                <c:pt idx="184">
                  <c:v>1.0317623058296868</c:v>
                </c:pt>
                <c:pt idx="185">
                  <c:v>1.0369517799637369</c:v>
                </c:pt>
                <c:pt idx="186">
                  <c:v>1.0421230095978782</c:v>
                </c:pt>
                <c:pt idx="187">
                  <c:v>1.0472751692223823</c:v>
                </c:pt>
                <c:pt idx="188">
                  <c:v>1.0524074424974841</c:v>
                </c:pt>
                <c:pt idx="189">
                  <c:v>1.0575190243995825</c:v>
                </c:pt>
                <c:pt idx="190">
                  <c:v>1.0626091233932282</c:v>
                </c:pt>
                <c:pt idx="191">
                  <c:v>1.0676769636190695</c:v>
                </c:pt>
                <c:pt idx="192">
                  <c:v>1.0727217870873877</c:v>
                </c:pt>
                <c:pt idx="193">
                  <c:v>1.0777428558664763</c:v>
                </c:pt>
                <c:pt idx="194">
                  <c:v>1.0827394542547271</c:v>
                </c:pt>
                <c:pt idx="195">
                  <c:v>1.0877108909250419</c:v>
                </c:pt>
                <c:pt idx="196">
                  <c:v>1.0926565010300071</c:v>
                </c:pt>
                <c:pt idx="197">
                  <c:v>1.0975756482561678</c:v>
                </c:pt>
                <c:pt idx="198">
                  <c:v>1.1024677268157754</c:v>
                </c:pt>
                <c:pt idx="199">
                  <c:v>1.1073321633644688</c:v>
                </c:pt>
                <c:pt idx="200">
                  <c:v>1.1121684188335959</c:v>
                </c:pt>
                <c:pt idx="201">
                  <c:v>1.1169759901661842</c:v>
                </c:pt>
                <c:pt idx="202">
                  <c:v>1.1217544119460101</c:v>
                </c:pt>
                <c:pt idx="203">
                  <c:v>1.1265032579097363</c:v>
                </c:pt>
                <c:pt idx="204">
                  <c:v>1.1312221423327267</c:v>
                </c:pt>
                <c:pt idx="205">
                  <c:v>1.135910721279864</c:v>
                </c:pt>
                <c:pt idx="206">
                  <c:v>1.1405686937135027</c:v>
                </c:pt>
                <c:pt idx="207">
                  <c:v>1.1451958024515918</c:v>
                </c:pt>
                <c:pt idx="208">
                  <c:v>1.1497918349699561</c:v>
                </c:pt>
                <c:pt idx="209">
                  <c:v>1.1543566240437499</c:v>
                </c:pt>
                <c:pt idx="210">
                  <c:v>1.15889004822418</c:v>
                </c:pt>
                <c:pt idx="211">
                  <c:v>1.1633920321477016</c:v>
                </c:pt>
                <c:pt idx="212">
                  <c:v>1.1678625466760371</c:v>
                </c:pt>
                <c:pt idx="213">
                  <c:v>1.1723016088665323</c:v>
                </c:pt>
                <c:pt idx="214">
                  <c:v>1.176709281773513</c:v>
                </c:pt>
                <c:pt idx="215">
                  <c:v>1.1810856740824647</c:v>
                </c:pt>
                <c:pt idx="216">
                  <c:v>1.1854309395799822</c:v>
                </c:pt>
                <c:pt idx="217">
                  <c:v>1.1897452764635288</c:v>
                </c:pt>
                <c:pt idx="218">
                  <c:v>1.1940289264960853</c:v>
                </c:pt>
                <c:pt idx="219">
                  <c:v>1.1982821740117662</c:v>
                </c:pt>
                <c:pt idx="220">
                  <c:v>1.2025053447793927</c:v>
                </c:pt>
                <c:pt idx="221">
                  <c:v>1.2066988047318625</c:v>
                </c:pt>
                <c:pt idx="222">
                  <c:v>1.2108629585699131</c:v>
                </c:pt>
                <c:pt idx="223">
                  <c:v>1.2149982482495507</c:v>
                </c:pt>
                <c:pt idx="224">
                  <c:v>1.2191051513629907</c:v>
                </c:pt>
                <c:pt idx="225">
                  <c:v>1.2231841794234324</c:v>
                </c:pt>
                <c:pt idx="226">
                  <c:v>1.2272358760643705</c:v>
                </c:pt>
                <c:pt idx="227">
                  <c:v>1.2312608151644167</c:v>
                </c:pt>
                <c:pt idx="228">
                  <c:v>1.2352595989087871</c:v>
                </c:pt>
                <c:pt idx="229">
                  <c:v>1.2392328557986725</c:v>
                </c:pt>
                <c:pt idx="230">
                  <c:v>1.2431812386196994</c:v>
                </c:pt>
                <c:pt idx="231">
                  <c:v>1.2471054223805753</c:v>
                </c:pt>
                <c:pt idx="232">
                  <c:v>1.2510061022327941</c:v>
                </c:pt>
                <c:pt idx="233">
                  <c:v>1.2548839913820222</c:v>
                </c:pt>
                <c:pt idx="234">
                  <c:v>1.2587398190014052</c:v>
                </c:pt>
                <c:pt idx="235">
                  <c:v>1.2625743281566177</c:v>
                </c:pt>
                <c:pt idx="236">
                  <c:v>1.2663882737520027</c:v>
                </c:pt>
                <c:pt idx="237">
                  <c:v>1.2701824205065977</c:v>
                </c:pt>
                <c:pt idx="238">
                  <c:v>1.2739575409682737</c:v>
                </c:pt>
                <c:pt idx="239">
                  <c:v>1.2777144135735938</c:v>
                </c:pt>
                <c:pt idx="240">
                  <c:v>1.2814538207603552</c:v>
                </c:pt>
                <c:pt idx="241">
                  <c:v>1.285176547139117</c:v>
                </c:pt>
                <c:pt idx="242">
                  <c:v>1.2888833777293409</c:v>
                </c:pt>
                <c:pt idx="243">
                  <c:v>1.2925750962650948</c:v>
                </c:pt>
                <c:pt idx="244">
                  <c:v>1.296252483574587</c:v>
                </c:pt>
                <c:pt idx="245">
                  <c:v>1.2999163160371396</c:v>
                </c:pt>
                <c:pt idx="246">
                  <c:v>1.303567364120543</c:v>
                </c:pt>
                <c:pt idx="247">
                  <c:v>1.3072063910011054</c:v>
                </c:pt>
                <c:pt idx="248">
                  <c:v>1.3108341512681088</c:v>
                </c:pt>
                <c:pt idx="249">
                  <c:v>1.314451389713774</c:v>
                </c:pt>
                <c:pt idx="250">
                  <c:v>1.3180588402093125</c:v>
                </c:pt>
                <c:pt idx="251">
                  <c:v>1.3216572246671074</c:v>
                </c:pt>
                <c:pt idx="252">
                  <c:v>1.3252472520885845</c:v>
                </c:pt>
                <c:pt idx="253">
                  <c:v>1.328829617696895</c:v>
                </c:pt>
                <c:pt idx="254">
                  <c:v>1.3324050021531169</c:v>
                </c:pt>
                <c:pt idx="255">
                  <c:v>1.3359740708543166</c:v>
                </c:pt>
                <c:pt idx="256">
                  <c:v>1.3395374733114791</c:v>
                </c:pt>
                <c:pt idx="257">
                  <c:v>1.3430958426050299</c:v>
                </c:pt>
                <c:pt idx="258">
                  <c:v>1.3466497949154079</c:v>
                </c:pt>
                <c:pt idx="259">
                  <c:v>1.3501999291259426</c:v>
                </c:pt>
                <c:pt idx="260">
                  <c:v>1.3537468264950931</c:v>
                </c:pt>
                <c:pt idx="261">
                  <c:v>1.3572909775814783</c:v>
                </c:pt>
                <c:pt idx="262">
                  <c:v>1.3608251522419821</c:v>
                </c:pt>
                <c:pt idx="263">
                  <c:v>1.3643438968392749</c:v>
                </c:pt>
                <c:pt idx="264">
                  <c:v>1.367846667491208</c:v>
                </c:pt>
                <c:pt idx="265">
                  <c:v>1.3713329178175733</c:v>
                </c:pt>
                <c:pt idx="266">
                  <c:v>1.3748020998732502</c:v>
                </c:pt>
                <c:pt idx="267">
                  <c:v>1.3782536651393003</c:v>
                </c:pt>
                <c:pt idx="268">
                  <c:v>1.381687065571811</c:v>
                </c:pt>
                <c:pt idx="269">
                  <c:v>1.3851017547079318</c:v>
                </c:pt>
                <c:pt idx="270">
                  <c:v>1.3884971888281805</c:v>
                </c:pt>
                <c:pt idx="271">
                  <c:v>1.3918728281737254</c:v>
                </c:pt>
                <c:pt idx="272">
                  <c:v>1.3952281382169434</c:v>
                </c:pt>
                <c:pt idx="273">
                  <c:v>1.3985625909831059</c:v>
                </c:pt>
                <c:pt idx="274">
                  <c:v>1.4018756664206145</c:v>
                </c:pt>
                <c:pt idx="275">
                  <c:v>1.4051668538167508</c:v>
                </c:pt>
                <c:pt idx="276">
                  <c:v>1.4084356532554012</c:v>
                </c:pt>
                <c:pt idx="277">
                  <c:v>1.4116815771127569</c:v>
                </c:pt>
                <c:pt idx="278">
                  <c:v>1.4149041515864864</c:v>
                </c:pt>
                <c:pt idx="279">
                  <c:v>1.4181029182533802</c:v>
                </c:pt>
                <c:pt idx="280">
                  <c:v>1.4212774356499802</c:v>
                </c:pt>
                <c:pt idx="281">
                  <c:v>1.4244272808702156</c:v>
                </c:pt>
                <c:pt idx="282">
                  <c:v>1.4275520511736071</c:v>
                </c:pt>
                <c:pt idx="283">
                  <c:v>1.4306513655971342</c:v>
                </c:pt>
                <c:pt idx="284">
                  <c:v>1.4337248665634448</c:v>
                </c:pt>
                <c:pt idx="285">
                  <c:v>1.4367722214776784</c:v>
                </c:pt>
                <c:pt idx="286">
                  <c:v>1.4397931243048312</c:v>
                </c:pt>
                <c:pt idx="287">
                  <c:v>1.4427872971192519</c:v>
                </c:pt>
                <c:pt idx="288">
                  <c:v>1.4457544916176115</c:v>
                </c:pt>
                <c:pt idx="289">
                  <c:v>1.4486944905864683</c:v>
                </c:pt>
                <c:pt idx="290">
                  <c:v>1.4516071093153999</c:v>
                </c:pt>
                <c:pt idx="291">
                  <c:v>1.4544921969465947</c:v>
                </c:pt>
                <c:pt idx="292">
                  <c:v>1.4573496377517854</c:v>
                </c:pt>
                <c:pt idx="293">
                  <c:v>1.4601793523274651</c:v>
                </c:pt>
                <c:pt idx="294">
                  <c:v>1.4629812986994732</c:v>
                </c:pt>
                <c:pt idx="295">
                  <c:v>1.4657554733282812</c:v>
                </c:pt>
                <c:pt idx="296">
                  <c:v>1.4685019120065865</c:v>
                </c:pt>
                <c:pt idx="297">
                  <c:v>1.4712206906412515</c:v>
                </c:pt>
                <c:pt idx="298">
                  <c:v>1.4739119259120941</c:v>
                </c:pt>
                <c:pt idx="299">
                  <c:v>1.476575775800592</c:v>
                </c:pt>
                <c:pt idx="300">
                  <c:v>1.4792124399822288</c:v>
                </c:pt>
                <c:pt idx="301">
                  <c:v>1.4818221600769159</c:v>
                </c:pt>
                <c:pt idx="302">
                  <c:v>1.4844052197527362</c:v>
                </c:pt>
                <c:pt idx="303">
                  <c:v>1.4869619446791045</c:v>
                </c:pt>
                <c:pt idx="304">
                  <c:v>1.4894927023263806</c:v>
                </c:pt>
                <c:pt idx="305">
                  <c:v>1.4919979016099256</c:v>
                </c:pt>
                <c:pt idx="306">
                  <c:v>1.4944779923776288</c:v>
                </c:pt>
                <c:pt idx="307">
                  <c:v>1.4969334647409631</c:v>
                </c:pt>
                <c:pt idx="308">
                  <c:v>1.499364848250714</c:v>
                </c:pt>
                <c:pt idx="309">
                  <c:v>1.5017727109195942</c:v>
                </c:pt>
                <c:pt idx="310">
                  <c:v>1.5041576580950458</c:v>
                </c:pt>
                <c:pt idx="311">
                  <c:v>1.5065203311865902</c:v>
                </c:pt>
                <c:pt idx="312">
                  <c:v>1.5088614062531345</c:v>
                </c:pt>
                <c:pt idx="313">
                  <c:v>1.5111815924566294</c:v>
                </c:pt>
                <c:pt idx="314">
                  <c:v>1.5134816303894592</c:v>
                </c:pt>
                <c:pt idx="315">
                  <c:v>1.5157622902837999</c:v>
                </c:pt>
                <c:pt idx="316">
                  <c:v>1.5180243701120468</c:v>
                </c:pt>
                <c:pt idx="317">
                  <c:v>1.5202686935881238</c:v>
                </c:pt>
                <c:pt idx="318">
                  <c:v>1.5224961080801804</c:v>
                </c:pt>
                <c:pt idx="319">
                  <c:v>1.5247074824457154</c:v>
                </c:pt>
                <c:pt idx="320">
                  <c:v>1.5269037048006611</c:v>
                </c:pt>
                <c:pt idx="321">
                  <c:v>1.5290856802342936</c:v>
                </c:pt>
                <c:pt idx="322">
                  <c:v>1.5312543284821261</c:v>
                </c:pt>
                <c:pt idx="323">
                  <c:v>1.5334105815690453</c:v>
                </c:pt>
                <c:pt idx="324">
                  <c:v>1.5355553814350236</c:v>
                </c:pt>
                <c:pt idx="325">
                  <c:v>1.5376896775556466</c:v>
                </c:pt>
                <c:pt idx="326">
                  <c:v>1.5398144245695304</c:v>
                </c:pt>
                <c:pt idx="327">
                  <c:v>1.5419305799244292</c:v>
                </c:pt>
                <c:pt idx="328">
                  <c:v>1.5440391015534505</c:v>
                </c:pt>
                <c:pt idx="329">
                  <c:v>1.5461409455923572</c:v>
                </c:pt>
                <c:pt idx="330">
                  <c:v>1.548237064148368</c:v>
                </c:pt>
                <c:pt idx="331">
                  <c:v>1.5503284031302884</c:v>
                </c:pt>
                <c:pt idx="332">
                  <c:v>1.5524159001490849</c:v>
                </c:pt>
                <c:pt idx="333">
                  <c:v>1.5545004824973272</c:v>
                </c:pt>
                <c:pt idx="334">
                  <c:v>1.5565830652151087</c:v>
                </c:pt>
                <c:pt idx="335">
                  <c:v>1.5586645492492646</c:v>
                </c:pt>
                <c:pt idx="336">
                  <c:v>1.5607458197118602</c:v>
                </c:pt>
                <c:pt idx="337">
                  <c:v>1.5628277442430694</c:v>
                </c:pt>
                <c:pt idx="338">
                  <c:v>1.5649111714827024</c:v>
                </c:pt>
                <c:pt idx="339">
                  <c:v>1.5669969296537876</c:v>
                </c:pt>
                <c:pt idx="340">
                  <c:v>1.5690858252607633</c:v>
                </c:pt>
                <c:pt idx="341">
                  <c:v>1.571178641904007</c:v>
                </c:pt>
                <c:pt idx="342">
                  <c:v>1.5732761392116363</c:v>
                </c:pt>
                <c:pt idx="343">
                  <c:v>1.5753790518887407</c:v>
                </c:pt>
                <c:pt idx="344">
                  <c:v>1.5774880888834792</c:v>
                </c:pt>
                <c:pt idx="345">
                  <c:v>1.5796039326687965</c:v>
                </c:pt>
                <c:pt idx="346">
                  <c:v>1.5817272386378616</c:v>
                </c:pt>
                <c:pt idx="347">
                  <c:v>1.5838586346107686</c:v>
                </c:pt>
                <c:pt idx="348">
                  <c:v>1.5859987204494752</c:v>
                </c:pt>
                <c:pt idx="349">
                  <c:v>1.5881480677775095</c:v>
                </c:pt>
                <c:pt idx="350">
                  <c:v>1.5903072198005221</c:v>
                </c:pt>
                <c:pt idx="351">
                  <c:v>1.5924766912234207</c:v>
                </c:pt>
                <c:pt idx="352">
                  <c:v>1.5946569682594884</c:v>
                </c:pt>
                <c:pt idx="353">
                  <c:v>1.5968485087266502</c:v>
                </c:pt>
                <c:pt idx="354">
                  <c:v>1.5990517422258272</c:v>
                </c:pt>
                <c:pt idx="355">
                  <c:v>1.6012670703961898</c:v>
                </c:pt>
                <c:pt idx="356">
                  <c:v>1.6034948672419806</c:v>
                </c:pt>
                <c:pt idx="357">
                  <c:v>1.6057354795255485</c:v>
                </c:pt>
                <c:pt idx="358">
                  <c:v>1.6079892272212011</c:v>
                </c:pt>
                <c:pt idx="359">
                  <c:v>1.6102564040245011</c:v>
                </c:pt>
                <c:pt idx="360">
                  <c:v>1.6125372779116982</c:v>
                </c:pt>
                <c:pt idx="361">
                  <c:v>1.6148320917440684</c:v>
                </c:pt>
                <c:pt idx="362">
                  <c:v>1.6171410639120565</c:v>
                </c:pt>
                <c:pt idx="363">
                  <c:v>1.6194643890142522</c:v>
                </c:pt>
                <c:pt idx="364">
                  <c:v>1.6218022385664044</c:v>
                </c:pt>
                <c:pt idx="365">
                  <c:v>1.6241547617358612</c:v>
                </c:pt>
                <c:pt idx="366">
                  <c:v>1.6265183476138925</c:v>
                </c:pt>
                <c:pt idx="367">
                  <c:v>1.6288838878488485</c:v>
                </c:pt>
                <c:pt idx="368">
                  <c:v>1.6312509164532576</c:v>
                </c:pt>
                <c:pt idx="369">
                  <c:v>1.6336193790855655</c:v>
                </c:pt>
                <c:pt idx="370">
                  <c:v>1.635989219300211</c:v>
                </c:pt>
                <c:pt idx="371">
                  <c:v>1.638360378528612</c:v>
                </c:pt>
                <c:pt idx="372">
                  <c:v>1.6407327960621356</c:v>
                </c:pt>
                <c:pt idx="373">
                  <c:v>1.6431064090371781</c:v>
                </c:pt>
                <c:pt idx="374">
                  <c:v>1.6454811524224657</c:v>
                </c:pt>
                <c:pt idx="375">
                  <c:v>1.6478569590087053</c:v>
                </c:pt>
                <c:pt idx="376">
                  <c:v>1.6502337594007013</c:v>
                </c:pt>
                <c:pt idx="377">
                  <c:v>1.6526114820120577</c:v>
                </c:pt>
                <c:pt idx="378">
                  <c:v>1.6549900530625929</c:v>
                </c:pt>
                <c:pt idx="379">
                  <c:v>1.6573693965785758</c:v>
                </c:pt>
                <c:pt idx="380">
                  <c:v>1.6597494343959103</c:v>
                </c:pt>
                <c:pt idx="381">
                  <c:v>1.6621300861663775</c:v>
                </c:pt>
                <c:pt idx="382">
                  <c:v>1.6645112693670563</c:v>
                </c:pt>
                <c:pt idx="383">
                  <c:v>1.6668928993130263</c:v>
                </c:pt>
                <c:pt idx="384">
                  <c:v>1.669274889173467</c:v>
                </c:pt>
                <c:pt idx="385">
                  <c:v>1.6716571499912551</c:v>
                </c:pt>
                <c:pt idx="386">
                  <c:v>1.6740395907061552</c:v>
                </c:pt>
                <c:pt idx="387">
                  <c:v>1.6764221181817096</c:v>
                </c:pt>
                <c:pt idx="388">
                  <c:v>1.6788046372359049</c:v>
                </c:pt>
                <c:pt idx="389">
                  <c:v>1.6811870506757092</c:v>
                </c:pt>
                <c:pt idx="390">
                  <c:v>1.6835692593355471</c:v>
                </c:pt>
                <c:pt idx="391">
                  <c:v>1.6859511621197907</c:v>
                </c:pt>
                <c:pt idx="392">
                  <c:v>1.6883326560493275</c:v>
                </c:pt>
                <c:pt idx="393">
                  <c:v>1.6907136363122481</c:v>
                </c:pt>
                <c:pt idx="394">
                  <c:v>1.6930939963187195</c:v>
                </c:pt>
                <c:pt idx="395">
                  <c:v>1.6954736277600564</c:v>
                </c:pt>
                <c:pt idx="396">
                  <c:v>1.6978524206720342</c:v>
                </c:pt>
                <c:pt idx="397">
                  <c:v>1.7002302635024478</c:v>
                </c:pt>
                <c:pt idx="398">
                  <c:v>1.7026070431829246</c:v>
                </c:pt>
                <c:pt idx="399">
                  <c:v>1.7049826452049803</c:v>
                </c:pt>
                <c:pt idx="400">
                  <c:v>1.7073569537003066</c:v>
                </c:pt>
                <c:pt idx="401">
                  <c:v>1.7097298515252464</c:v>
                </c:pt>
                <c:pt idx="402">
                  <c:v>1.7121012203494184</c:v>
                </c:pt>
                <c:pt idx="403">
                  <c:v>1.714470940748434</c:v>
                </c:pt>
                <c:pt idx="404">
                  <c:v>1.7168388923006321</c:v>
                </c:pt>
                <c:pt idx="405">
                  <c:v>1.7192049536877483</c:v>
                </c:pt>
                <c:pt idx="406">
                  <c:v>1.7215690027994091</c:v>
                </c:pt>
                <c:pt idx="407">
                  <c:v>1.7239309168413604</c:v>
                </c:pt>
                <c:pt idx="408">
                  <c:v>1.726290572447273</c:v>
                </c:pt>
                <c:pt idx="409">
                  <c:v>1.728647845794008</c:v>
                </c:pt>
                <c:pt idx="410">
                  <c:v>1.7310026127201699</c:v>
                </c:pt>
                <c:pt idx="411">
                  <c:v>1.7333547488477827</c:v>
                </c:pt>
                <c:pt idx="412">
                  <c:v>1.7357041297069027</c:v>
                </c:pt>
                <c:pt idx="413">
                  <c:v>1.7380506308629731</c:v>
                </c:pt>
                <c:pt idx="414">
                  <c:v>1.740394128046701</c:v>
                </c:pt>
                <c:pt idx="415">
                  <c:v>1.7427344972862364</c:v>
                </c:pt>
                <c:pt idx="416">
                  <c:v>1.7450716150414196</c:v>
                </c:pt>
                <c:pt idx="417">
                  <c:v>1.7474053583398341</c:v>
                </c:pt>
                <c:pt idx="418">
                  <c:v>1.7497356049144173</c:v>
                </c:pt>
                <c:pt idx="419">
                  <c:v>1.7520622333423475</c:v>
                </c:pt>
                <c:pt idx="420">
                  <c:v>1.7543851231849303</c:v>
                </c:pt>
                <c:pt idx="421">
                  <c:v>1.7567041551281852</c:v>
                </c:pt>
                <c:pt idx="422">
                  <c:v>1.7590192111238427</c:v>
                </c:pt>
                <c:pt idx="423">
                  <c:v>1.7613301745304335</c:v>
                </c:pt>
                <c:pt idx="424">
                  <c:v>1.7636369302541632</c:v>
                </c:pt>
                <c:pt idx="425">
                  <c:v>1.7659393648892465</c:v>
                </c:pt>
                <c:pt idx="426">
                  <c:v>1.7682373668573832</c:v>
                </c:pt>
                <c:pt idx="427">
                  <c:v>1.7705308265460491</c:v>
                </c:pt>
                <c:pt idx="428">
                  <c:v>1.7728196364452591</c:v>
                </c:pt>
                <c:pt idx="429">
                  <c:v>1.7751036912824987</c:v>
                </c:pt>
                <c:pt idx="430">
                  <c:v>1.7773828881554656</c:v>
                </c:pt>
                <c:pt idx="431">
                  <c:v>1.7796571266623202</c:v>
                </c:pt>
                <c:pt idx="432">
                  <c:v>1.7819263090290998</c:v>
                </c:pt>
                <c:pt idx="433">
                  <c:v>1.7841903402339947</c:v>
                </c:pt>
                <c:pt idx="434">
                  <c:v>1.7864491281281565</c:v>
                </c:pt>
                <c:pt idx="435">
                  <c:v>1.7887025835527504</c:v>
                </c:pt>
                <c:pt idx="436">
                  <c:v>1.7909506204519288</c:v>
                </c:pt>
                <c:pt idx="437">
                  <c:v>1.7931931559814682</c:v>
                </c:pt>
                <c:pt idx="438">
                  <c:v>1.7954301106127597</c:v>
                </c:pt>
                <c:pt idx="439">
                  <c:v>1.7976614082319133</c:v>
                </c:pt>
                <c:pt idx="440">
                  <c:v>1.7998869762337104</c:v>
                </c:pt>
                <c:pt idx="441">
                  <c:v>1.8021067456101645</c:v>
                </c:pt>
                <c:pt idx="442">
                  <c:v>1.8043206510334802</c:v>
                </c:pt>
                <c:pt idx="443">
                  <c:v>1.8065286309331894</c:v>
                </c:pt>
                <c:pt idx="444">
                  <c:v>1.8087306275672799</c:v>
                </c:pt>
                <c:pt idx="445">
                  <c:v>1.8109265870871492</c:v>
                </c:pt>
                <c:pt idx="446">
                  <c:v>1.8131164595962264</c:v>
                </c:pt>
                <c:pt idx="447">
                  <c:v>1.8153001992021245</c:v>
                </c:pt>
                <c:pt idx="448">
                  <c:v>1.8174777640622182</c:v>
                </c:pt>
                <c:pt idx="449">
                  <c:v>1.8196491164225452</c:v>
                </c:pt>
                <c:pt idx="450">
                  <c:v>1.8218142226499561</c:v>
                </c:pt>
                <c:pt idx="451">
                  <c:v>1.8239730532574754</c:v>
                </c:pt>
                <c:pt idx="452">
                  <c:v>1.8261255829228173</c:v>
                </c:pt>
                <c:pt idx="453">
                  <c:v>1.8282717905000632</c:v>
                </c:pt>
                <c:pt idx="454">
                  <c:v>1.8304116590245101</c:v>
                </c:pt>
                <c:pt idx="455">
                  <c:v>1.832545175710707</c:v>
                </c:pt>
                <c:pt idx="456">
                  <c:v>1.8346723319437452</c:v>
                </c:pt>
                <c:pt idx="457">
                  <c:v>1.836793123263861</c:v>
                </c:pt>
                <c:pt idx="458">
                  <c:v>1.8389075493444531</c:v>
                </c:pt>
                <c:pt idx="459">
                  <c:v>1.8410156139636058</c:v>
                </c:pt>
                <c:pt idx="460">
                  <c:v>1.8431173249692685</c:v>
                </c:pt>
                <c:pt idx="461">
                  <c:v>1.8452126942382143</c:v>
                </c:pt>
                <c:pt idx="462">
                  <c:v>1.8473017376289562</c:v>
                </c:pt>
                <c:pt idx="463">
                  <c:v>1.849384474928784</c:v>
                </c:pt>
                <c:pt idx="464">
                  <c:v>1.8514609297951321</c:v>
                </c:pt>
                <c:pt idx="465">
                  <c:v>1.8535311296914623</c:v>
                </c:pt>
                <c:pt idx="466">
                  <c:v>1.855595105817907</c:v>
                </c:pt>
                <c:pt idx="467">
                  <c:v>1.8576528930368774</c:v>
                </c:pt>
                <c:pt idx="468">
                  <c:v>1.8597045297939043</c:v>
                </c:pt>
                <c:pt idx="469">
                  <c:v>1.8617500580339434</c:v>
                </c:pt>
                <c:pt idx="470">
                  <c:v>1.8637895231134212</c:v>
                </c:pt>
                <c:pt idx="471">
                  <c:v>1.8658229737082725</c:v>
                </c:pt>
                <c:pt idx="472">
                  <c:v>1.8678504617182676</c:v>
                </c:pt>
                <c:pt idx="473">
                  <c:v>1.8698720421678785</c:v>
                </c:pt>
                <c:pt idx="474">
                  <c:v>1.8718877731039976</c:v>
                </c:pt>
                <c:pt idx="475">
                  <c:v>1.8738977154907677</c:v>
                </c:pt>
                <c:pt idx="476">
                  <c:v>1.8759019331018323</c:v>
                </c:pt>
                <c:pt idx="477">
                  <c:v>1.8779004924102796</c:v>
                </c:pt>
                <c:pt idx="478">
                  <c:v>1.8798934624765726</c:v>
                </c:pt>
                <c:pt idx="479">
                  <c:v>1.8818809148347542</c:v>
                </c:pt>
                <c:pt idx="480">
                  <c:v>1.8838629233772033</c:v>
                </c:pt>
                <c:pt idx="481">
                  <c:v>1.885839564238226</c:v>
                </c:pt>
                <c:pt idx="482">
                  <c:v>1.8878109156767608</c:v>
                </c:pt>
                <c:pt idx="483">
                  <c:v>1.8897770579584514</c:v>
                </c:pt>
                <c:pt idx="484">
                  <c:v>1.8917380732373736</c:v>
                </c:pt>
                <c:pt idx="485">
                  <c:v>1.8936940454376523</c:v>
                </c:pt>
                <c:pt idx="486">
                  <c:v>1.8956450601352337</c:v>
                </c:pt>
                <c:pt idx="487">
                  <c:v>1.8975912044400385</c:v>
                </c:pt>
                <c:pt idx="488">
                  <c:v>1.8995325668787422</c:v>
                </c:pt>
                <c:pt idx="489">
                  <c:v>1.901469237278397</c:v>
                </c:pt>
                <c:pt idx="490">
                  <c:v>1.9034013066511124</c:v>
                </c:pt>
                <c:pt idx="491">
                  <c:v>1.9053288670799908</c:v>
                </c:pt>
                <c:pt idx="492">
                  <c:v>1.9072520116065246</c:v>
                </c:pt>
                <c:pt idx="493">
                  <c:v>1.9091708341196236</c:v>
                </c:pt>
                <c:pt idx="494">
                  <c:v>1.9110854292464508</c:v>
                </c:pt>
                <c:pt idx="495">
                  <c:v>1.9129958922452188</c:v>
                </c:pt>
                <c:pt idx="496">
                  <c:v>1.9149023189001189</c:v>
                </c:pt>
                <c:pt idx="497">
                  <c:v>1.9168048054184836</c:v>
                </c:pt>
                <c:pt idx="498">
                  <c:v>1.9187034483303465</c:v>
                </c:pt>
                <c:pt idx="499">
                  <c:v>1.9205983443904913</c:v>
                </c:pt>
                <c:pt idx="500">
                  <c:v>1.9224895904831043</c:v>
                </c:pt>
                <c:pt idx="501">
                  <c:v>1.9243772835291282</c:v>
                </c:pt>
                <c:pt idx="502">
                  <c:v>1.9262615203963844</c:v>
                </c:pt>
                <c:pt idx="503">
                  <c:v>1.9281423978125583</c:v>
                </c:pt>
                <c:pt idx="504">
                  <c:v>1.9300200122810913</c:v>
                </c:pt>
                <c:pt idx="505">
                  <c:v>1.9318944600000469</c:v>
                </c:pt>
                <c:pt idx="506">
                  <c:v>1.9337658367839827</c:v>
                </c:pt>
                <c:pt idx="507">
                  <c:v>1.9356342379888669</c:v>
                </c:pt>
                <c:pt idx="508">
                  <c:v>1.9374997584400642</c:v>
                </c:pt>
                <c:pt idx="509">
                  <c:v>1.9393624923634087</c:v>
                </c:pt>
                <c:pt idx="510">
                  <c:v>1.9412225333193618</c:v>
                </c:pt>
                <c:pt idx="511">
                  <c:v>1.9430799741402716</c:v>
                </c:pt>
                <c:pt idx="512">
                  <c:v>1.9449349068707111</c:v>
                </c:pt>
                <c:pt idx="513">
                  <c:v>1.946787422710883</c:v>
                </c:pt>
                <c:pt idx="514">
                  <c:v>1.9486376119630819</c:v>
                </c:pt>
                <c:pt idx="515">
                  <c:v>1.9504855639811673</c:v>
                </c:pt>
                <c:pt idx="516">
                  <c:v>1.9523313671230287</c:v>
                </c:pt>
                <c:pt idx="517">
                  <c:v>1.9541751087059962</c:v>
                </c:pt>
                <c:pt idx="518">
                  <c:v>1.9560168749651579</c:v>
                </c:pt>
                <c:pt idx="519">
                  <c:v>1.9578567510145235</c:v>
                </c:pt>
                <c:pt idx="520">
                  <c:v>1.9596948208110001</c:v>
                </c:pt>
                <c:pt idx="521">
                  <c:v>1.9615311671211051</c:v>
                </c:pt>
                <c:pt idx="522">
                  <c:v>1.9633657784785119</c:v>
                </c:pt>
                <c:pt idx="523">
                  <c:v>1.9651959637123479</c:v>
                </c:pt>
                <c:pt idx="524">
                  <c:v>1.9670203188152693</c:v>
                </c:pt>
                <c:pt idx="525">
                  <c:v>1.9688386632001671</c:v>
                </c:pt>
                <c:pt idx="526">
                  <c:v>1.9706508162747172</c:v>
                </c:pt>
                <c:pt idx="527">
                  <c:v>1.9724565977893087</c:v>
                </c:pt>
                <c:pt idx="528">
                  <c:v>1.9742558282038636</c:v>
                </c:pt>
                <c:pt idx="529">
                  <c:v>1.9760483290732835</c:v>
                </c:pt>
                <c:pt idx="530">
                  <c:v>1.9778339234511604</c:v>
                </c:pt>
                <c:pt idx="531">
                  <c:v>1.97961243631122</c:v>
                </c:pt>
                <c:pt idx="532">
                  <c:v>1.9813836949858765</c:v>
                </c:pt>
                <c:pt idx="533">
                  <c:v>1.9831475296210992</c:v>
                </c:pt>
                <c:pt idx="534">
                  <c:v>1.9849037736466437</c:v>
                </c:pt>
                <c:pt idx="535">
                  <c:v>1.9866522642605668</c:v>
                </c:pt>
                <c:pt idx="536">
                  <c:v>1.9883928429267652</c:v>
                </c:pt>
                <c:pt idx="537">
                  <c:v>1.9901253558841061</c:v>
                </c:pt>
                <c:pt idx="538">
                  <c:v>1.9918496546655888</c:v>
                </c:pt>
                <c:pt idx="539">
                  <c:v>1.9935655966257795</c:v>
                </c:pt>
                <c:pt idx="540">
                  <c:v>1.9952730454745997</c:v>
                </c:pt>
                <c:pt idx="541">
                  <c:v>1.996971871815415</c:v>
                </c:pt>
                <c:pt idx="542">
                  <c:v>1.9986619536851844</c:v>
                </c:pt>
                <c:pt idx="543">
                  <c:v>2.0003431770942912</c:v>
                </c:pt>
                <c:pt idx="544">
                  <c:v>2.0020154365635534</c:v>
                </c:pt>
                <c:pt idx="545">
                  <c:v>2.0036786356557474</c:v>
                </c:pt>
                <c:pt idx="546">
                  <c:v>2.0053326874988957</c:v>
                </c:pt>
                <c:pt idx="547">
                  <c:v>2.0069775152984453</c:v>
                </c:pt>
                <c:pt idx="548">
                  <c:v>2.0086130528353885</c:v>
                </c:pt>
                <c:pt idx="549">
                  <c:v>2.0102392449473085</c:v>
                </c:pt>
                <c:pt idx="550">
                  <c:v>2.0118560479892835</c:v>
                </c:pt>
                <c:pt idx="551">
                  <c:v>2.0134634302715781</c:v>
                </c:pt>
                <c:pt idx="552">
                  <c:v>2.015061372471016</c:v>
                </c:pt>
                <c:pt idx="553">
                  <c:v>2.0166498680130105</c:v>
                </c:pt>
                <c:pt idx="554">
                  <c:v>2.0182289234212263</c:v>
                </c:pt>
                <c:pt idx="555">
                  <c:v>2.0197985586319733</c:v>
                </c:pt>
                <c:pt idx="556">
                  <c:v>2.0213588072705235</c:v>
                </c:pt>
                <c:pt idx="557">
                  <c:v>2.0229097168866881</c:v>
                </c:pt>
                <c:pt idx="558">
                  <c:v>2.0244513491471681</c:v>
                </c:pt>
                <c:pt idx="559">
                  <c:v>2.0259837799823699</c:v>
                </c:pt>
                <c:pt idx="560">
                  <c:v>2.0275070996856326</c:v>
                </c:pt>
                <c:pt idx="561">
                  <c:v>2.0290214129630457</c:v>
                </c:pt>
                <c:pt idx="562">
                  <c:v>2.0305268389323148</c:v>
                </c:pt>
                <c:pt idx="563">
                  <c:v>2.0320235110694371</c:v>
                </c:pt>
                <c:pt idx="564">
                  <c:v>2.0335115771022778</c:v>
                </c:pt>
                <c:pt idx="565">
                  <c:v>2.0349911988504443</c:v>
                </c:pt>
                <c:pt idx="566">
                  <c:v>2.0364625520112556</c:v>
                </c:pt>
                <c:pt idx="567">
                  <c:v>2.0379258258919166</c:v>
                </c:pt>
                <c:pt idx="568">
                  <c:v>2.0393812230884096</c:v>
                </c:pt>
                <c:pt idx="569">
                  <c:v>2.0408289591119786</c:v>
                </c:pt>
                <c:pt idx="570">
                  <c:v>2.0422692619644596</c:v>
                </c:pt>
                <c:pt idx="571">
                  <c:v>2.0437023716640503</c:v>
                </c:pt>
                <c:pt idx="572">
                  <c:v>2.0451285397235224</c:v>
                </c:pt>
                <c:pt idx="573">
                  <c:v>2.0465480285831767</c:v>
                </c:pt>
                <c:pt idx="574">
                  <c:v>2.0479611110011886</c:v>
                </c:pt>
                <c:pt idx="575">
                  <c:v>2.0493680694043062</c:v>
                </c:pt>
                <c:pt idx="576">
                  <c:v>2.0507691952021325</c:v>
                </c:pt>
                <c:pt idx="577">
                  <c:v>2.0521647880684903</c:v>
                </c:pt>
                <c:pt idx="578">
                  <c:v>2.05355515519358</c:v>
                </c:pt>
                <c:pt idx="579">
                  <c:v>2.0549406105108519</c:v>
                </c:pt>
                <c:pt idx="580">
                  <c:v>2.0563214739026447</c:v>
                </c:pt>
                <c:pt idx="581">
                  <c:v>2.0576980703887977</c:v>
                </c:pt>
                <c:pt idx="582">
                  <c:v>2.0590707293024852</c:v>
                </c:pt>
                <c:pt idx="583">
                  <c:v>2.0604397834576127</c:v>
                </c:pt>
                <c:pt idx="584">
                  <c:v>2.0618055683120797</c:v>
                </c:pt>
                <c:pt idx="585">
                  <c:v>2.0631684211312047</c:v>
                </c:pt>
                <c:pt idx="586">
                  <c:v>2.0645286801555458</c:v>
                </c:pt>
                <c:pt idx="587">
                  <c:v>2.0658866837772298</c:v>
                </c:pt>
                <c:pt idx="588">
                  <c:v>2.0672427697287739</c:v>
                </c:pt>
                <c:pt idx="589">
                  <c:v>2.0685972742882268</c:v>
                </c:pt>
                <c:pt idx="590">
                  <c:v>2.0699505315042486</c:v>
                </c:pt>
                <c:pt idx="591">
                  <c:v>2.0713028724445217</c:v>
                </c:pt>
                <c:pt idx="592">
                  <c:v>2.0726546244706694</c:v>
                </c:pt>
                <c:pt idx="593">
                  <c:v>2.074006110542554</c:v>
                </c:pt>
                <c:pt idx="594">
                  <c:v>2.075357648554589</c:v>
                </c:pt>
                <c:pt idx="595">
                  <c:v>2.0767095507063842</c:v>
                </c:pt>
                <c:pt idx="596">
                  <c:v>2.0780621229097367</c:v>
                </c:pt>
                <c:pt idx="597">
                  <c:v>2.0794156642337125</c:v>
                </c:pt>
                <c:pt idx="598">
                  <c:v>2.0807704663892079</c:v>
                </c:pt>
                <c:pt idx="599">
                  <c:v>2.0821268132541144</c:v>
                </c:pt>
                <c:pt idx="600">
                  <c:v>2.0834849804398838</c:v>
                </c:pt>
                <c:pt idx="601">
                  <c:v>2.0848452349000128</c:v>
                </c:pt>
                <c:pt idx="602">
                  <c:v>2.0862078345806743</c:v>
                </c:pt>
                <c:pt idx="603">
                  <c:v>2.0875730281134444</c:v>
                </c:pt>
                <c:pt idx="604">
                  <c:v>2.0889410545498377</c:v>
                </c:pt>
                <c:pt idx="605">
                  <c:v>2.0903121431370901</c:v>
                </c:pt>
                <c:pt idx="606">
                  <c:v>2.0916865131344409</c:v>
                </c:pt>
                <c:pt idx="607">
                  <c:v>2.0930643736689145</c:v>
                </c:pt>
                <c:pt idx="608">
                  <c:v>2.0944459236294626</c:v>
                </c:pt>
                <c:pt idx="609">
                  <c:v>2.0958313515981293</c:v>
                </c:pt>
                <c:pt idx="610">
                  <c:v>2.0972208358167581</c:v>
                </c:pt>
                <c:pt idx="611">
                  <c:v>2.0986145441876425</c:v>
                </c:pt>
                <c:pt idx="612">
                  <c:v>2.1000126343064185</c:v>
                </c:pt>
                <c:pt idx="613">
                  <c:v>2.1014152535253796</c:v>
                </c:pt>
                <c:pt idx="614">
                  <c:v>2.1028225390453774</c:v>
                </c:pt>
                <c:pt idx="615">
                  <c:v>2.104234618034365</c:v>
                </c:pt>
                <c:pt idx="616">
                  <c:v>2.1056516077706564</c:v>
                </c:pt>
                <c:pt idx="617">
                  <c:v>2.1070736158089254</c:v>
                </c:pt>
                <c:pt idx="618">
                  <c:v>2.1085007401669689</c:v>
                </c:pt>
                <c:pt idx="619">
                  <c:v>2.1099330695313081</c:v>
                </c:pt>
                <c:pt idx="620">
                  <c:v>2.1113706834796684</c:v>
                </c:pt>
                <c:pt idx="621">
                  <c:v>2.1128136527184584</c:v>
                </c:pt>
                <c:pt idx="622">
                  <c:v>2.1142620393334135</c:v>
                </c:pt>
                <c:pt idx="623">
                  <c:v>2.1157158970515964</c:v>
                </c:pt>
                <c:pt idx="624">
                  <c:v>2.1171752715130396</c:v>
                </c:pt>
                <c:pt idx="625">
                  <c:v>2.1186402005503773</c:v>
                </c:pt>
                <c:pt idx="626">
                  <c:v>2.1201107144748801</c:v>
                </c:pt>
                <c:pt idx="627">
                  <c:v>2.1215854638283798</c:v>
                </c:pt>
                <c:pt idx="628">
                  <c:v>2.1230621258547777</c:v>
                </c:pt>
                <c:pt idx="629">
                  <c:v>2.124540652703236</c:v>
                </c:pt>
                <c:pt idx="630">
                  <c:v>2.12602103337476</c:v>
                </c:pt>
                <c:pt idx="631">
                  <c:v>2.127503255655149</c:v>
                </c:pt>
                <c:pt idx="632">
                  <c:v>2.1289873060868034</c:v>
                </c:pt>
                <c:pt idx="633">
                  <c:v>2.1304731699410393</c:v>
                </c:pt>
                <c:pt idx="634">
                  <c:v>2.1319608311910003</c:v>
                </c:pt>
                <c:pt idx="635">
                  <c:v>2.1334502724852307</c:v>
                </c:pt>
                <c:pt idx="636">
                  <c:v>2.1349414751219862</c:v>
                </c:pt>
                <c:pt idx="637">
                  <c:v>2.1364344190243729</c:v>
                </c:pt>
                <c:pt idx="638">
                  <c:v>2.1379290827163793</c:v>
                </c:pt>
                <c:pt idx="639">
                  <c:v>2.1394254432999009</c:v>
                </c:pt>
                <c:pt idx="640">
                  <c:v>2.140923476432826</c:v>
                </c:pt>
                <c:pt idx="641">
                  <c:v>2.1424231563082787</c:v>
                </c:pt>
                <c:pt idx="642">
                  <c:v>2.1439244556351076</c:v>
                </c:pt>
                <c:pt idx="643">
                  <c:v>2.1454273456196979</c:v>
                </c:pt>
                <c:pt idx="644">
                  <c:v>2.1469317959492029</c:v>
                </c:pt>
                <c:pt idx="645">
                  <c:v>2.1484377747762857</c:v>
                </c:pt>
                <c:pt idx="646">
                  <c:v>2.1499452487054569</c:v>
                </c:pt>
                <c:pt idx="647">
                  <c:v>2.15145418278109</c:v>
                </c:pt>
                <c:pt idx="648">
                  <c:v>2.1529645404772286</c:v>
                </c:pt>
                <c:pt idx="649">
                  <c:v>2.1544762836892373</c:v>
                </c:pt>
                <c:pt idx="650">
                  <c:v>2.1559893727274173</c:v>
                </c:pt>
                <c:pt idx="651">
                  <c:v>2.1575037663126535</c:v>
                </c:pt>
                <c:pt idx="652">
                  <c:v>2.1590194215741754</c:v>
                </c:pt>
                <c:pt idx="653">
                  <c:v>2.160536294049531</c:v>
                </c:pt>
                <c:pt idx="654">
                  <c:v>2.1620543376868375</c:v>
                </c:pt>
                <c:pt idx="655">
                  <c:v>2.1635735048493885</c:v>
                </c:pt>
                <c:pt idx="656">
                  <c:v>2.1650937463226914</c:v>
                </c:pt>
                <c:pt idx="657">
                  <c:v>2.1666150113240166</c:v>
                </c:pt>
                <c:pt idx="658">
                  <c:v>2.1681372475145011</c:v>
                </c:pt>
                <c:pt idx="659">
                  <c:v>2.1696604010138869</c:v>
                </c:pt>
                <c:pt idx="660">
                  <c:v>2.1711844164179444</c:v>
                </c:pt>
                <c:pt idx="661">
                  <c:v>2.1727092368186245</c:v>
                </c:pt>
                <c:pt idx="662">
                  <c:v>2.174234803827003</c:v>
                </c:pt>
                <c:pt idx="663">
                  <c:v>2.17576105759903</c:v>
                </c:pt>
                <c:pt idx="664">
                  <c:v>2.1772879368641425</c:v>
                </c:pt>
                <c:pt idx="665">
                  <c:v>2.1788153789567515</c:v>
                </c:pt>
                <c:pt idx="666">
                  <c:v>2.1803433198506221</c:v>
                </c:pt>
                <c:pt idx="667">
                  <c:v>2.1818716941961633</c:v>
                </c:pt>
                <c:pt idx="668">
                  <c:v>2.1834004353606304</c:v>
                </c:pt>
                <c:pt idx="669">
                  <c:v>2.1849294754712267</c:v>
                </c:pt>
                <c:pt idx="670">
                  <c:v>2.1864587454610991</c:v>
                </c:pt>
                <c:pt idx="671">
                  <c:v>2.1879881751182015</c:v>
                </c:pt>
                <c:pt idx="672">
                  <c:v>2.1895176931369997</c:v>
                </c:pt>
                <c:pt idx="673">
                  <c:v>2.1910472271729606</c:v>
                </c:pt>
                <c:pt idx="674">
                  <c:v>2.1925767038998067</c:v>
                </c:pt>
                <c:pt idx="675">
                  <c:v>2.1941060490694388</c:v>
                </c:pt>
                <c:pt idx="676">
                  <c:v>2.1956351875744917</c:v>
                </c:pt>
                <c:pt idx="677">
                  <c:v>2.1971640435134256</c:v>
                </c:pt>
                <c:pt idx="678">
                  <c:v>2.1986925402580697</c:v>
                </c:pt>
                <c:pt idx="679">
                  <c:v>2.2002206005235254</c:v>
                </c:pt>
                <c:pt idx="680">
                  <c:v>2.2017481464403166</c:v>
                </c:pt>
                <c:pt idx="681">
                  <c:v>2.203275099628677</c:v>
                </c:pt>
                <c:pt idx="682">
                  <c:v>2.2048013812748466</c:v>
                </c:pt>
                <c:pt idx="683">
                  <c:v>2.2063269122092493</c:v>
                </c:pt>
                <c:pt idx="684">
                  <c:v>2.2078516129863988</c:v>
                </c:pt>
                <c:pt idx="685">
                  <c:v>2.2093754039664049</c:v>
                </c:pt>
                <c:pt idx="686">
                  <c:v>2.2108982053978985</c:v>
                </c:pt>
                <c:pt idx="687">
                  <c:v>2.212419937502224</c:v>
                </c:pt>
                <c:pt idx="688">
                  <c:v>2.2139405205587392</c:v>
                </c:pt>
                <c:pt idx="689">
                  <c:v>2.2154598749910153</c:v>
                </c:pt>
                <c:pt idx="690">
                  <c:v>2.2169779214537897</c:v>
                </c:pt>
                <c:pt idx="691">
                  <c:v>2.2184945809204573</c:v>
                </c:pt>
                <c:pt idx="692">
                  <c:v>2.2200097747709293</c:v>
                </c:pt>
                <c:pt idx="693">
                  <c:v>2.2215234248796398</c:v>
                </c:pt>
                <c:pt idx="694">
                  <c:v>2.2230354537035262</c:v>
                </c:pt>
                <c:pt idx="695">
                  <c:v>2.224545784369774</c:v>
                </c:pt>
                <c:pt idx="696">
                  <c:v>2.2260543407631173</c:v>
                </c:pt>
                <c:pt idx="697">
                  <c:v>2.2275610476124954</c:v>
                </c:pt>
                <c:pt idx="698">
                  <c:v>2.2290658305768791</c:v>
                </c:pt>
                <c:pt idx="699">
                  <c:v>2.2305686163300367</c:v>
                </c:pt>
                <c:pt idx="700">
                  <c:v>2.2320693326440639</c:v>
                </c:pt>
                <c:pt idx="701">
                  <c:v>2.2335679084714659</c:v>
                </c:pt>
                <c:pt idx="702">
                  <c:v>2.2350642740256124</c:v>
                </c:pt>
                <c:pt idx="703">
                  <c:v>2.2365583608593509</c:v>
                </c:pt>
                <c:pt idx="704">
                  <c:v>2.2380501019416252</c:v>
                </c:pt>
                <c:pt idx="705">
                  <c:v>2.2395394317318922</c:v>
                </c:pt>
                <c:pt idx="706">
                  <c:v>2.2410262862521719</c:v>
                </c:pt>
                <c:pt idx="707">
                  <c:v>2.2425106031565849</c:v>
                </c:pt>
                <c:pt idx="708">
                  <c:v>2.2439923217981743</c:v>
                </c:pt>
                <c:pt idx="709">
                  <c:v>2.2454713832929123</c:v>
                </c:pt>
                <c:pt idx="710">
                  <c:v>2.2469477305807088</c:v>
                </c:pt>
                <c:pt idx="711">
                  <c:v>2.248421308483318</c:v>
                </c:pt>
                <c:pt idx="712">
                  <c:v>2.2498920637590003</c:v>
                </c:pt>
                <c:pt idx="713">
                  <c:v>2.2513599451538506</c:v>
                </c:pt>
                <c:pt idx="714">
                  <c:v>2.2528249034496577</c:v>
                </c:pt>
                <c:pt idx="715">
                  <c:v>2.2542868915082472</c:v>
                </c:pt>
                <c:pt idx="716">
                  <c:v>2.2557458643121886</c:v>
                </c:pt>
                <c:pt idx="717">
                  <c:v>2.2572017790018299</c:v>
                </c:pt>
                <c:pt idx="718">
                  <c:v>2.2586545949085801</c:v>
                </c:pt>
                <c:pt idx="719">
                  <c:v>2.2601042735844228</c:v>
                </c:pt>
                <c:pt idx="720">
                  <c:v>2.2615507788275906</c:v>
                </c:pt>
                <c:pt idx="721">
                  <c:v>2.2629940767044259</c:v>
                </c:pt>
                <c:pt idx="722">
                  <c:v>2.2644341355673774</c:v>
                </c:pt>
                <c:pt idx="723">
                  <c:v>2.2658709260691627</c:v>
                </c:pt>
                <c:pt idx="724">
                  <c:v>2.2673044211731033</c:v>
                </c:pt>
                <c:pt idx="725">
                  <c:v>2.2687345961596481</c:v>
                </c:pt>
                <c:pt idx="726">
                  <c:v>2.2701614286291427</c:v>
                </c:pt>
                <c:pt idx="727">
                  <c:v>2.2715848985008691</c:v>
                </c:pt>
                <c:pt idx="728">
                  <c:v>2.27300498800843</c:v>
                </c:pt>
                <c:pt idx="729">
                  <c:v>2.2744216816915359</c:v>
                </c:pt>
                <c:pt idx="730">
                  <c:v>2.2758349663842754</c:v>
                </c:pt>
                <c:pt idx="731">
                  <c:v>2.2772448311999494</c:v>
                </c:pt>
                <c:pt idx="732">
                  <c:v>2.278651267512573</c:v>
                </c:pt>
                <c:pt idx="733">
                  <c:v>2.280054268935134</c:v>
                </c:pt>
                <c:pt idx="734">
                  <c:v>2.2814538312947237</c:v>
                </c:pt>
                <c:pt idx="735">
                  <c:v>2.2828499526046615</c:v>
                </c:pt>
                <c:pt idx="736">
                  <c:v>2.2842426330337151</c:v>
                </c:pt>
                <c:pt idx="737">
                  <c:v>2.2856318748725704</c:v>
                </c:pt>
                <c:pt idx="738">
                  <c:v>2.2870176824976616</c:v>
                </c:pt>
                <c:pt idx="739">
                  <c:v>2.2884000623325007</c:v>
                </c:pt>
                <c:pt idx="740">
                  <c:v>2.2897790228066661</c:v>
                </c:pt>
                <c:pt idx="741">
                  <c:v>2.2911545743125572</c:v>
                </c:pt>
                <c:pt idx="742">
                  <c:v>2.2925267291600955</c:v>
                </c:pt>
                <c:pt idx="743">
                  <c:v>2.2938955015294979</c:v>
                </c:pt>
                <c:pt idx="744">
                  <c:v>2.2952609074222785</c:v>
                </c:pt>
                <c:pt idx="745">
                  <c:v>2.2966229646106231</c:v>
                </c:pt>
                <c:pt idx="746">
                  <c:v>2.2979816925852909</c:v>
                </c:pt>
                <c:pt idx="747">
                  <c:v>2.2993371125021831</c:v>
                </c:pt>
                <c:pt idx="748">
                  <c:v>2.3006892471277407</c:v>
                </c:pt>
                <c:pt idx="749">
                  <c:v>2.3020381207832976</c:v>
                </c:pt>
                <c:pt idx="750">
                  <c:v>2.303383759288554</c:v>
                </c:pt>
                <c:pt idx="751">
                  <c:v>2.3047261899042883</c:v>
                </c:pt>
                <c:pt idx="752">
                  <c:v>2.306065441274471</c:v>
                </c:pt>
                <c:pt idx="753">
                  <c:v>2.3074015433679032</c:v>
                </c:pt>
                <c:pt idx="754">
                  <c:v>2.3087345274195066</c:v>
                </c:pt>
                <c:pt idx="755">
                  <c:v>2.3100644258714067</c:v>
                </c:pt>
                <c:pt idx="756">
                  <c:v>2.3113912723139247</c:v>
                </c:pt>
                <c:pt idx="757">
                  <c:v>2.3127151014266056</c:v>
                </c:pt>
                <c:pt idx="758">
                  <c:v>2.3140359489193854</c:v>
                </c:pt>
                <c:pt idx="759">
                  <c:v>2.3153538514740224</c:v>
                </c:pt>
                <c:pt idx="760">
                  <c:v>2.3166688466858929</c:v>
                </c:pt>
                <c:pt idx="761">
                  <c:v>2.3179809730062426</c:v>
                </c:pt>
                <c:pt idx="762">
                  <c:v>2.3192902696850113</c:v>
                </c:pt>
                <c:pt idx="763">
                  <c:v>2.3205967767142965</c:v>
                </c:pt>
                <c:pt idx="764">
                  <c:v>2.3219005347725585</c:v>
                </c:pt>
                <c:pt idx="765">
                  <c:v>2.3232015851696368</c:v>
                </c:pt>
                <c:pt idx="766">
                  <c:v>2.3244999697926585</c:v>
                </c:pt>
                <c:pt idx="767">
                  <c:v>2.3257957310529087</c:v>
                </c:pt>
                <c:pt idx="768">
                  <c:v>2.3270889118337079</c:v>
                </c:pt>
                <c:pt idx="769">
                  <c:v>2.3283795554393869</c:v>
                </c:pt>
                <c:pt idx="770">
                  <c:v>2.3296677055453872</c:v>
                </c:pt>
                <c:pt idx="771">
                  <c:v>2.3309534061495358</c:v>
                </c:pt>
                <c:pt idx="772">
                  <c:v>2.3322367015245606</c:v>
                </c:pt>
                <c:pt idx="773">
                  <c:v>2.3335176361718521</c:v>
                </c:pt>
                <c:pt idx="774">
                  <c:v>2.3347962547765264</c:v>
                </c:pt>
                <c:pt idx="775">
                  <c:v>2.3360726021638167</c:v>
                </c:pt>
                <c:pt idx="776">
                  <c:v>2.3373467232568066</c:v>
                </c:pt>
                <c:pt idx="777">
                  <c:v>2.3386186630355357</c:v>
                </c:pt>
                <c:pt idx="778">
                  <c:v>2.3398884664974893</c:v>
                </c:pt>
                <c:pt idx="779">
                  <c:v>2.3411561786194812</c:v>
                </c:pt>
                <c:pt idx="780">
                  <c:v>2.3424218443209406</c:v>
                </c:pt>
                <c:pt idx="781">
                  <c:v>2.3436855084286168</c:v>
                </c:pt>
                <c:pt idx="782">
                  <c:v>2.3449472156426752</c:v>
                </c:pt>
                <c:pt idx="783">
                  <c:v>2.3462071699987681</c:v>
                </c:pt>
                <c:pt idx="784">
                  <c:v>2.3474676154494341</c:v>
                </c:pt>
                <c:pt idx="785">
                  <c:v>2.3487292511195581</c:v>
                </c:pt>
                <c:pt idx="786">
                  <c:v>2.3499920602130122</c:v>
                </c:pt>
                <c:pt idx="787">
                  <c:v>2.3512560254662467</c:v>
                </c:pt>
                <c:pt idx="788">
                  <c:v>2.3525211291445154</c:v>
                </c:pt>
                <c:pt idx="789">
                  <c:v>2.3537873530382396</c:v>
                </c:pt>
                <c:pt idx="790">
                  <c:v>2.3550546784594997</c:v>
                </c:pt>
                <c:pt idx="791">
                  <c:v>2.3563230862386622</c:v>
                </c:pt>
                <c:pt idx="792">
                  <c:v>2.3575925567211513</c:v>
                </c:pt>
                <c:pt idx="793">
                  <c:v>2.3588630697643711</c:v>
                </c:pt>
                <c:pt idx="794">
                  <c:v>2.3601346047347826</c:v>
                </c:pt>
                <c:pt idx="795">
                  <c:v>2.3614071405051451</c:v>
                </c:pt>
                <c:pt idx="796">
                  <c:v>2.3626806554519142</c:v>
                </c:pt>
                <c:pt idx="797">
                  <c:v>2.3639551274528285</c:v>
                </c:pt>
                <c:pt idx="798">
                  <c:v>2.3652305338846609</c:v>
                </c:pt>
                <c:pt idx="799">
                  <c:v>2.3665068516211658</c:v>
                </c:pt>
                <c:pt idx="800">
                  <c:v>2.3677840570312125</c:v>
                </c:pt>
                <c:pt idx="801">
                  <c:v>2.3690621259771181</c:v>
                </c:pt>
                <c:pt idx="802">
                  <c:v>2.370341033813181</c:v>
                </c:pt>
                <c:pt idx="803">
                  <c:v>2.3716207553844306</c:v>
                </c:pt>
                <c:pt idx="804">
                  <c:v>2.3729012650255852</c:v>
                </c:pt>
                <c:pt idx="805">
                  <c:v>2.3741825365602391</c:v>
                </c:pt>
                <c:pt idx="806">
                  <c:v>2.3754645433002706</c:v>
                </c:pt>
                <c:pt idx="807">
                  <c:v>2.3767472580454903</c:v>
                </c:pt>
                <c:pt idx="808">
                  <c:v>2.378030653083524</c:v>
                </c:pt>
                <c:pt idx="809">
                  <c:v>2.3793147001899473</c:v>
                </c:pt>
                <c:pt idx="810">
                  <c:v>2.3805993706286657</c:v>
                </c:pt>
                <c:pt idx="811">
                  <c:v>2.3818846351525567</c:v>
                </c:pt>
                <c:pt idx="812">
                  <c:v>2.3831704640043743</c:v>
                </c:pt>
                <c:pt idx="813">
                  <c:v>2.3844568269179214</c:v>
                </c:pt>
                <c:pt idx="814">
                  <c:v>2.3857436931194949</c:v>
                </c:pt>
                <c:pt idx="815">
                  <c:v>2.3870310313296179</c:v>
                </c:pt>
                <c:pt idx="816">
                  <c:v>2.3883188097650456</c:v>
                </c:pt>
                <c:pt idx="817">
                  <c:v>2.3896069961410737</c:v>
                </c:pt>
                <c:pt idx="818">
                  <c:v>2.3908955576741344</c:v>
                </c:pt>
                <c:pt idx="819">
                  <c:v>2.3921844610846903</c:v>
                </c:pt>
                <c:pt idx="820">
                  <c:v>2.3934736726004497</c:v>
                </c:pt>
                <c:pt idx="821">
                  <c:v>2.3947631579598667</c:v>
                </c:pt>
                <c:pt idx="822">
                  <c:v>2.3960528824159759</c:v>
                </c:pt>
                <c:pt idx="823">
                  <c:v>2.3973428107405392</c:v>
                </c:pt>
                <c:pt idx="824">
                  <c:v>2.3986329072285089</c:v>
                </c:pt>
                <c:pt idx="825">
                  <c:v>2.3999231357028274</c:v>
                </c:pt>
                <c:pt idx="826">
                  <c:v>2.4012134595195493</c:v>
                </c:pt>
                <c:pt idx="827">
                  <c:v>2.4025038415733002</c:v>
                </c:pt>
                <c:pt idx="828">
                  <c:v>2.4037942443030698</c:v>
                </c:pt>
                <c:pt idx="829">
                  <c:v>2.4050846296983455</c:v>
                </c:pt>
                <c:pt idx="830">
                  <c:v>2.4063749593055905</c:v>
                </c:pt>
                <c:pt idx="831">
                  <c:v>2.4076651942350602</c:v>
                </c:pt>
                <c:pt idx="832">
                  <c:v>2.4089552951679756</c:v>
                </c:pt>
                <c:pt idx="833">
                  <c:v>2.4102452223640269</c:v>
                </c:pt>
                <c:pt idx="834">
                  <c:v>2.4115349356692524</c:v>
                </c:pt>
                <c:pt idx="835">
                  <c:v>2.4128243945242436</c:v>
                </c:pt>
                <c:pt idx="836">
                  <c:v>2.4141135579727169</c:v>
                </c:pt>
                <c:pt idx="837">
                  <c:v>2.415402384670438</c:v>
                </c:pt>
                <c:pt idx="838">
                  <c:v>2.4166908328944867</c:v>
                </c:pt>
                <c:pt idx="839">
                  <c:v>2.4179788605528936</c:v>
                </c:pt>
                <c:pt idx="840">
                  <c:v>2.4192664251946101</c:v>
                </c:pt>
                <c:pt idx="841">
                  <c:v>2.4205534840198428</c:v>
                </c:pt>
                <c:pt idx="842">
                  <c:v>2.4218399938907287</c:v>
                </c:pt>
                <c:pt idx="843">
                  <c:v>2.423125911342372</c:v>
                </c:pt>
                <c:pt idx="844">
                  <c:v>2.4244111925942109</c:v>
                </c:pt>
                <c:pt idx="845">
                  <c:v>2.4256957935617427</c:v>
                </c:pt>
                <c:pt idx="846">
                  <c:v>2.4269796698685848</c:v>
                </c:pt>
                <c:pt idx="847">
                  <c:v>2.4282627768588716</c:v>
                </c:pt>
                <c:pt idx="848">
                  <c:v>2.4295450696099943</c:v>
                </c:pt>
                <c:pt idx="849">
                  <c:v>2.4308265029456608</c:v>
                </c:pt>
                <c:pt idx="850">
                  <c:v>2.4321070314492954</c:v>
                </c:pt>
                <c:pt idx="851">
                  <c:v>2.4333866094777465</c:v>
                </c:pt>
                <c:pt idx="852">
                  <c:v>2.4346651911753248</c:v>
                </c:pt>
                <c:pt idx="853">
                  <c:v>2.4359427304881391</c:v>
                </c:pt>
                <c:pt idx="854">
                  <c:v>2.4372191811787483</c:v>
                </c:pt>
                <c:pt idx="855">
                  <c:v>2.4384944968411055</c:v>
                </c:pt>
                <c:pt idx="856">
                  <c:v>2.439768630915796</c:v>
                </c:pt>
                <c:pt idx="857">
                  <c:v>2.4410415367055602</c:v>
                </c:pt>
                <c:pt idx="858">
                  <c:v>2.4423131673910903</c:v>
                </c:pt>
                <c:pt idx="859">
                  <c:v>2.4435834760470985</c:v>
                </c:pt>
                <c:pt idx="860">
                  <c:v>2.4448524156586449</c:v>
                </c:pt>
                <c:pt idx="861">
                  <c:v>2.4461199391377146</c:v>
                </c:pt>
                <c:pt idx="862">
                  <c:v>2.4473859993400375</c:v>
                </c:pt>
                <c:pt idx="863">
                  <c:v>2.4486505490821382</c:v>
                </c:pt>
                <c:pt idx="864">
                  <c:v>2.449913541158609</c:v>
                </c:pt>
                <c:pt idx="865">
                  <c:v>2.4511749283595963</c:v>
                </c:pt>
                <c:pt idx="866">
                  <c:v>2.4524346634884795</c:v>
                </c:pt>
                <c:pt idx="867">
                  <c:v>2.4536926993797459</c:v>
                </c:pt>
                <c:pt idx="868">
                  <c:v>2.4549489889170388</c:v>
                </c:pt>
                <c:pt idx="869">
                  <c:v>2.4562034850513714</c:v>
                </c:pt>
                <c:pt idx="870">
                  <c:v>2.4574561408194926</c:v>
                </c:pt>
                <c:pt idx="871">
                  <c:v>2.4587069093623919</c:v>
                </c:pt>
                <c:pt idx="872">
                  <c:v>2.459955743943933</c:v>
                </c:pt>
                <c:pt idx="873">
                  <c:v>2.4612025979695962</c:v>
                </c:pt>
                <c:pt idx="874">
                  <c:v>2.4624474250053279</c:v>
                </c:pt>
                <c:pt idx="875">
                  <c:v>2.4636901787964645</c:v>
                </c:pt>
                <c:pt idx="876">
                  <c:v>2.464930813286736</c:v>
                </c:pt>
                <c:pt idx="877">
                  <c:v>2.4661692826373298</c:v>
                </c:pt>
                <c:pt idx="878">
                  <c:v>2.4674055412459772</c:v>
                </c:pt>
                <c:pt idx="879">
                  <c:v>2.4686395437660962</c:v>
                </c:pt>
                <c:pt idx="880">
                  <c:v>2.4698712451259186</c:v>
                </c:pt>
                <c:pt idx="881">
                  <c:v>2.4711006005476279</c:v>
                </c:pt>
                <c:pt idx="882">
                  <c:v>2.472327565566482</c:v>
                </c:pt>
                <c:pt idx="883">
                  <c:v>2.4735520960498878</c:v>
                </c:pt>
                <c:pt idx="884">
                  <c:v>2.474774148216436</c:v>
                </c:pt>
                <c:pt idx="885">
                  <c:v>2.4759936786548682</c:v>
                </c:pt>
                <c:pt idx="886">
                  <c:v>2.4772106443429576</c:v>
                </c:pt>
                <c:pt idx="887">
                  <c:v>2.4784250026662966</c:v>
                </c:pt>
                <c:pt idx="888">
                  <c:v>2.4796367114369682</c:v>
                </c:pt>
                <c:pt idx="889">
                  <c:v>2.4808457289120867</c:v>
                </c:pt>
                <c:pt idx="890">
                  <c:v>2.4820520138121935</c:v>
                </c:pt>
                <c:pt idx="891">
                  <c:v>2.4832555253394921</c:v>
                </c:pt>
                <c:pt idx="892">
                  <c:v>2.484456223195898</c:v>
                </c:pt>
                <c:pt idx="893">
                  <c:v>2.4856540676009038</c:v>
                </c:pt>
                <c:pt idx="894">
                  <c:v>2.4868490193092341</c:v>
                </c:pt>
                <c:pt idx="895">
                  <c:v>2.488041039628262</c:v>
                </c:pt>
                <c:pt idx="896">
                  <c:v>2.489230090435202</c:v>
                </c:pt>
                <c:pt idx="897">
                  <c:v>2.4904161341940338</c:v>
                </c:pt>
                <c:pt idx="898">
                  <c:v>2.4915991339721648</c:v>
                </c:pt>
                <c:pt idx="899">
                  <c:v>2.4927790534567951</c:v>
                </c:pt>
                <c:pt idx="900">
                  <c:v>2.4939558569709885</c:v>
                </c:pt>
                <c:pt idx="901">
                  <c:v>2.495129509489431</c:v>
                </c:pt>
                <c:pt idx="902">
                  <c:v>2.4962999766538476</c:v>
                </c:pt>
                <c:pt idx="903">
                  <c:v>2.4974672247880889</c:v>
                </c:pt>
                <c:pt idx="904">
                  <c:v>2.4986312209128489</c:v>
                </c:pt>
                <c:pt idx="905">
                  <c:v>2.4997919327600227</c:v>
                </c:pt>
                <c:pt idx="906">
                  <c:v>2.500949328786672</c:v>
                </c:pt>
                <c:pt idx="907">
                  <c:v>2.5021033781885977</c:v>
                </c:pt>
                <c:pt idx="908">
                  <c:v>2.5032540509135108</c:v>
                </c:pt>
                <c:pt idx="909">
                  <c:v>2.5044013176737692</c:v>
                </c:pt>
                <c:pt idx="910">
                  <c:v>2.5055451499586989</c:v>
                </c:pt>
                <c:pt idx="911">
                  <c:v>2.5066855200464664</c:v>
                </c:pt>
                <c:pt idx="912">
                  <c:v>2.507822401015495</c:v>
                </c:pt>
                <c:pt idx="913">
                  <c:v>2.5089557667554274</c:v>
                </c:pt>
                <c:pt idx="914">
                  <c:v>2.5100855919776142</c:v>
                </c:pt>
                <c:pt idx="915">
                  <c:v>2.5112118522251183</c:v>
                </c:pt>
                <c:pt idx="916">
                  <c:v>2.5123345238822359</c:v>
                </c:pt>
                <c:pt idx="917">
                  <c:v>2.5134535841835186</c:v>
                </c:pt>
                <c:pt idx="918">
                  <c:v>2.5145690112222949</c:v>
                </c:pt>
                <c:pt idx="919">
                  <c:v>2.515680783958675</c:v>
                </c:pt>
                <c:pt idx="920">
                  <c:v>2.516788882227051</c:v>
                </c:pt>
                <c:pt idx="921">
                  <c:v>2.517893286743063</c:v>
                </c:pt>
                <c:pt idx="922">
                  <c:v>2.5189939791100455</c:v>
                </c:pt>
                <c:pt idx="923">
                  <c:v>2.5200909418249413</c:v>
                </c:pt>
                <c:pt idx="924">
                  <c:v>2.5211841582836803</c:v>
                </c:pt>
                <c:pt idx="925">
                  <c:v>2.5222736127860204</c:v>
                </c:pt>
                <c:pt idx="926">
                  <c:v>2.5233592905398465</c:v>
                </c:pt>
                <c:pt idx="927">
                  <c:v>2.5244411776649316</c:v>
                </c:pt>
                <c:pt idx="928">
                  <c:v>2.5255192611961466</c:v>
                </c:pt>
                <c:pt idx="929">
                  <c:v>2.5265935290861288</c:v>
                </c:pt>
                <c:pt idx="930">
                  <c:v>2.5276639702074108</c:v>
                </c:pt>
                <c:pt idx="931">
                  <c:v>2.5287305743539923</c:v>
                </c:pt>
                <c:pt idx="932">
                  <c:v>2.5297933322423805</c:v>
                </c:pt>
                <c:pt idx="933">
                  <c:v>2.5308522355120839</c:v>
                </c:pt>
                <c:pt idx="934">
                  <c:v>2.5319072767255628</c:v>
                </c:pt>
                <c:pt idx="935">
                  <c:v>2.5329584493676465</c:v>
                </c:pt>
                <c:pt idx="936">
                  <c:v>2.5340057478444176</c:v>
                </c:pt>
                <c:pt idx="937">
                  <c:v>2.5350491674815636</c:v>
                </c:pt>
                <c:pt idx="938">
                  <c:v>2.5360887045222036</c:v>
                </c:pt>
                <c:pt idx="939">
                  <c:v>2.5371243561241932</c:v>
                </c:pt>
                <c:pt idx="940">
                  <c:v>2.538156120356919</c:v>
                </c:pt>
                <c:pt idx="941">
                  <c:v>2.5391839961975786</c:v>
                </c:pt>
                <c:pt idx="942">
                  <c:v>2.5402079835269609</c:v>
                </c:pt>
                <c:pt idx="943">
                  <c:v>2.5412280831247256</c:v>
                </c:pt>
                <c:pt idx="944">
                  <c:v>2.5422442966642049</c:v>
                </c:pt>
                <c:pt idx="945">
                  <c:v>2.5432566267067171</c:v>
                </c:pt>
                <c:pt idx="946">
                  <c:v>2.5442650766954054</c:v>
                </c:pt>
                <c:pt idx="947">
                  <c:v>2.545269650948621</c:v>
                </c:pt>
                <c:pt idx="948">
                  <c:v>2.5462703546528527</c:v>
                </c:pt>
                <c:pt idx="949">
                  <c:v>2.5472671938552018</c:v>
                </c:pt>
                <c:pt idx="950">
                  <c:v>2.5482601754554342</c:v>
                </c:pt>
                <c:pt idx="951">
                  <c:v>2.5492493071976035</c:v>
                </c:pt>
                <c:pt idx="952">
                  <c:v>2.5502345976612588</c:v>
                </c:pt>
                <c:pt idx="953">
                  <c:v>2.5512160562522572</c:v>
                </c:pt>
                <c:pt idx="954">
                  <c:v>2.5521936931931752</c:v>
                </c:pt>
                <c:pt idx="955">
                  <c:v>2.5531675195133516</c:v>
                </c:pt>
                <c:pt idx="956">
                  <c:v>2.554137547038553</c:v>
                </c:pt>
                <c:pt idx="957">
                  <c:v>2.5551037883802925</c:v>
                </c:pt>
                <c:pt idx="958">
                  <c:v>2.5560662569247978</c:v>
                </c:pt>
                <c:pt idx="959">
                  <c:v>2.5570249668216567</c:v>
                </c:pt>
                <c:pt idx="960">
                  <c:v>2.5579799329721369</c:v>
                </c:pt>
                <c:pt idx="961">
                  <c:v>2.5589311710172038</c:v>
                </c:pt>
                <c:pt idx="962">
                  <c:v>2.5598786973252534</c:v>
                </c:pt>
                <c:pt idx="963">
                  <c:v>2.5608225289795521</c:v>
                </c:pt>
                <c:pt idx="964">
                  <c:v>2.5617626837654246</c:v>
                </c:pt>
                <c:pt idx="965">
                  <c:v>2.562699180157185</c:v>
                </c:pt>
                <c:pt idx="966">
                  <c:v>2.5636320373048243</c:v>
                </c:pt>
                <c:pt idx="967">
                  <c:v>2.5645612750204827</c:v>
                </c:pt>
                <c:pt idx="968">
                  <c:v>2.565486913764699</c:v>
                </c:pt>
                <c:pt idx="969">
                  <c:v>2.5664089746324734</c:v>
                </c:pt>
                <c:pt idx="970">
                  <c:v>2.567327479339137</c:v>
                </c:pt>
                <c:pt idx="971">
                  <c:v>2.5682424502060539</c:v>
                </c:pt>
                <c:pt idx="972">
                  <c:v>2.5691539101461638</c:v>
                </c:pt>
                <c:pt idx="973">
                  <c:v>2.5700618826493846</c:v>
                </c:pt>
                <c:pt idx="974">
                  <c:v>2.570966391767878</c:v>
                </c:pt>
                <c:pt idx="975">
                  <c:v>2.5718674621012028</c:v>
                </c:pt>
                <c:pt idx="976">
                  <c:v>2.5727651187813598</c:v>
                </c:pt>
                <c:pt idx="977">
                  <c:v>2.573659387457746</c:v>
                </c:pt>
                <c:pt idx="978">
                  <c:v>2.5745502942820315</c:v>
                </c:pt>
                <c:pt idx="979">
                  <c:v>2.5754378658929724</c:v>
                </c:pt>
                <c:pt idx="980">
                  <c:v>2.5763221294011616</c:v>
                </c:pt>
                <c:pt idx="981">
                  <c:v>2.5772031123737476</c:v>
                </c:pt>
                <c:pt idx="982">
                  <c:v>2.5780808428191198</c:v>
                </c:pt>
                <c:pt idx="983">
                  <c:v>2.5789553491715811</c:v>
                </c:pt>
                <c:pt idx="984">
                  <c:v>2.5798266602760074</c:v>
                </c:pt>
                <c:pt idx="985">
                  <c:v>2.5806948053725223</c:v>
                </c:pt>
                <c:pt idx="986">
                  <c:v>2.5815598140811828</c:v>
                </c:pt>
                <c:pt idx="987">
                  <c:v>2.5824217163866967</c:v>
                </c:pt>
                <c:pt idx="988">
                  <c:v>2.5832805426231831</c:v>
                </c:pt>
                <c:pt idx="989">
                  <c:v>2.5841363234589712</c:v>
                </c:pt>
                <c:pt idx="990">
                  <c:v>2.5849890898814789</c:v>
                </c:pt>
                <c:pt idx="991">
                  <c:v>2.5858388731821393</c:v>
                </c:pt>
                <c:pt idx="992">
                  <c:v>2.5866857049414249</c:v>
                </c:pt>
                <c:pt idx="993">
                  <c:v>2.5875296170139546</c:v>
                </c:pt>
                <c:pt idx="994">
                  <c:v>2.5883706415136976</c:v>
                </c:pt>
                <c:pt idx="995">
                  <c:v>2.5892088107992919</c:v>
                </c:pt>
                <c:pt idx="996">
                  <c:v>2.5900441574594706</c:v>
                </c:pt>
                <c:pt idx="997">
                  <c:v>2.5908767142986178</c:v>
                </c:pt>
                <c:pt idx="998">
                  <c:v>2.5917065143224614</c:v>
                </c:pt>
                <c:pt idx="999">
                  <c:v>2.5925335907238884</c:v>
                </c:pt>
                <c:pt idx="1000">
                  <c:v>2.5933579768689388</c:v>
                </c:pt>
                <c:pt idx="1001">
                  <c:v>2.5941797062829184</c:v>
                </c:pt>
                <c:pt idx="1002">
                  <c:v>2.5949988126367001</c:v>
                </c:pt>
                <c:pt idx="1003">
                  <c:v>2.5958153297331807</c:v>
                </c:pt>
                <c:pt idx="1004">
                  <c:v>2.5966292914939153</c:v>
                </c:pt>
                <c:pt idx="1005">
                  <c:v>2.5974407319459285</c:v>
                </c:pt>
                <c:pt idx="1006">
                  <c:v>2.5982496852087147</c:v>
                </c:pt>
                <c:pt idx="1007">
                  <c:v>2.5990561854814249</c:v>
                </c:pt>
                <c:pt idx="1008">
                  <c:v>2.5998602670302562</c:v>
                </c:pt>
                <c:pt idx="1009">
                  <c:v>2.6006619641760276</c:v>
                </c:pt>
                <c:pt idx="1010">
                  <c:v>2.6014613112819793</c:v>
                </c:pt>
                <c:pt idx="1011">
                  <c:v>2.6022583427417603</c:v>
                </c:pt>
                <c:pt idx="1012">
                  <c:v>2.6030530929676425</c:v>
                </c:pt>
                <c:pt idx="1013">
                  <c:v>2.6038455963789451</c:v>
                </c:pt>
                <c:pt idx="1014">
                  <c:v>2.6046358873906756</c:v>
                </c:pt>
                <c:pt idx="1015">
                  <c:v>2.6054240004023974</c:v>
                </c:pt>
                <c:pt idx="1016">
                  <c:v>2.6062099697873133</c:v>
                </c:pt>
                <c:pt idx="1017">
                  <c:v>2.606993829881588</c:v>
                </c:pt>
                <c:pt idx="1018">
                  <c:v>2.6077756149738867</c:v>
                </c:pt>
                <c:pt idx="1019">
                  <c:v>2.6085553592951469</c:v>
                </c:pt>
                <c:pt idx="1020">
                  <c:v>2.6093330970085886</c:v>
                </c:pt>
                <c:pt idx="1021">
                  <c:v>2.6101088621999531</c:v>
                </c:pt>
                <c:pt idx="1022">
                  <c:v>2.6108826888679686</c:v>
                </c:pt>
                <c:pt idx="1023">
                  <c:v>2.6116546109150662</c:v>
                </c:pt>
                <c:pt idx="1024">
                  <c:v>2.61242466213832</c:v>
                </c:pt>
                <c:pt idx="1025">
                  <c:v>2.6131928762206229</c:v>
                </c:pt>
                <c:pt idx="1026">
                  <c:v>2.6139592867221046</c:v>
                </c:pt>
                <c:pt idx="1027">
                  <c:v>2.6147239270717857</c:v>
                </c:pt>
                <c:pt idx="1028">
                  <c:v>2.6154868305594552</c:v>
                </c:pt>
                <c:pt idx="1029">
                  <c:v>2.6162480303278035</c:v>
                </c:pt>
                <c:pt idx="1030">
                  <c:v>2.6170075593647693</c:v>
                </c:pt>
                <c:pt idx="1031">
                  <c:v>2.6177654504961363</c:v>
                </c:pt>
                <c:pt idx="1032">
                  <c:v>2.6185217363783524</c:v>
                </c:pt>
                <c:pt idx="1033">
                  <c:v>2.6192764494915859</c:v>
                </c:pt>
                <c:pt idx="1034">
                  <c:v>2.6200296221330106</c:v>
                </c:pt>
                <c:pt idx="1035">
                  <c:v>2.620781286410315</c:v>
                </c:pt>
                <c:pt idx="1036">
                  <c:v>2.6215314742354483</c:v>
                </c:pt>
                <c:pt idx="1037">
                  <c:v>2.6222802173185813</c:v>
                </c:pt>
                <c:pt idx="1038">
                  <c:v>2.6230275471622986</c:v>
                </c:pt>
                <c:pt idx="1039">
                  <c:v>2.623773495056005</c:v>
                </c:pt>
                <c:pt idx="1040">
                  <c:v>2.6245180920705575</c:v>
                </c:pt>
                <c:pt idx="1041">
                  <c:v>2.6252613690531086</c:v>
                </c:pt>
                <c:pt idx="1042">
                  <c:v>2.6260033566221681</c:v>
                </c:pt>
                <c:pt idx="1043">
                  <c:v>2.6267440851628727</c:v>
                </c:pt>
                <c:pt idx="1044">
                  <c:v>2.6274835519134245</c:v>
                </c:pt>
                <c:pt idx="1045">
                  <c:v>2.6282214995281081</c:v>
                </c:pt>
                <c:pt idx="1046">
                  <c:v>2.6289578427002138</c:v>
                </c:pt>
                <c:pt idx="1047">
                  <c:v>2.6296925511995988</c:v>
                </c:pt>
                <c:pt idx="1048">
                  <c:v>2.6304255946266299</c:v>
                </c:pt>
                <c:pt idx="1049">
                  <c:v>2.6311569424180608</c:v>
                </c:pt>
                <c:pt idx="1050">
                  <c:v>2.6318865638531164</c:v>
                </c:pt>
                <c:pt idx="1051">
                  <c:v>2.6326144280597874</c:v>
                </c:pt>
                <c:pt idx="1052">
                  <c:v>2.6333405040213411</c:v>
                </c:pt>
                <c:pt idx="1053">
                  <c:v>2.6340647605830458</c:v>
                </c:pt>
                <c:pt idx="1054">
                  <c:v>2.6347871664590987</c:v>
                </c:pt>
                <c:pt idx="1055">
                  <c:v>2.6355076902397871</c:v>
                </c:pt>
                <c:pt idx="1056">
                  <c:v>2.6362263003988526</c:v>
                </c:pt>
                <c:pt idx="1057">
                  <c:v>2.6369429653010816</c:v>
                </c:pt>
                <c:pt idx="1058">
                  <c:v>2.6376576532101099</c:v>
                </c:pt>
                <c:pt idx="1059">
                  <c:v>2.63837033229645</c:v>
                </c:pt>
                <c:pt idx="1060">
                  <c:v>2.6390809706457325</c:v>
                </c:pt>
                <c:pt idx="1061">
                  <c:v>2.6397895362671755</c:v>
                </c:pt>
                <c:pt idx="1062">
                  <c:v>2.640495997102267</c:v>
                </c:pt>
                <c:pt idx="1063">
                  <c:v>2.6412003210336668</c:v>
                </c:pt>
                <c:pt idx="1064">
                  <c:v>2.6419024758943324</c:v>
                </c:pt>
                <c:pt idx="1065">
                  <c:v>2.6426024294768604</c:v>
                </c:pt>
                <c:pt idx="1066">
                  <c:v>2.6433001495430468</c:v>
                </c:pt>
                <c:pt idx="1067">
                  <c:v>2.6439956038336598</c:v>
                </c:pt>
                <c:pt idx="1068">
                  <c:v>2.6446887600784352</c:v>
                </c:pt>
                <c:pt idx="1069">
                  <c:v>2.6453795860062819</c:v>
                </c:pt>
                <c:pt idx="1070">
                  <c:v>2.6460680493556952</c:v>
                </c:pt>
                <c:pt idx="1071">
                  <c:v>2.6467541178853935</c:v>
                </c:pt>
                <c:pt idx="1072">
                  <c:v>2.6474377593851441</c:v>
                </c:pt>
                <c:pt idx="1073">
                  <c:v>2.6481189416868136</c:v>
                </c:pt>
                <c:pt idx="1074">
                  <c:v>2.6487976326756071</c:v>
                </c:pt>
                <c:pt idx="1075">
                  <c:v>2.6494738003015197</c:v>
                </c:pt>
                <c:pt idx="1076">
                  <c:v>2.6501474125909668</c:v>
                </c:pt>
                <c:pt idx="1077">
                  <c:v>2.6508184376586308</c:v>
                </c:pt>
                <c:pt idx="1078">
                  <c:v>2.6514868437194754</c:v>
                </c:pt>
                <c:pt idx="1079">
                  <c:v>2.6521525991009618</c:v>
                </c:pt>
                <c:pt idx="1080">
                  <c:v>2.6528156722554344</c:v>
                </c:pt>
                <c:pt idx="1081">
                  <c:v>2.6534760317726889</c:v>
                </c:pt>
                <c:pt idx="1082">
                  <c:v>2.6541336463927103</c:v>
                </c:pt>
                <c:pt idx="1083">
                  <c:v>2.6547884850185786</c:v>
                </c:pt>
                <c:pt idx="1084">
                  <c:v>2.6554405167295312</c:v>
                </c:pt>
                <c:pt idx="1085">
                  <c:v>2.6560897107941841</c:v>
                </c:pt>
                <c:pt idx="1086">
                  <c:v>2.6567360366839035</c:v>
                </c:pt>
                <c:pt idx="1087">
                  <c:v>2.6573794640863131</c:v>
                </c:pt>
                <c:pt idx="1088">
                  <c:v>2.6580199629189463</c:v>
                </c:pt>
                <c:pt idx="1089">
                  <c:v>2.65865750334302</c:v>
                </c:pt>
                <c:pt idx="1090">
                  <c:v>2.659292055777331</c:v>
                </c:pt>
                <c:pt idx="1091">
                  <c:v>2.6599235909122765</c:v>
                </c:pt>
                <c:pt idx="1092">
                  <c:v>2.6605520797239612</c:v>
                </c:pt>
                <c:pt idx="1093">
                  <c:v>2.6611774934884282</c:v>
                </c:pt>
                <c:pt idx="1094">
                  <c:v>2.6617998037959545</c:v>
                </c:pt>
                <c:pt idx="1095">
                  <c:v>2.6624189825654465</c:v>
                </c:pt>
                <c:pt idx="1096">
                  <c:v>2.6630350020588982</c:v>
                </c:pt>
                <c:pt idx="1097">
                  <c:v>2.6636478348959161</c:v>
                </c:pt>
                <c:pt idx="1098">
                  <c:v>2.6642574540682959</c:v>
                </c:pt>
                <c:pt idx="1099">
                  <c:v>2.6648638329546421</c:v>
                </c:pt>
                <c:pt idx="1100">
                  <c:v>2.6654669453350288</c:v>
                </c:pt>
                <c:pt idx="1101">
                  <c:v>2.6660667654056689</c:v>
                </c:pt>
                <c:pt idx="1102">
                  <c:v>2.6666632677936137</c:v>
                </c:pt>
                <c:pt idx="1103">
                  <c:v>2.6672564275714437</c:v>
                </c:pt>
                <c:pt idx="1104">
                  <c:v>2.6678462202719526</c:v>
                </c:pt>
                <c:pt idx="1105">
                  <c:v>2.6684326219028103</c:v>
                </c:pt>
                <c:pt idx="1106">
                  <c:v>2.6690156089612045</c:v>
                </c:pt>
                <c:pt idx="1107">
                  <c:v>2.6695951584484185</c:v>
                </c:pt>
                <c:pt idx="1108">
                  <c:v>2.6701712478843795</c:v>
                </c:pt>
                <c:pt idx="1109">
                  <c:v>2.6707438553221188</c:v>
                </c:pt>
                <c:pt idx="1110">
                  <c:v>2.6713129593621621</c:v>
                </c:pt>
                <c:pt idx="1111">
                  <c:v>2.6718785391668356</c:v>
                </c:pt>
                <c:pt idx="1112">
                  <c:v>2.6724405744744515</c:v>
                </c:pt>
                <c:pt idx="1113">
                  <c:v>2.6729990456133885</c:v>
                </c:pt>
                <c:pt idx="1114">
                  <c:v>2.6735539335160445</c:v>
                </c:pt>
                <c:pt idx="1115">
                  <c:v>2.6741052197326396</c:v>
                </c:pt>
                <c:pt idx="1116">
                  <c:v>2.6746528864448713</c:v>
                </c:pt>
                <c:pt idx="1117">
                  <c:v>2.6751969164793969</c:v>
                </c:pt>
                <c:pt idx="1118">
                  <c:v>2.6757372933211392</c:v>
                </c:pt>
                <c:pt idx="1119">
                  <c:v>2.6762740011263926</c:v>
                </c:pt>
                <c:pt idx="1120">
                  <c:v>2.6768070247357327</c:v>
                </c:pt>
                <c:pt idx="1121">
                  <c:v>2.6773363496866889</c:v>
                </c:pt>
                <c:pt idx="1122">
                  <c:v>2.6778619622262059</c:v>
                </c:pt>
                <c:pt idx="1123">
                  <c:v>2.6783838493228354</c:v>
                </c:pt>
                <c:pt idx="1124">
                  <c:v>2.6789019986786893</c:v>
                </c:pt>
                <c:pt idx="1125">
                  <c:v>2.6794163987411039</c:v>
                </c:pt>
                <c:pt idx="1126">
                  <c:v>2.679927038714033</c:v>
                </c:pt>
                <c:pt idx="1127">
                  <c:v>2.6804339085691322</c:v>
                </c:pt>
                <c:pt idx="1128">
                  <c:v>2.6809369990565357</c:v>
                </c:pt>
                <c:pt idx="1129">
                  <c:v>2.6814363017153204</c:v>
                </c:pt>
                <c:pt idx="1130">
                  <c:v>2.6819318088836162</c:v>
                </c:pt>
                <c:pt idx="1131">
                  <c:v>2.6824235137083807</c:v>
                </c:pt>
                <c:pt idx="1132">
                  <c:v>2.6829114101548139</c:v>
                </c:pt>
                <c:pt idx="1133">
                  <c:v>2.6833954930154018</c:v>
                </c:pt>
                <c:pt idx="1134">
                  <c:v>2.6838757579185692</c:v>
                </c:pt>
                <c:pt idx="1135">
                  <c:v>2.6843522013369503</c:v>
                </c:pt>
                <c:pt idx="1136">
                  <c:v>2.6848248205952454</c:v>
                </c:pt>
                <c:pt idx="1137">
                  <c:v>2.6852936138776662</c:v>
                </c:pt>
                <c:pt idx="1138">
                  <c:v>2.6857585802349542</c:v>
                </c:pt>
                <c:pt idx="1139">
                  <c:v>2.6862197195909636</c:v>
                </c:pt>
                <c:pt idx="1140">
                  <c:v>2.6866770327487965</c:v>
                </c:pt>
                <c:pt idx="1141">
                  <c:v>2.6871305213964853</c:v>
                </c:pt>
                <c:pt idx="1142">
                  <c:v>2.6875801881122103</c:v>
                </c:pt>
                <c:pt idx="1143">
                  <c:v>2.6880260363690436</c:v>
                </c:pt>
                <c:pt idx="1144">
                  <c:v>2.6884680705392152</c:v>
                </c:pt>
                <c:pt idx="1145">
                  <c:v>2.6889062958978891</c:v>
                </c:pt>
                <c:pt idx="1146">
                  <c:v>2.6893407186264424</c:v>
                </c:pt>
                <c:pt idx="1147">
                  <c:v>2.6897713458152439</c:v>
                </c:pt>
                <c:pt idx="1148">
                  <c:v>2.6901981854659267</c:v>
                </c:pt>
                <c:pt idx="1149">
                  <c:v>2.6906212464931416</c:v>
                </c:pt>
                <c:pt idx="1150">
                  <c:v>2.6910405387257952</c:v>
                </c:pt>
                <c:pt idx="1151">
                  <c:v>2.6914560729077559</c:v>
                </c:pt>
                <c:pt idx="1152">
                  <c:v>2.6918678606980477</c:v>
                </c:pt>
                <c:pt idx="1153">
                  <c:v>2.692275914670494</c:v>
                </c:pt>
                <c:pt idx="1154">
                  <c:v>2.6926802483128327</c:v>
                </c:pt>
                <c:pt idx="1155">
                  <c:v>2.6930808760253</c:v>
                </c:pt>
                <c:pt idx="1156">
                  <c:v>2.6934778131186654</c:v>
                </c:pt>
                <c:pt idx="1157">
                  <c:v>2.6938710758117268</c:v>
                </c:pt>
                <c:pt idx="1158">
                  <c:v>2.6942606812282706</c:v>
                </c:pt>
                <c:pt idx="1159">
                  <c:v>2.6946466473934767</c:v>
                </c:pt>
                <c:pt idx="1160">
                  <c:v>2.6950289932297995</c:v>
                </c:pt>
                <c:pt idx="1161">
                  <c:v>2.6954077385522872</c:v>
                </c:pt>
                <c:pt idx="1162">
                  <c:v>2.6957829040633787</c:v>
                </c:pt>
                <c:pt idx="1163">
                  <c:v>2.6961545113471512</c:v>
                </c:pt>
                <c:pt idx="1164">
                  <c:v>2.6965225828630439</c:v>
                </c:pt>
                <c:pt idx="1165">
                  <c:v>2.6968871419390412</c:v>
                </c:pt>
                <c:pt idx="1166">
                  <c:v>2.6972482127643298</c:v>
                </c:pt>
                <c:pt idx="1167">
                  <c:v>2.6976058203814399</c:v>
                </c:pt>
                <c:pt idx="1168">
                  <c:v>2.6979599906778611</c:v>
                </c:pt>
                <c:pt idx="1169">
                  <c:v>2.6983107503771495</c:v>
                </c:pt>
                <c:pt idx="1170">
                  <c:v>2.6986581270295287</c:v>
                </c:pt>
                <c:pt idx="1171">
                  <c:v>2.6990021490019882</c:v>
                </c:pt>
                <c:pt idx="1172">
                  <c:v>2.6993428454678994</c:v>
                </c:pt>
                <c:pt idx="1173">
                  <c:v>2.699680246396138</c:v>
                </c:pt>
                <c:pt idx="1174">
                  <c:v>2.7000143825397336</c:v>
                </c:pt>
                <c:pt idx="1175">
                  <c:v>2.7003452854240604</c:v>
                </c:pt>
                <c:pt idx="1176">
                  <c:v>2.7006729873345585</c:v>
                </c:pt>
                <c:pt idx="1177">
                  <c:v>2.7009975213040192</c:v>
                </c:pt>
                <c:pt idx="1178">
                  <c:v>2.7013189210994328</c:v>
                </c:pt>
                <c:pt idx="1179">
                  <c:v>2.701637221208403</c:v>
                </c:pt>
                <c:pt idx="1180">
                  <c:v>2.7019524568251572</c:v>
                </c:pt>
                <c:pt idx="1181">
                  <c:v>2.7022646638361523</c:v>
                </c:pt>
                <c:pt idx="1182">
                  <c:v>2.7025738788052869</c:v>
                </c:pt>
                <c:pt idx="1183">
                  <c:v>2.702880138958744</c:v>
                </c:pt>
                <c:pt idx="1184">
                  <c:v>2.7031834821694605</c:v>
                </c:pt>
                <c:pt idx="1185">
                  <c:v>2.7034839469412586</c:v>
                </c:pt>
                <c:pt idx="1186">
                  <c:v>2.7037815723926291</c:v>
                </c:pt>
                <c:pt idx="1187">
                  <c:v>2.7040763982402023</c:v>
                </c:pt>
                <c:pt idx="1188">
                  <c:v>2.7043684647819006</c:v>
                </c:pt>
                <c:pt idx="1189">
                  <c:v>2.7046578128798147</c:v>
                </c:pt>
                <c:pt idx="1190">
                  <c:v>2.704944483942779</c:v>
                </c:pt>
                <c:pt idx="1191">
                  <c:v>2.7052285199087098</c:v>
                </c:pt>
                <c:pt idx="1192">
                  <c:v>2.7055099632266724</c:v>
                </c:pt>
                <c:pt idx="1193">
                  <c:v>2.7057888568387365</c:v>
                </c:pt>
                <c:pt idx="1194">
                  <c:v>2.7060652441616035</c:v>
                </c:pt>
                <c:pt idx="1195">
                  <c:v>2.7063391690680403</c:v>
                </c:pt>
                <c:pt idx="1196">
                  <c:v>2.706610675868125</c:v>
                </c:pt>
                <c:pt idx="1197">
                  <c:v>2.7068798092903306</c:v>
                </c:pt>
                <c:pt idx="1198">
                  <c:v>2.7071466144624545</c:v>
                </c:pt>
                <c:pt idx="1199">
                  <c:v>2.7074111368924165</c:v>
                </c:pt>
                <c:pt idx="1200">
                  <c:v>2.7076734224489316</c:v>
                </c:pt>
                <c:pt idx="1201">
                  <c:v>2.7079335173420915</c:v>
                </c:pt>
                <c:pt idx="1202">
                  <c:v>2.7081914681038515</c:v>
                </c:pt>
                <c:pt idx="1203">
                  <c:v>2.708447321568455</c:v>
                </c:pt>
                <c:pt idx="1204">
                  <c:v>2.7087011248528032</c:v>
                </c:pt>
                <c:pt idx="1205">
                  <c:v>2.7089529253367859</c:v>
                </c:pt>
                <c:pt idx="1206">
                  <c:v>2.7092027706435968</c:v>
                </c:pt>
                <c:pt idx="1207">
                  <c:v>2.7094507086200426</c:v>
                </c:pt>
                <c:pt idx="1208">
                  <c:v>2.7096967873168598</c:v>
                </c:pt>
                <c:pt idx="1209">
                  <c:v>2.7099410549690668</c:v>
                </c:pt>
                <c:pt idx="1210">
                  <c:v>2.7101835599763566</c:v>
                </c:pt>
                <c:pt idx="1211">
                  <c:v>2.7104243508835402</c:v>
                </c:pt>
                <c:pt idx="1212">
                  <c:v>2.7106634763610726</c:v>
                </c:pt>
                <c:pt idx="1213">
                  <c:v>2.7109009851856647</c:v>
                </c:pt>
                <c:pt idx="1214">
                  <c:v>2.7111369262209961</c:v>
                </c:pt>
                <c:pt idx="1215">
                  <c:v>2.7113713483985458</c:v>
                </c:pt>
                <c:pt idx="1216">
                  <c:v>2.7116043006985566</c:v>
                </c:pt>
                <c:pt idx="1217">
                  <c:v>2.7118358321311389</c:v>
                </c:pt>
                <c:pt idx="1218">
                  <c:v>2.7120659917175418</c:v>
                </c:pt>
                <c:pt idx="1219">
                  <c:v>2.7122948284715864</c:v>
                </c:pt>
                <c:pt idx="1220">
                  <c:v>2.7125223913812895</c:v>
                </c:pt>
                <c:pt idx="1221">
                  <c:v>2.7127487293906789</c:v>
                </c:pt>
                <c:pt idx="1222">
                  <c:v>2.7129738913818247</c:v>
                </c:pt>
                <c:pt idx="1223">
                  <c:v>2.7131979261570853</c:v>
                </c:pt>
                <c:pt idx="1224">
                  <c:v>2.7134208824215857</c:v>
                </c:pt>
                <c:pt idx="1225">
                  <c:v>2.7136428087659383</c:v>
                </c:pt>
                <c:pt idx="1226">
                  <c:v>2.7138637536492198</c:v>
                </c:pt>
                <c:pt idx="1227">
                  <c:v>2.7140837653822061</c:v>
                </c:pt>
                <c:pt idx="1228">
                  <c:v>2.7143028921108794</c:v>
                </c:pt>
                <c:pt idx="1229">
                  <c:v>2.7145211818002282</c:v>
                </c:pt>
                <c:pt idx="1230">
                  <c:v>2.7147386822183179</c:v>
                </c:pt>
                <c:pt idx="1231">
                  <c:v>2.7149554409206802</c:v>
                </c:pt>
                <c:pt idx="1232">
                  <c:v>2.7151715052349967</c:v>
                </c:pt>
                <c:pt idx="1233">
                  <c:v>2.7153869222460982</c:v>
                </c:pt>
                <c:pt idx="1234">
                  <c:v>2.7156017387812876</c:v>
                </c:pt>
                <c:pt idx="1235">
                  <c:v>2.7158160013959942</c:v>
                </c:pt>
                <c:pt idx="1236">
                  <c:v>2.7160297563597484</c:v>
                </c:pt>
                <c:pt idx="1237">
                  <c:v>2.7162430496425127</c:v>
                </c:pt>
                <c:pt idx="1238">
                  <c:v>2.7164559269013422</c:v>
                </c:pt>
                <c:pt idx="1239">
                  <c:v>2.7166684334674049</c:v>
                </c:pt>
                <c:pt idx="1240">
                  <c:v>2.7168806143333484</c:v>
                </c:pt>
                <c:pt idx="1241">
                  <c:v>2.7170925141410311</c:v>
                </c:pt>
                <c:pt idx="1242">
                  <c:v>2.7173041771696074</c:v>
                </c:pt>
                <c:pt idx="1243">
                  <c:v>2.7175156473239799</c:v>
                </c:pt>
                <c:pt idx="1244">
                  <c:v>2.7177269681236194</c:v>
                </c:pt>
                <c:pt idx="1245">
                  <c:v>2.717938182691753</c:v>
                </c:pt>
                <c:pt idx="1246">
                  <c:v>2.7181493337449201</c:v>
                </c:pt>
                <c:pt idx="1247">
                  <c:v>2.7183604635829073</c:v>
                </c:pt>
                <c:pt idx="1248">
                  <c:v>2.7185716140790435</c:v>
                </c:pt>
                <c:pt idx="1249">
                  <c:v>2.7187828266708842</c:v>
                </c:pt>
                <c:pt idx="1250">
                  <c:v>2.7189941423512574</c:v>
                </c:pt>
                <c:pt idx="1251">
                  <c:v>2.7192056016596924</c:v>
                </c:pt>
                <c:pt idx="1252">
                  <c:v>2.7194172446742093</c:v>
                </c:pt>
                <c:pt idx="1253">
                  <c:v>2.7196291110034947</c:v>
                </c:pt>
                <c:pt idx="1254">
                  <c:v>2.7198412397794427</c:v>
                </c:pt>
                <c:pt idx="1255">
                  <c:v>2.7200536696500599</c:v>
                </c:pt>
                <c:pt idx="1256">
                  <c:v>2.7202664387727431</c:v>
                </c:pt>
                <c:pt idx="1257">
                  <c:v>2.7204795848079302</c:v>
                </c:pt>
                <c:pt idx="1258">
                  <c:v>2.7206931449130947</c:v>
                </c:pt>
                <c:pt idx="1259">
                  <c:v>2.7209071557371227</c:v>
                </c:pt>
                <c:pt idx="1260">
                  <c:v>2.7211216534150253</c:v>
                </c:pt>
                <c:pt idx="1261">
                  <c:v>2.7213366735630249</c:v>
                </c:pt>
                <c:pt idx="1262">
                  <c:v>2.7215522512739754</c:v>
                </c:pt>
                <c:pt idx="1263">
                  <c:v>2.7217684211131381</c:v>
                </c:pt>
                <c:pt idx="1264">
                  <c:v>2.7219852171142982</c:v>
                </c:pt>
                <c:pt idx="1265">
                  <c:v>2.7222026727762176</c:v>
                </c:pt>
                <c:pt idx="1266">
                  <c:v>2.7224208210594183</c:v>
                </c:pt>
                <c:pt idx="1267">
                  <c:v>2.7226396943833011</c:v>
                </c:pt>
                <c:pt idx="1268">
                  <c:v>2.7228593246235842</c:v>
                </c:pt>
                <c:pt idx="1269">
                  <c:v>2.7230797431100613</c:v>
                </c:pt>
                <c:pt idx="1270">
                  <c:v>2.7233009806246686</c:v>
                </c:pt>
                <c:pt idx="1271">
                  <c:v>2.723523067399868</c:v>
                </c:pt>
                <c:pt idx="1272">
                  <c:v>2.7237460331173282</c:v>
                </c:pt>
                <c:pt idx="1273">
                  <c:v>2.7239699069068957</c:v>
                </c:pt>
                <c:pt idx="1274">
                  <c:v>2.7241947173458723</c:v>
                </c:pt>
                <c:pt idx="1275">
                  <c:v>2.72442049245856</c:v>
                </c:pt>
                <c:pt idx="1276">
                  <c:v>2.7246472597161002</c:v>
                </c:pt>
                <c:pt idx="1277">
                  <c:v>2.7248750460365674</c:v>
                </c:pt>
                <c:pt idx="1278">
                  <c:v>2.72510387778535</c:v>
                </c:pt>
                <c:pt idx="1279">
                  <c:v>2.7253337807757738</c:v>
                </c:pt>
                <c:pt idx="1280">
                  <c:v>2.7255647802699876</c:v>
                </c:pt>
                <c:pt idx="1281">
                  <c:v>2.7257969009800931</c:v>
                </c:pt>
                <c:pt idx="1282">
                  <c:v>2.7260301670695135</c:v>
                </c:pt>
                <c:pt idx="1283">
                  <c:v>2.7262646021546044</c:v>
                </c:pt>
                <c:pt idx="1284">
                  <c:v>2.726500229306478</c:v>
                </c:pt>
                <c:pt idx="1285">
                  <c:v>2.7267370710530603</c:v>
                </c:pt>
                <c:pt idx="1286">
                  <c:v>2.7269751493813579</c:v>
                </c:pt>
                <c:pt idx="1287">
                  <c:v>2.7272144857399296</c:v>
                </c:pt>
                <c:pt idx="1288">
                  <c:v>2.727455101041564</c:v>
                </c:pt>
                <c:pt idx="1289">
                  <c:v>2.7276970156661458</c:v>
                </c:pt>
                <c:pt idx="1290">
                  <c:v>2.7279402494637135</c:v>
                </c:pt>
                <c:pt idx="1291">
                  <c:v>2.7281848217576994</c:v>
                </c:pt>
                <c:pt idx="1292">
                  <c:v>2.7284307513483368</c:v>
                </c:pt>
                <c:pt idx="1293">
                  <c:v>2.7286780565162445</c:v>
                </c:pt>
                <c:pt idx="1294">
                  <c:v>2.7289267550261633</c:v>
                </c:pt>
                <c:pt idx="1295">
                  <c:v>2.7291768641308582</c:v>
                </c:pt>
                <c:pt idx="1296">
                  <c:v>2.729428400575157</c:v>
                </c:pt>
                <c:pt idx="1297">
                  <c:v>2.7296813806001428</c:v>
                </c:pt>
                <c:pt idx="1298">
                  <c:v>2.7299358199474715</c:v>
                </c:pt>
                <c:pt idx="1299">
                  <c:v>2.7301917338638302</c:v>
                </c:pt>
                <c:pt idx="1300">
                  <c:v>2.7304491371055111</c:v>
                </c:pt>
                <c:pt idx="1301">
                  <c:v>2.7307080439431046</c:v>
                </c:pt>
                <c:pt idx="1302">
                  <c:v>2.7309684681663073</c:v>
                </c:pt>
                <c:pt idx="1303">
                  <c:v>2.7312304230888342</c:v>
                </c:pt>
                <c:pt idx="1304">
                  <c:v>2.7314939215534282</c:v>
                </c:pt>
                <c:pt idx="1305">
                  <c:v>2.7317587867161874</c:v>
                </c:pt>
                <c:pt idx="1306">
                  <c:v>2.7320240338479453</c:v>
                </c:pt>
                <c:pt idx="1307">
                  <c:v>2.7322895095130391</c:v>
                </c:pt>
                <c:pt idx="1308">
                  <c:v>2.7325552013167469</c:v>
                </c:pt>
                <c:pt idx="1309">
                  <c:v>2.7328210966360027</c:v>
                </c:pt>
                <c:pt idx="1310">
                  <c:v>2.7330871826188061</c:v>
                </c:pt>
                <c:pt idx="1311">
                  <c:v>2.7333534461837559</c:v>
                </c:pt>
                <c:pt idx="1312">
                  <c:v>2.7336198740196354</c:v>
                </c:pt>
                <c:pt idx="1313">
                  <c:v>2.7338864525851259</c:v>
                </c:pt>
                <c:pt idx="1314">
                  <c:v>2.7341531681086049</c:v>
                </c:pt>
                <c:pt idx="1315">
                  <c:v>2.7344200065880431</c:v>
                </c:pt>
                <c:pt idx="1316">
                  <c:v>2.734686953791011</c:v>
                </c:pt>
                <c:pt idx="1317">
                  <c:v>2.7349539952547932</c:v>
                </c:pt>
                <c:pt idx="1318">
                  <c:v>2.7352211162866062</c:v>
                </c:pt>
                <c:pt idx="1319">
                  <c:v>2.7354883019639273</c:v>
                </c:pt>
                <c:pt idx="1320">
                  <c:v>2.7357555371349456</c:v>
                </c:pt>
                <c:pt idx="1321">
                  <c:v>2.7360228064191272</c:v>
                </c:pt>
                <c:pt idx="1322">
                  <c:v>2.7362900942078987</c:v>
                </c:pt>
                <c:pt idx="1323">
                  <c:v>2.7365573846654483</c:v>
                </c:pt>
                <c:pt idx="1324">
                  <c:v>2.7368246617296639</c:v>
                </c:pt>
                <c:pt idx="1325">
                  <c:v>2.73709190911319</c:v>
                </c:pt>
                <c:pt idx="1326">
                  <c:v>2.7373591103046135</c:v>
                </c:pt>
                <c:pt idx="1327">
                  <c:v>2.737626248569792</c:v>
                </c:pt>
                <c:pt idx="1328">
                  <c:v>2.737893306953302</c:v>
                </c:pt>
                <c:pt idx="1329">
                  <c:v>2.7381602682800388</c:v>
                </c:pt>
                <c:pt idx="1330">
                  <c:v>2.7384271151569468</c:v>
                </c:pt>
                <c:pt idx="1331">
                  <c:v>2.7386938299748942</c:v>
                </c:pt>
                <c:pt idx="1332">
                  <c:v>2.7389603949106909</c:v>
                </c:pt>
                <c:pt idx="1333">
                  <c:v>2.7392267919292532</c:v>
                </c:pt>
                <c:pt idx="1334">
                  <c:v>2.7394930027859203</c:v>
                </c:pt>
                <c:pt idx="1335">
                  <c:v>2.7397590090289072</c:v>
                </c:pt>
                <c:pt idx="1336">
                  <c:v>2.7400247920019272</c:v>
                </c:pt>
                <c:pt idx="1337">
                  <c:v>2.7402903328469526</c:v>
                </c:pt>
                <c:pt idx="1338">
                  <c:v>2.740555612507142</c:v>
                </c:pt>
                <c:pt idx="1339">
                  <c:v>2.7408206117299154</c:v>
                </c:pt>
                <c:pt idx="1340">
                  <c:v>2.7410853110701914</c:v>
                </c:pt>
                <c:pt idx="1341">
                  <c:v>2.741349690893784</c:v>
                </c:pt>
                <c:pt idx="1342">
                  <c:v>2.7416137313809585</c:v>
                </c:pt>
                <c:pt idx="1343">
                  <c:v>2.7418774125301506</c:v>
                </c:pt>
                <c:pt idx="1344">
                  <c:v>2.742140714161847</c:v>
                </c:pt>
                <c:pt idx="1345">
                  <c:v>2.7424036159226266</c:v>
                </c:pt>
                <c:pt idx="1346">
                  <c:v>2.7426660972893737</c:v>
                </c:pt>
                <c:pt idx="1347">
                  <c:v>2.7429281375736476</c:v>
                </c:pt>
                <c:pt idx="1348">
                  <c:v>2.743189715926222</c:v>
                </c:pt>
                <c:pt idx="1349">
                  <c:v>2.7434508113417908</c:v>
                </c:pt>
                <c:pt idx="1350">
                  <c:v>2.7437114026638318</c:v>
                </c:pt>
                <c:pt idx="1351">
                  <c:v>2.7439714685896477</c:v>
                </c:pt>
                <c:pt idx="1352">
                  <c:v>2.7442309876755613</c:v>
                </c:pt>
                <c:pt idx="1353">
                  <c:v>2.7444899383422836</c:v>
                </c:pt>
                <c:pt idx="1354">
                  <c:v>2.744748298880443</c:v>
                </c:pt>
                <c:pt idx="1355">
                  <c:v>2.7450060474562741</c:v>
                </c:pt>
                <c:pt idx="1356">
                  <c:v>2.7452631621174808</c:v>
                </c:pt>
                <c:pt idx="1357">
                  <c:v>2.7455196207992496</c:v>
                </c:pt>
                <c:pt idx="1358">
                  <c:v>2.7457754013304285</c:v>
                </c:pt>
                <c:pt idx="1359">
                  <c:v>2.7460304814398637</c:v>
                </c:pt>
                <c:pt idx="1360">
                  <c:v>2.7462848387628993</c:v>
                </c:pt>
                <c:pt idx="1361">
                  <c:v>2.7465384508480231</c:v>
                </c:pt>
                <c:pt idx="1362">
                  <c:v>2.7467912951636704</c:v>
                </c:pt>
                <c:pt idx="1363">
                  <c:v>2.747043349105184</c:v>
                </c:pt>
                <c:pt idx="1364">
                  <c:v>2.7472945900019199</c:v>
                </c:pt>
                <c:pt idx="1365">
                  <c:v>2.7475449951244904</c:v>
                </c:pt>
                <c:pt idx="1366">
                  <c:v>2.7477945416921727</c:v>
                </c:pt>
                <c:pt idx="1367">
                  <c:v>2.7480432068804346</c:v>
                </c:pt>
                <c:pt idx="1368">
                  <c:v>2.74829096782861</c:v>
                </c:pt>
                <c:pt idx="1369">
                  <c:v>2.7485378016477111</c:v>
                </c:pt>
                <c:pt idx="1370">
                  <c:v>2.7487836854283616</c:v>
                </c:pt>
                <c:pt idx="1371">
                  <c:v>2.7490285962488636</c:v>
                </c:pt>
                <c:pt idx="1372">
                  <c:v>2.7492725111833867</c:v>
                </c:pt>
                <c:pt idx="1373">
                  <c:v>2.7495154073102719</c:v>
                </c:pt>
                <c:pt idx="1374">
                  <c:v>2.7497572617204544</c:v>
                </c:pt>
                <c:pt idx="1375">
                  <c:v>2.7499980515259876</c:v>
                </c:pt>
                <c:pt idx="1376">
                  <c:v>2.7502377538686842</c:v>
                </c:pt>
                <c:pt idx="1377">
                  <c:v>2.7504763459288468</c:v>
                </c:pt>
                <c:pt idx="1378">
                  <c:v>2.7507138049340951</c:v>
                </c:pt>
                <c:pt idx="1379">
                  <c:v>2.7509501081682854</c:v>
                </c:pt>
                <c:pt idx="1380">
                  <c:v>2.7511852329805073</c:v>
                </c:pt>
                <c:pt idx="1381">
                  <c:v>2.7514191567941677</c:v>
                </c:pt>
                <c:pt idx="1382">
                  <c:v>2.7516518571161375</c:v>
                </c:pt>
                <c:pt idx="1383">
                  <c:v>2.7518833115459636</c:v>
                </c:pt>
                <c:pt idx="1384">
                  <c:v>2.7521134977851518</c:v>
                </c:pt>
                <c:pt idx="1385">
                  <c:v>2.7523423936464879</c:v>
                </c:pt>
                <c:pt idx="1386">
                  <c:v>2.7525699770634136</c:v>
                </c:pt>
                <c:pt idx="1387">
                  <c:v>2.7527962260994436</c:v>
                </c:pt>
                <c:pt idx="1388">
                  <c:v>2.7530211189576033</c:v>
                </c:pt>
                <c:pt idx="1389">
                  <c:v>2.7532446339899095</c:v>
                </c:pt>
                <c:pt idx="1390">
                  <c:v>2.7534667497068548</c:v>
                </c:pt>
                <c:pt idx="1391">
                  <c:v>2.7536874447869124</c:v>
                </c:pt>
                <c:pt idx="1392">
                  <c:v>2.7539066980860354</c:v>
                </c:pt>
                <c:pt idx="1393">
                  <c:v>2.7541244886471632</c:v>
                </c:pt>
                <c:pt idx="1394">
                  <c:v>2.7543407957097101</c:v>
                </c:pt>
                <c:pt idx="1395">
                  <c:v>2.7545555987190329</c:v>
                </c:pt>
                <c:pt idx="1396">
                  <c:v>2.7547688773358772</c:v>
                </c:pt>
                <c:pt idx="1397">
                  <c:v>2.7549806114457858</c:v>
                </c:pt>
                <c:pt idx="1398">
                  <c:v>2.7551907811684617</c:v>
                </c:pt>
                <c:pt idx="1399">
                  <c:v>2.7553993668670875</c:v>
                </c:pt>
                <c:pt idx="1400">
                  <c:v>2.7556063491575817</c:v>
                </c:pt>
                <c:pt idx="1401">
                  <c:v>2.7558117089177814</c:v>
                </c:pt>
                <c:pt idx="1402">
                  <c:v>2.756015427296572</c:v>
                </c:pt>
                <c:pt idx="1403">
                  <c:v>2.7562174857229023</c:v>
                </c:pt>
                <c:pt idx="1404">
                  <c:v>2.7564178659147407</c:v>
                </c:pt>
                <c:pt idx="1405">
                  <c:v>2.7566165498879083</c:v>
                </c:pt>
                <c:pt idx="1406">
                  <c:v>2.7568135199648198</c:v>
                </c:pt>
                <c:pt idx="1407">
                  <c:v>2.7570087587831007</c:v>
                </c:pt>
                <c:pt idx="1408">
                  <c:v>2.7572022493040871</c:v>
                </c:pt>
                <c:pt idx="1409">
                  <c:v>2.7573939748211909</c:v>
                </c:pt>
                <c:pt idx="1410">
                  <c:v>2.7575839189681308</c:v>
                </c:pt>
                <c:pt idx="1411">
                  <c:v>2.7577720657270128</c:v>
                </c:pt>
                <c:pt idx="1412">
                  <c:v>2.7579583994362573</c:v>
                </c:pt>
                <c:pt idx="1413">
                  <c:v>2.7581429047983685</c:v>
                </c:pt>
                <c:pt idx="1414">
                  <c:v>2.7583255668875291</c:v>
                </c:pt>
                <c:pt idx="1415">
                  <c:v>2.7585063711570252</c:v>
                </c:pt>
                <c:pt idx="1416">
                  <c:v>2.7586853034464842</c:v>
                </c:pt>
                <c:pt idx="1417">
                  <c:v>2.7588623499889189</c:v>
                </c:pt>
                <c:pt idx="1418">
                  <c:v>2.7590374974175833</c:v>
                </c:pt>
                <c:pt idx="1419">
                  <c:v>2.7592107327726203</c:v>
                </c:pt>
                <c:pt idx="1420">
                  <c:v>2.7593820435074936</c:v>
                </c:pt>
                <c:pt idx="1421">
                  <c:v>2.7595514174952145</c:v>
                </c:pt>
                <c:pt idx="1422">
                  <c:v>2.759718843034336</c:v>
                </c:pt>
                <c:pt idx="1423">
                  <c:v>2.7598843088547227</c:v>
                </c:pt>
                <c:pt idx="1424">
                  <c:v>2.7600478041230874</c:v>
                </c:pt>
                <c:pt idx="1425">
                  <c:v>2.7602093184482905</c:v>
                </c:pt>
                <c:pt idx="1426">
                  <c:v>2.7603688418863839</c:v>
                </c:pt>
                <c:pt idx="1427">
                  <c:v>2.7605263649454184</c:v>
                </c:pt>
                <c:pt idx="1428">
                  <c:v>2.7606818785899909</c:v>
                </c:pt>
                <c:pt idx="1429">
                  <c:v>2.760835374245536</c:v>
                </c:pt>
                <c:pt idx="1430">
                  <c:v>2.7609868438023417</c:v>
                </c:pt>
                <c:pt idx="1431">
                  <c:v>2.7611362796193233</c:v>
                </c:pt>
                <c:pt idx="1432">
                  <c:v>2.7612836745275056</c:v>
                </c:pt>
                <c:pt idx="1433">
                  <c:v>2.7614290218332394</c:v>
                </c:pt>
                <c:pt idx="1434">
                  <c:v>2.761572315321144</c:v>
                </c:pt>
                <c:pt idx="1435">
                  <c:v>2.7617135492567635</c:v>
                </c:pt>
                <c:pt idx="1436">
                  <c:v>2.7618527183889543</c:v>
                </c:pt>
                <c:pt idx="1437">
                  <c:v>2.7619898179519726</c:v>
                </c:pt>
                <c:pt idx="1438">
                  <c:v>2.7621248436672907</c:v>
                </c:pt>
                <c:pt idx="1439">
                  <c:v>2.7622577917451188</c:v>
                </c:pt>
                <c:pt idx="1440">
                  <c:v>2.7623886588856408</c:v>
                </c:pt>
                <c:pt idx="1441">
                  <c:v>2.7625174422799637</c:v>
                </c:pt>
                <c:pt idx="1442">
                  <c:v>2.7626441396107762</c:v>
                </c:pt>
                <c:pt idx="1443">
                  <c:v>2.7627687490527149</c:v>
                </c:pt>
                <c:pt idx="1444">
                  <c:v>2.7628912692724468</c:v>
                </c:pt>
                <c:pt idx="1445">
                  <c:v>2.763011699428461</c:v>
                </c:pt>
                <c:pt idx="1446">
                  <c:v>2.7631300391705707</c:v>
                </c:pt>
                <c:pt idx="1447">
                  <c:v>2.7632462886391305</c:v>
                </c:pt>
                <c:pt idx="1448">
                  <c:v>2.7633604484639651</c:v>
                </c:pt>
                <c:pt idx="1449">
                  <c:v>2.7634725197630221</c:v>
                </c:pt>
                <c:pt idx="1450">
                  <c:v>2.7635825041407309</c:v>
                </c:pt>
                <c:pt idx="1451">
                  <c:v>2.763690403686093</c:v>
                </c:pt>
                <c:pt idx="1452">
                  <c:v>2.7637962209704918</c:v>
                </c:pt>
                <c:pt idx="1453">
                  <c:v>2.7638999590452231</c:v>
                </c:pt>
                <c:pt idx="1454">
                  <c:v>2.7640016214387662</c:v>
                </c:pt>
                <c:pt idx="1455">
                  <c:v>2.7641012121537751</c:v>
                </c:pt>
                <c:pt idx="1456">
                  <c:v>2.7641987356638138</c:v>
                </c:pt>
                <c:pt idx="1457">
                  <c:v>2.7642941969098351</c:v>
                </c:pt>
                <c:pt idx="1458">
                  <c:v>2.7643876012963919</c:v>
                </c:pt>
                <c:pt idx="1459">
                  <c:v>2.7644789546876107</c:v>
                </c:pt>
                <c:pt idx="1460">
                  <c:v>2.7645682634029067</c:v>
                </c:pt>
                <c:pt idx="1461">
                  <c:v>2.7646555342124728</c:v>
                </c:pt>
                <c:pt idx="1462">
                  <c:v>2.7647407743325201</c:v>
                </c:pt>
                <c:pt idx="1463">
                  <c:v>2.7648239914202879</c:v>
                </c:pt>
                <c:pt idx="1464">
                  <c:v>2.7649051935688402</c:v>
                </c:pt>
                <c:pt idx="1465">
                  <c:v>2.7649843893016337</c:v>
                </c:pt>
                <c:pt idx="1466">
                  <c:v>2.7650615875668696</c:v>
                </c:pt>
                <c:pt idx="1467">
                  <c:v>2.7651367977316528</c:v>
                </c:pt>
                <c:pt idx="1468">
                  <c:v>2.7652100295759325</c:v>
                </c:pt>
                <c:pt idx="1469">
                  <c:v>2.7652812932862663</c:v>
                </c:pt>
                <c:pt idx="1470">
                  <c:v>2.7653505994493841</c:v>
                </c:pt>
                <c:pt idx="1471">
                  <c:v>2.7654179590455752</c:v>
                </c:pt>
                <c:pt idx="1472">
                  <c:v>2.7654833834419077</c:v>
                </c:pt>
                <c:pt idx="1473">
                  <c:v>2.7655468843852677</c:v>
                </c:pt>
                <c:pt idx="1474">
                  <c:v>2.765608473995258</c:v>
                </c:pt>
                <c:pt idx="1475">
                  <c:v>2.7656681647569248</c:v>
                </c:pt>
                <c:pt idx="1476">
                  <c:v>2.7657259695133556</c:v>
                </c:pt>
                <c:pt idx="1477">
                  <c:v>2.7657819014581282</c:v>
                </c:pt>
                <c:pt idx="1478">
                  <c:v>2.7658359741276355</c:v>
                </c:pt>
                <c:pt idx="1479">
                  <c:v>2.7658882013932904</c:v>
                </c:pt>
                <c:pt idx="1480">
                  <c:v>2.7659385974536019</c:v>
                </c:pt>
                <c:pt idx="1481">
                  <c:v>2.7659871768261626</c:v>
                </c:pt>
                <c:pt idx="1482">
                  <c:v>2.7660339543395231</c:v>
                </c:pt>
                <c:pt idx="1483">
                  <c:v>2.7660789451249759</c:v>
                </c:pt>
                <c:pt idx="1484">
                  <c:v>2.7661221646082574</c:v>
                </c:pt>
                <c:pt idx="1485">
                  <c:v>2.7661636285011726</c:v>
                </c:pt>
                <c:pt idx="1486">
                  <c:v>2.7662033527931476</c:v>
                </c:pt>
                <c:pt idx="1487">
                  <c:v>2.7662413537427204</c:v>
                </c:pt>
                <c:pt idx="1488">
                  <c:v>2.7662776478689746</c:v>
                </c:pt>
                <c:pt idx="1489">
                  <c:v>2.7663122519429315</c:v>
                </c:pt>
                <c:pt idx="1490">
                  <c:v>2.7663451829788999</c:v>
                </c:pt>
                <c:pt idx="1491">
                  <c:v>2.7663764582257855</c:v>
                </c:pt>
                <c:pt idx="1492">
                  <c:v>2.766406095158386</c:v>
                </c:pt>
                <c:pt idx="1493">
                  <c:v>2.7664341114686586</c:v>
                </c:pt>
                <c:pt idx="1494">
                  <c:v>2.7664605250569814</c:v>
                </c:pt>
                <c:pt idx="1495">
                  <c:v>2.7664853540234051</c:v>
                </c:pt>
                <c:pt idx="1496">
                  <c:v>2.766508616658915</c:v>
                </c:pt>
                <c:pt idx="1497">
                  <c:v>2.7665303314366874</c:v>
                </c:pt>
                <c:pt idx="1498">
                  <c:v>2.7665505170033744</c:v>
                </c:pt>
                <c:pt idx="1499">
                  <c:v>2.7665691921704081</c:v>
                </c:pt>
                <c:pt idx="1500">
                  <c:v>2.7665863759053222</c:v>
                </c:pt>
                <c:pt idx="1501">
                  <c:v>2.766602087323125</c:v>
                </c:pt>
                <c:pt idx="1502">
                  <c:v>2.7666163456776953</c:v>
                </c:pt>
                <c:pt idx="1503">
                  <c:v>2.7666291703532297</c:v>
                </c:pt>
                <c:pt idx="1504">
                  <c:v>2.7666405808557544</c:v>
                </c:pt>
                <c:pt idx="1505">
                  <c:v>2.7666505968046691</c:v>
                </c:pt>
                <c:pt idx="1506">
                  <c:v>2.7666592379243751</c:v>
                </c:pt>
                <c:pt idx="1507">
                  <c:v>2.7666665240359594</c:v>
                </c:pt>
                <c:pt idx="1508">
                  <c:v>2.7666724750489577</c:v>
                </c:pt>
                <c:pt idx="1509">
                  <c:v>2.7666771109531858</c:v>
                </c:pt>
                <c:pt idx="1510">
                  <c:v>2.766680451810664</c:v>
                </c:pt>
                <c:pt idx="1511">
                  <c:v>2.7666825177476206</c:v>
                </c:pt>
                <c:pt idx="1512">
                  <c:v>2.7666833289465909</c:v>
                </c:pt>
                <c:pt idx="1513">
                  <c:v>2.7666829056386044</c:v>
                </c:pt>
                <c:pt idx="1514">
                  <c:v>2.7666812680954824</c:v>
                </c:pt>
                <c:pt idx="1515">
                  <c:v>2.7666784366222252</c:v>
                </c:pt>
                <c:pt idx="1516">
                  <c:v>2.7666744315495149</c:v>
                </c:pt>
                <c:pt idx="1517">
                  <c:v>2.7666692732263272</c:v>
                </c:pt>
                <c:pt idx="1518">
                  <c:v>2.7666629820126518</c:v>
                </c:pt>
                <c:pt idx="1519">
                  <c:v>2.7666555782723319</c:v>
                </c:pt>
                <c:pt idx="1520">
                  <c:v>2.7666470823660227</c:v>
                </c:pt>
                <c:pt idx="1521">
                  <c:v>2.7666375146442723</c:v>
                </c:pt>
                <c:pt idx="1522">
                  <c:v>2.7666268954407247</c:v>
                </c:pt>
                <c:pt idx="1523">
                  <c:v>2.7666152450654509</c:v>
                </c:pt>
                <c:pt idx="1524">
                  <c:v>2.7666025837984076</c:v>
                </c:pt>
                <c:pt idx="1525">
                  <c:v>2.7665889318830295</c:v>
                </c:pt>
                <c:pt idx="1526">
                  <c:v>2.7665743095199535</c:v>
                </c:pt>
                <c:pt idx="1527">
                  <c:v>2.7665587368608686</c:v>
                </c:pt>
                <c:pt idx="1528">
                  <c:v>2.7665422340025208</c:v>
                </c:pt>
                <c:pt idx="1529">
                  <c:v>2.7665248209808326</c:v>
                </c:pt>
                <c:pt idx="1530">
                  <c:v>2.7665065177651753</c:v>
                </c:pt>
                <c:pt idx="1531">
                  <c:v>2.7664873442527824</c:v>
                </c:pt>
                <c:pt idx="1532">
                  <c:v>2.7664673202632866</c:v>
                </c:pt>
                <c:pt idx="1533">
                  <c:v>2.7664464655334204</c:v>
                </c:pt>
                <c:pt idx="1534">
                  <c:v>2.7664247997118379</c:v>
                </c:pt>
                <c:pt idx="1535">
                  <c:v>2.7664023423540898</c:v>
                </c:pt>
                <c:pt idx="1536">
                  <c:v>2.7663791129177411</c:v>
                </c:pt>
                <c:pt idx="1537">
                  <c:v>2.7663551307576246</c:v>
                </c:pt>
                <c:pt idx="1538">
                  <c:v>2.7663304151212396</c:v>
                </c:pt>
                <c:pt idx="1539">
                  <c:v>2.7663049851442953</c:v>
                </c:pt>
                <c:pt idx="1540">
                  <c:v>2.7662788598463943</c:v>
                </c:pt>
                <c:pt idx="1541">
                  <c:v>2.7662520581268559</c:v>
                </c:pt>
                <c:pt idx="1542">
                  <c:v>2.7662245987606853</c:v>
                </c:pt>
                <c:pt idx="1543">
                  <c:v>2.7661965003946731</c:v>
                </c:pt>
                <c:pt idx="1544">
                  <c:v>2.7661677815436518</c:v>
                </c:pt>
                <c:pt idx="1545">
                  <c:v>2.7661384605868746</c:v>
                </c:pt>
                <c:pt idx="1546">
                  <c:v>2.7661085557645415</c:v>
                </c:pt>
                <c:pt idx="1547">
                  <c:v>2.7660780851744593</c:v>
                </c:pt>
                <c:pt idx="1548">
                  <c:v>2.7660470667688375</c:v>
                </c:pt>
                <c:pt idx="1549">
                  <c:v>2.7660155183512241</c:v>
                </c:pt>
                <c:pt idx="1550">
                  <c:v>2.7659834575735629</c:v>
                </c:pt>
                <c:pt idx="1551">
                  <c:v>2.7659509019334019</c:v>
                </c:pt>
                <c:pt idx="1552">
                  <c:v>2.7659178687712105</c:v>
                </c:pt>
                <c:pt idx="1553">
                  <c:v>2.765884375267845</c:v>
                </c:pt>
                <c:pt idx="1554">
                  <c:v>2.765850438442127</c:v>
                </c:pt>
                <c:pt idx="1555">
                  <c:v>2.7658160751485634</c:v>
                </c:pt>
                <c:pt idx="1556">
                  <c:v>2.7657813020751729</c:v>
                </c:pt>
                <c:pt idx="1557">
                  <c:v>2.7657461357414479</c:v>
                </c:pt>
                <c:pt idx="1558">
                  <c:v>2.7657105924964394</c:v>
                </c:pt>
                <c:pt idx="1559">
                  <c:v>2.7656746885169428</c:v>
                </c:pt>
                <c:pt idx="1560">
                  <c:v>2.7656384398058238</c:v>
                </c:pt>
                <c:pt idx="1561">
                  <c:v>2.7656018621904415</c:v>
                </c:pt>
                <c:pt idx="1562">
                  <c:v>2.7655649713212007</c:v>
                </c:pt>
                <c:pt idx="1563">
                  <c:v>2.7655277826701923</c:v>
                </c:pt>
                <c:pt idx="1564">
                  <c:v>2.7654903115299727</c:v>
                </c:pt>
                <c:pt idx="1565">
                  <c:v>2.7654525730124191</c:v>
                </c:pt>
                <c:pt idx="1566">
                  <c:v>2.7654144260930815</c:v>
                </c:pt>
                <c:pt idx="1567">
                  <c:v>2.7653753266089143</c:v>
                </c:pt>
                <c:pt idx="1568">
                  <c:v>2.7653352231428392</c:v>
                </c:pt>
                <c:pt idx="1569">
                  <c:v>2.7652941120360111</c:v>
                </c:pt>
                <c:pt idx="1570">
                  <c:v>2.7652519896463787</c:v>
                </c:pt>
                <c:pt idx="1571">
                  <c:v>2.7652088523491187</c:v>
                </c:pt>
                <c:pt idx="1572">
                  <c:v>2.7651646965370658</c:v>
                </c:pt>
                <c:pt idx="1573">
                  <c:v>2.7651195186211579</c:v>
                </c:pt>
                <c:pt idx="1574">
                  <c:v>2.7650733150308673</c:v>
                </c:pt>
                <c:pt idx="1575">
                  <c:v>2.7650260822146517</c:v>
                </c:pt>
                <c:pt idx="1576">
                  <c:v>2.7649778166403931</c:v>
                </c:pt>
                <c:pt idx="1577">
                  <c:v>2.764928514795852</c:v>
                </c:pt>
                <c:pt idx="1578">
                  <c:v>2.7648781731891163</c:v>
                </c:pt>
                <c:pt idx="1579">
                  <c:v>2.7648267883490583</c:v>
                </c:pt>
                <c:pt idx="1580">
                  <c:v>2.7647743568257876</c:v>
                </c:pt>
                <c:pt idx="1581">
                  <c:v>2.7647208751911179</c:v>
                </c:pt>
                <c:pt idx="1582">
                  <c:v>2.7646663400390223</c:v>
                </c:pt>
                <c:pt idx="1583">
                  <c:v>2.7646107479861044</c:v>
                </c:pt>
                <c:pt idx="1584">
                  <c:v>2.7645540956720658</c:v>
                </c:pt>
                <c:pt idx="1585">
                  <c:v>2.7644963797601707</c:v>
                </c:pt>
                <c:pt idx="1586">
                  <c:v>2.7644375969377295</c:v>
                </c:pt>
                <c:pt idx="1587">
                  <c:v>2.7643777439165649</c:v>
                </c:pt>
                <c:pt idx="1588">
                  <c:v>2.7643168174334969</c:v>
                </c:pt>
                <c:pt idx="1589">
                  <c:v>2.7642548142508185</c:v>
                </c:pt>
                <c:pt idx="1590">
                  <c:v>2.7641917311567803</c:v>
                </c:pt>
                <c:pt idx="1591">
                  <c:v>2.7641275649660777</c:v>
                </c:pt>
                <c:pt idx="1592">
                  <c:v>2.7640623125203376</c:v>
                </c:pt>
                <c:pt idx="1593">
                  <c:v>2.763995970688605</c:v>
                </c:pt>
                <c:pt idx="1594">
                  <c:v>2.7639285363678399</c:v>
                </c:pt>
                <c:pt idx="1595">
                  <c:v>2.7638600064834073</c:v>
                </c:pt>
                <c:pt idx="1596">
                  <c:v>2.7637903779895767</c:v>
                </c:pt>
                <c:pt idx="1597">
                  <c:v>2.7637196478700168</c:v>
                </c:pt>
                <c:pt idx="1598">
                  <c:v>2.7636478131382982</c:v>
                </c:pt>
                <c:pt idx="1599">
                  <c:v>2.7635748708383927</c:v>
                </c:pt>
                <c:pt idx="1600">
                  <c:v>2.7635008180451828</c:v>
                </c:pt>
                <c:pt idx="1601">
                  <c:v>2.76342565186496</c:v>
                </c:pt>
                <c:pt idx="1602">
                  <c:v>2.7633493694359377</c:v>
                </c:pt>
                <c:pt idx="1603">
                  <c:v>2.7632719679287554</c:v>
                </c:pt>
                <c:pt idx="1604">
                  <c:v>2.7631934445469919</c:v>
                </c:pt>
                <c:pt idx="1605">
                  <c:v>2.7631137965276826</c:v>
                </c:pt>
                <c:pt idx="1606">
                  <c:v>2.7630330211418208</c:v>
                </c:pt>
                <c:pt idx="1607">
                  <c:v>2.7629511156948845</c:v>
                </c:pt>
                <c:pt idx="1608">
                  <c:v>2.7628680775273446</c:v>
                </c:pt>
                <c:pt idx="1609">
                  <c:v>2.7627839040151851</c:v>
                </c:pt>
                <c:pt idx="1610">
                  <c:v>2.7626985925704277</c:v>
                </c:pt>
                <c:pt idx="1611">
                  <c:v>2.7626121406416386</c:v>
                </c:pt>
                <c:pt idx="1612">
                  <c:v>2.7625245457144625</c:v>
                </c:pt>
                <c:pt idx="1613">
                  <c:v>2.7624358053121352</c:v>
                </c:pt>
                <c:pt idx="1614">
                  <c:v>2.7623459169960096</c:v>
                </c:pt>
                <c:pt idx="1615">
                  <c:v>2.7622548783660834</c:v>
                </c:pt>
                <c:pt idx="1616">
                  <c:v>2.7621626870615126</c:v>
                </c:pt>
                <c:pt idx="1617">
                  <c:v>2.7620693407611498</c:v>
                </c:pt>
                <c:pt idx="1618">
                  <c:v>2.7619748371840576</c:v>
                </c:pt>
                <c:pt idx="1619">
                  <c:v>2.761879174090041</c:v>
                </c:pt>
                <c:pt idx="1620">
                  <c:v>2.7617823492801747</c:v>
                </c:pt>
                <c:pt idx="1621">
                  <c:v>2.7616843605973216</c:v>
                </c:pt>
                <c:pt idx="1622">
                  <c:v>2.7615852059266719</c:v>
                </c:pt>
                <c:pt idx="1623">
                  <c:v>2.7614848831962573</c:v>
                </c:pt>
                <c:pt idx="1624">
                  <c:v>2.7613833903774894</c:v>
                </c:pt>
                <c:pt idx="1625">
                  <c:v>2.7612807254856766</c:v>
                </c:pt>
                <c:pt idx="1626">
                  <c:v>2.7611768865805595</c:v>
                </c:pt>
                <c:pt idx="1627">
                  <c:v>2.7610718717668323</c:v>
                </c:pt>
                <c:pt idx="1628">
                  <c:v>2.7609656791946677</c:v>
                </c:pt>
                <c:pt idx="1629">
                  <c:v>2.7608583070602517</c:v>
                </c:pt>
                <c:pt idx="1630">
                  <c:v>2.7607497536062988</c:v>
                </c:pt>
                <c:pt idx="1631">
                  <c:v>2.7606400171225802</c:v>
                </c:pt>
                <c:pt idx="1632">
                  <c:v>2.7605290959464504</c:v>
                </c:pt>
                <c:pt idx="1633">
                  <c:v>2.7604169884633691</c:v>
                </c:pt>
                <c:pt idx="1634">
                  <c:v>2.7603036931074207</c:v>
                </c:pt>
                <c:pt idx="1635">
                  <c:v>2.7601892083618402</c:v>
                </c:pt>
                <c:pt idx="1636">
                  <c:v>2.7600735327595309</c:v>
                </c:pt>
                <c:pt idx="1637">
                  <c:v>2.7599566648835832</c:v>
                </c:pt>
                <c:pt idx="1638">
                  <c:v>2.7598386033677929</c:v>
                </c:pt>
                <c:pt idx="1639">
                  <c:v>2.7597193468971803</c:v>
                </c:pt>
                <c:pt idx="1640">
                  <c:v>2.7595988942085001</c:v>
                </c:pt>
                <c:pt idx="1641">
                  <c:v>2.7594772440907573</c:v>
                </c:pt>
                <c:pt idx="1642">
                  <c:v>2.7593543953857167</c:v>
                </c:pt>
                <c:pt idx="1643">
                  <c:v>2.7592303469884181</c:v>
                </c:pt>
                <c:pt idx="1644">
                  <c:v>2.7591050978476765</c:v>
                </c:pt>
                <c:pt idx="1645">
                  <c:v>2.7589786469665913</c:v>
                </c:pt>
                <c:pt idx="1646">
                  <c:v>2.7588509934030521</c:v>
                </c:pt>
                <c:pt idx="1647">
                  <c:v>2.7587221362702334</c:v>
                </c:pt>
                <c:pt idx="1648">
                  <c:v>2.7585920747371002</c:v>
                </c:pt>
                <c:pt idx="1649">
                  <c:v>2.7584608080288984</c:v>
                </c:pt>
                <c:pt idx="1650">
                  <c:v>2.7583283354276524</c:v>
                </c:pt>
                <c:pt idx="1651">
                  <c:v>2.758194656272654</c:v>
                </c:pt>
                <c:pt idx="1652">
                  <c:v>2.7580597699609499</c:v>
                </c:pt>
                <c:pt idx="1653">
                  <c:v>2.7579236759478287</c:v>
                </c:pt>
                <c:pt idx="1654">
                  <c:v>2.7577863737473005</c:v>
                </c:pt>
                <c:pt idx="1655">
                  <c:v>2.7576478629325742</c:v>
                </c:pt>
                <c:pt idx="1656">
                  <c:v>2.7575081431365369</c:v>
                </c:pt>
                <c:pt idx="1657">
                  <c:v>2.7573672140522238</c:v>
                </c:pt>
                <c:pt idx="1658">
                  <c:v>2.7572250754332854</c:v>
                </c:pt>
                <c:pt idx="1659">
                  <c:v>2.7570817270944503</c:v>
                </c:pt>
                <c:pt idx="1660">
                  <c:v>2.7569371689119899</c:v>
                </c:pt>
                <c:pt idx="1661">
                  <c:v>2.7567914008241718</c:v>
                </c:pt>
                <c:pt idx="1662">
                  <c:v>2.7566444228317164</c:v>
                </c:pt>
                <c:pt idx="1663">
                  <c:v>2.7564962349982403</c:v>
                </c:pt>
                <c:pt idx="1664">
                  <c:v>2.756346837450701</c:v>
                </c:pt>
                <c:pt idx="1665">
                  <c:v>2.756196230379838</c:v>
                </c:pt>
                <c:pt idx="1666">
                  <c:v>2.7560444140406126</c:v>
                </c:pt>
                <c:pt idx="1667">
                  <c:v>2.7558913887526271</c:v>
                </c:pt>
                <c:pt idx="1668">
                  <c:v>2.7557371549005585</c:v>
                </c:pt>
                <c:pt idx="1669">
                  <c:v>2.7555817129345783</c:v>
                </c:pt>
                <c:pt idx="1670">
                  <c:v>2.7554250633707644</c:v>
                </c:pt>
                <c:pt idx="1671">
                  <c:v>2.7552672067915145</c:v>
                </c:pt>
                <c:pt idx="1672">
                  <c:v>2.7551081438459497</c:v>
                </c:pt>
                <c:pt idx="1673">
                  <c:v>2.7549478752503131</c:v>
                </c:pt>
                <c:pt idx="1674">
                  <c:v>2.7547864017883654</c:v>
                </c:pt>
                <c:pt idx="1675">
                  <c:v>2.7546237243117715</c:v>
                </c:pt>
                <c:pt idx="1676">
                  <c:v>2.7544598437404861</c:v>
                </c:pt>
                <c:pt idx="1677">
                  <c:v>2.7542947610631225</c:v>
                </c:pt>
                <c:pt idx="1678">
                  <c:v>2.7541284773373329</c:v>
                </c:pt>
                <c:pt idx="1679">
                  <c:v>2.7539609936901637</c:v>
                </c:pt>
                <c:pt idx="1680">
                  <c:v>2.7537923113184193</c:v>
                </c:pt>
                <c:pt idx="1681">
                  <c:v>2.7536224314890068</c:v>
                </c:pt>
                <c:pt idx="1682">
                  <c:v>2.7534513555392901</c:v>
                </c:pt>
                <c:pt idx="1683">
                  <c:v>2.7532790848774176</c:v>
                </c:pt>
                <c:pt idx="1684">
                  <c:v>2.7531056209826601</c:v>
                </c:pt>
                <c:pt idx="1685">
                  <c:v>2.7529309654057346</c:v>
                </c:pt>
                <c:pt idx="1686">
                  <c:v>2.7527551197691147</c:v>
                </c:pt>
                <c:pt idx="1687">
                  <c:v>2.7525780857673485</c:v>
                </c:pt>
                <c:pt idx="1688">
                  <c:v>2.7523998651673587</c:v>
                </c:pt>
                <c:pt idx="1689">
                  <c:v>2.7522204598087368</c:v>
                </c:pt>
                <c:pt idx="1690">
                  <c:v>2.7520398716040257</c:v>
                </c:pt>
                <c:pt idx="1691">
                  <c:v>2.7518581025390114</c:v>
                </c:pt>
                <c:pt idx="1692">
                  <c:v>2.751675154672983</c:v>
                </c:pt>
                <c:pt idx="1693">
                  <c:v>2.7514910301390034</c:v>
                </c:pt>
                <c:pt idx="1694">
                  <c:v>2.7513057311441629</c:v>
                </c:pt>
                <c:pt idx="1695">
                  <c:v>2.7511192599698293</c:v>
                </c:pt>
                <c:pt idx="1696">
                  <c:v>2.7509316189718827</c:v>
                </c:pt>
                <c:pt idx="1697">
                  <c:v>2.7507428105809528</c:v>
                </c:pt>
                <c:pt idx="1698">
                  <c:v>2.7505528373026382</c:v>
                </c:pt>
                <c:pt idx="1699">
                  <c:v>2.7503617017177158</c:v>
                </c:pt>
                <c:pt idx="1700">
                  <c:v>2.7501694064823576</c:v>
                </c:pt>
                <c:pt idx="1701">
                  <c:v>2.749975954328316</c:v>
                </c:pt>
                <c:pt idx="1702">
                  <c:v>2.749781348063117</c:v>
                </c:pt>
                <c:pt idx="1703">
                  <c:v>2.7495855905702378</c:v>
                </c:pt>
                <c:pt idx="1704">
                  <c:v>2.7493886848092735</c:v>
                </c:pt>
                <c:pt idx="1705">
                  <c:v>2.749190633816101</c:v>
                </c:pt>
                <c:pt idx="1706">
                  <c:v>2.748991440703024</c:v>
                </c:pt>
                <c:pt idx="1707">
                  <c:v>2.7487911086589225</c:v>
                </c:pt>
                <c:pt idx="1708">
                  <c:v>2.7485896409493753</c:v>
                </c:pt>
                <c:pt idx="1709">
                  <c:v>2.7483870409167883</c:v>
                </c:pt>
                <c:pt idx="1710">
                  <c:v>2.7481833119804997</c:v>
                </c:pt>
                <c:pt idx="1711">
                  <c:v>2.7479784576368909</c:v>
                </c:pt>
                <c:pt idx="1712">
                  <c:v>2.7477724814594735</c:v>
                </c:pt>
                <c:pt idx="1713">
                  <c:v>2.7475653870989687</c:v>
                </c:pt>
                <c:pt idx="1714">
                  <c:v>2.7473571782833854</c:v>
                </c:pt>
                <c:pt idx="1715">
                  <c:v>2.7471478588180771</c:v>
                </c:pt>
                <c:pt idx="1716">
                  <c:v>2.7469374325857965</c:v>
                </c:pt>
                <c:pt idx="1717">
                  <c:v>2.7467259035467326</c:v>
                </c:pt>
                <c:pt idx="1718">
                  <c:v>2.746513275738546</c:v>
                </c:pt>
                <c:pt idx="1719">
                  <c:v>2.7462995532763843</c:v>
                </c:pt>
                <c:pt idx="1720">
                  <c:v>2.746084740352893</c:v>
                </c:pt>
                <c:pt idx="1721">
                  <c:v>2.745868841238214</c:v>
                </c:pt>
                <c:pt idx="1722">
                  <c:v>2.745651860279974</c:v>
                </c:pt>
                <c:pt idx="1723">
                  <c:v>2.7454338019032578</c:v>
                </c:pt>
                <c:pt idx="1724">
                  <c:v>2.7452146706105789</c:v>
                </c:pt>
                <c:pt idx="1725">
                  <c:v>2.7449944709818301</c:v>
                </c:pt>
                <c:pt idx="1726">
                  <c:v>2.7447732076742302</c:v>
                </c:pt>
                <c:pt idx="1727">
                  <c:v>2.7445508854222496</c:v>
                </c:pt>
                <c:pt idx="1728">
                  <c:v>2.7443275090375452</c:v>
                </c:pt>
                <c:pt idx="1729">
                  <c:v>2.7441030834088544</c:v>
                </c:pt>
                <c:pt idx="1730">
                  <c:v>2.7438776135019052</c:v>
                </c:pt>
                <c:pt idx="1731">
                  <c:v>2.743651104359297</c:v>
                </c:pt>
                <c:pt idx="1732">
                  <c:v>2.7434235611003803</c:v>
                </c:pt>
                <c:pt idx="1733">
                  <c:v>2.7431949889211178</c:v>
                </c:pt>
                <c:pt idx="1734">
                  <c:v>2.7429653930939391</c:v>
                </c:pt>
                <c:pt idx="1735">
                  <c:v>2.7427347789675816</c:v>
                </c:pt>
                <c:pt idx="1736">
                  <c:v>2.7425031519669192</c:v>
                </c:pt>
                <c:pt idx="1737">
                  <c:v>2.7422705175927815</c:v>
                </c:pt>
                <c:pt idx="1738">
                  <c:v>2.7420368814217593</c:v>
                </c:pt>
                <c:pt idx="1739">
                  <c:v>2.7418022491059966</c:v>
                </c:pt>
                <c:pt idx="1740">
                  <c:v>2.741566626372979</c:v>
                </c:pt>
                <c:pt idx="1741">
                  <c:v>2.7413300190252978</c:v>
                </c:pt>
                <c:pt idx="1742">
                  <c:v>2.7410924329404156</c:v>
                </c:pt>
                <c:pt idx="1743">
                  <c:v>2.7408538740704103</c:v>
                </c:pt>
                <c:pt idx="1744">
                  <c:v>2.740614348441706</c:v>
                </c:pt>
                <c:pt idx="1745">
                  <c:v>2.7403738621548084</c:v>
                </c:pt>
                <c:pt idx="1746">
                  <c:v>2.740132421384005</c:v>
                </c:pt>
                <c:pt idx="1747">
                  <c:v>2.7398900323770738</c:v>
                </c:pt>
                <c:pt idx="1748">
                  <c:v>2.7396467014549617</c:v>
                </c:pt>
                <c:pt idx="1749">
                  <c:v>2.7394024350114692</c:v>
                </c:pt>
                <c:pt idx="1750">
                  <c:v>2.7391572395129127</c:v>
                </c:pt>
                <c:pt idx="1751">
                  <c:v>2.7389111214977735</c:v>
                </c:pt>
                <c:pt idx="1752">
                  <c:v>2.7386640875763408</c:v>
                </c:pt>
                <c:pt idx="1753">
                  <c:v>2.7384161444303432</c:v>
                </c:pt>
                <c:pt idx="1754">
                  <c:v>2.7381672988125572</c:v>
                </c:pt>
                <c:pt idx="1755">
                  <c:v>2.7379175575464227</c:v>
                </c:pt>
                <c:pt idx="1756">
                  <c:v>2.7376669275256273</c:v>
                </c:pt>
                <c:pt idx="1757">
                  <c:v>2.7374154157136963</c:v>
                </c:pt>
                <c:pt idx="1758">
                  <c:v>2.7371630291435514</c:v>
                </c:pt>
                <c:pt idx="1759">
                  <c:v>2.7369097749170805</c:v>
                </c:pt>
                <c:pt idx="1760">
                  <c:v>2.7366556602046765</c:v>
                </c:pt>
                <c:pt idx="1761">
                  <c:v>2.7364006922447737</c:v>
                </c:pt>
                <c:pt idx="1762">
                  <c:v>2.7361448783433704</c:v>
                </c:pt>
                <c:pt idx="1763">
                  <c:v>2.7358882258735449</c:v>
                </c:pt>
                <c:pt idx="1764">
                  <c:v>2.7356307422749491</c:v>
                </c:pt>
                <c:pt idx="1765">
                  <c:v>2.7353724350532995</c:v>
                </c:pt>
                <c:pt idx="1766">
                  <c:v>2.7351133117798567</c:v>
                </c:pt>
                <c:pt idx="1767">
                  <c:v>2.7348533800908887</c:v>
                </c:pt>
                <c:pt idx="1768">
                  <c:v>2.7345926476871258</c:v>
                </c:pt>
                <c:pt idx="1769">
                  <c:v>2.7343311223332032</c:v>
                </c:pt>
                <c:pt idx="1770">
                  <c:v>2.7340688118570946</c:v>
                </c:pt>
                <c:pt idx="1771">
                  <c:v>2.7338057241495348</c:v>
                </c:pt>
                <c:pt idx="1772">
                  <c:v>2.733541867163424</c:v>
                </c:pt>
                <c:pt idx="1773">
                  <c:v>2.7332772489132351</c:v>
                </c:pt>
                <c:pt idx="1774">
                  <c:v>2.733011877474393</c:v>
                </c:pt>
                <c:pt idx="1775">
                  <c:v>2.7327457609826595</c:v>
                </c:pt>
                <c:pt idx="1776">
                  <c:v>2.7324789076334972</c:v>
                </c:pt>
                <c:pt idx="1777">
                  <c:v>2.7322113256814249</c:v>
                </c:pt>
                <c:pt idx="1778">
                  <c:v>2.7319430234393631</c:v>
                </c:pt>
                <c:pt idx="1779">
                  <c:v>2.7316740092779739</c:v>
                </c:pt>
                <c:pt idx="1780">
                  <c:v>2.7314042916249792</c:v>
                </c:pt>
                <c:pt idx="1781">
                  <c:v>2.7311338789644823</c:v>
                </c:pt>
                <c:pt idx="1782">
                  <c:v>2.730862779836265</c:v>
                </c:pt>
                <c:pt idx="1783">
                  <c:v>2.7305910028350917</c:v>
                </c:pt>
                <c:pt idx="1784">
                  <c:v>2.7303185566099852</c:v>
                </c:pt>
                <c:pt idx="1785">
                  <c:v>2.7300454498635087</c:v>
                </c:pt>
                <c:pt idx="1786">
                  <c:v>2.729771691351027</c:v>
                </c:pt>
                <c:pt idx="1787">
                  <c:v>2.7294972898799665</c:v>
                </c:pt>
                <c:pt idx="1788">
                  <c:v>2.7292222543090565</c:v>
                </c:pt>
                <c:pt idx="1789">
                  <c:v>2.7289465935475725</c:v>
                </c:pt>
                <c:pt idx="1790">
                  <c:v>2.7286703165545587</c:v>
                </c:pt>
                <c:pt idx="1791">
                  <c:v>2.728393432338053</c:v>
                </c:pt>
                <c:pt idx="1792">
                  <c:v>2.7281159499542929</c:v>
                </c:pt>
                <c:pt idx="1793">
                  <c:v>2.7278378785069179</c:v>
                </c:pt>
                <c:pt idx="1794">
                  <c:v>2.7275592271461671</c:v>
                </c:pt>
                <c:pt idx="1795">
                  <c:v>2.727280005068057</c:v>
                </c:pt>
                <c:pt idx="1796">
                  <c:v>2.7270002215135629</c:v>
                </c:pt>
                <c:pt idx="1797">
                  <c:v>2.7267198857677846</c:v>
                </c:pt>
                <c:pt idx="1798">
                  <c:v>2.726439007159108</c:v>
                </c:pt>
                <c:pt idx="1799">
                  <c:v>2.7261575950583574</c:v>
                </c:pt>
                <c:pt idx="1800">
                  <c:v>2.7258756588779414</c:v>
                </c:pt>
                <c:pt idx="1801">
                  <c:v>2.7255932080709866</c:v>
                </c:pt>
                <c:pt idx="1802">
                  <c:v>2.7253102521304711</c:v>
                </c:pt>
                <c:pt idx="1803">
                  <c:v>2.725026800588346</c:v>
                </c:pt>
                <c:pt idx="1804">
                  <c:v>2.7247428630146504</c:v>
                </c:pt>
                <c:pt idx="1805">
                  <c:v>2.7244584490166233</c:v>
                </c:pt>
                <c:pt idx="1806">
                  <c:v>2.7241735682378008</c:v>
                </c:pt>
                <c:pt idx="1807">
                  <c:v>2.7238882303571184</c:v>
                </c:pt>
                <c:pt idx="1808">
                  <c:v>2.7236024450879932</c:v>
                </c:pt>
                <c:pt idx="1809">
                  <c:v>2.7233162221774134</c:v>
                </c:pt>
                <c:pt idx="1810">
                  <c:v>2.7230295714050117</c:v>
                </c:pt>
                <c:pt idx="1811">
                  <c:v>2.7227425025821388</c:v>
                </c:pt>
                <c:pt idx="1812">
                  <c:v>2.722455025550929</c:v>
                </c:pt>
                <c:pt idx="1813">
                  <c:v>2.7221671501833602</c:v>
                </c:pt>
                <c:pt idx="1814">
                  <c:v>2.7218788863803089</c:v>
                </c:pt>
                <c:pt idx="1815">
                  <c:v>2.7215902440706037</c:v>
                </c:pt>
                <c:pt idx="1816">
                  <c:v>2.7213012332100659</c:v>
                </c:pt>
                <c:pt idx="1817">
                  <c:v>2.721011863780554</c:v>
                </c:pt>
                <c:pt idx="1818">
                  <c:v>2.7207221457889976</c:v>
                </c:pt>
                <c:pt idx="1819">
                  <c:v>2.7204320892664313</c:v>
                </c:pt>
                <c:pt idx="1820">
                  <c:v>2.7201417042670224</c:v>
                </c:pt>
                <c:pt idx="1821">
                  <c:v>2.7198510008670946</c:v>
                </c:pt>
                <c:pt idx="1822">
                  <c:v>2.7195599891641473</c:v>
                </c:pt>
                <c:pt idx="1823">
                  <c:v>2.719268679275876</c:v>
                </c:pt>
                <c:pt idx="1824">
                  <c:v>2.7189770813391831</c:v>
                </c:pt>
                <c:pt idx="1825">
                  <c:v>2.7186852055091877</c:v>
                </c:pt>
                <c:pt idx="1826">
                  <c:v>2.7183930619582375</c:v>
                </c:pt>
                <c:pt idx="1827">
                  <c:v>2.7181006608749105</c:v>
                </c:pt>
                <c:pt idx="1828">
                  <c:v>2.7178080124630193</c:v>
                </c:pt>
                <c:pt idx="1829">
                  <c:v>2.7175151269406097</c:v>
                </c:pt>
                <c:pt idx="1830">
                  <c:v>2.7172220145389621</c:v>
                </c:pt>
                <c:pt idx="1831">
                  <c:v>2.7169286855015842</c:v>
                </c:pt>
                <c:pt idx="1832">
                  <c:v>2.7166351500832113</c:v>
                </c:pt>
                <c:pt idx="1833">
                  <c:v>2.7163414185487924</c:v>
                </c:pt>
                <c:pt idx="1834">
                  <c:v>2.7160475011724903</c:v>
                </c:pt>
                <c:pt idx="1835">
                  <c:v>2.7157534082366661</c:v>
                </c:pt>
                <c:pt idx="1836">
                  <c:v>2.7154591500308736</c:v>
                </c:pt>
                <c:pt idx="1837">
                  <c:v>2.7151647368508502</c:v>
                </c:pt>
                <c:pt idx="1838">
                  <c:v>2.7148701789975012</c:v>
                </c:pt>
                <c:pt idx="1839">
                  <c:v>2.7145754867758951</c:v>
                </c:pt>
                <c:pt idx="1840">
                  <c:v>2.7142806704942477</c:v>
                </c:pt>
                <c:pt idx="1841">
                  <c:v>2.7139857404629164</c:v>
                </c:pt>
                <c:pt idx="1842">
                  <c:v>2.7136907069933867</c:v>
                </c:pt>
                <c:pt idx="1843">
                  <c:v>2.7133955803972616</c:v>
                </c:pt>
                <c:pt idx="1844">
                  <c:v>2.7131003709852597</c:v>
                </c:pt>
                <c:pt idx="1845">
                  <c:v>2.712805089066201</c:v>
                </c:pt>
                <c:pt idx="1846">
                  <c:v>2.7125097449460021</c:v>
                </c:pt>
                <c:pt idx="1847">
                  <c:v>2.7122143489266755</c:v>
                </c:pt>
                <c:pt idx="1848">
                  <c:v>2.7119189113053217</c:v>
                </c:pt>
                <c:pt idx="1849">
                  <c:v>2.7116234423731305</c:v>
                </c:pt>
                <c:pt idx="1850">
                  <c:v>2.7113279524143818</c:v>
                </c:pt>
                <c:pt idx="1851">
                  <c:v>2.7110324517054485</c:v>
                </c:pt>
                <c:pt idx="1852">
                  <c:v>2.7107369505138008</c:v>
                </c:pt>
                <c:pt idx="1853">
                  <c:v>2.7104414590970176</c:v>
                </c:pt>
                <c:pt idx="1854">
                  <c:v>2.7101459877017957</c:v>
                </c:pt>
                <c:pt idx="1855">
                  <c:v>2.7098505465629641</c:v>
                </c:pt>
                <c:pt idx="1856">
                  <c:v>2.7095551459025042</c:v>
                </c:pt>
                <c:pt idx="1857">
                  <c:v>2.7092597959285643</c:v>
                </c:pt>
                <c:pt idx="1858">
                  <c:v>2.7089645068344943</c:v>
                </c:pt>
                <c:pt idx="1859">
                  <c:v>2.7086692887978652</c:v>
                </c:pt>
                <c:pt idx="1860">
                  <c:v>2.7083741519795077</c:v>
                </c:pt>
                <c:pt idx="1861">
                  <c:v>2.7080791065225465</c:v>
                </c:pt>
                <c:pt idx="1862">
                  <c:v>2.7077841625514414</c:v>
                </c:pt>
                <c:pt idx="1863">
                  <c:v>2.7074893301710339</c:v>
                </c:pt>
                <c:pt idx="1864">
                  <c:v>2.7071946194656005</c:v>
                </c:pt>
                <c:pt idx="1865">
                  <c:v>2.7069000404979024</c:v>
                </c:pt>
                <c:pt idx="1866">
                  <c:v>2.7066056033082533</c:v>
                </c:pt>
                <c:pt idx="1867">
                  <c:v>2.706311317913582</c:v>
                </c:pt>
                <c:pt idx="1868">
                  <c:v>2.7060171943065021</c:v>
                </c:pt>
                <c:pt idx="1869">
                  <c:v>2.7057232424543942</c:v>
                </c:pt>
                <c:pt idx="1870">
                  <c:v>2.7054294722984857</c:v>
                </c:pt>
                <c:pt idx="1871">
                  <c:v>2.7051358937529417</c:v>
                </c:pt>
                <c:pt idx="1872">
                  <c:v>2.704842516703962</c:v>
                </c:pt>
                <c:pt idx="1873">
                  <c:v>2.7045493510088789</c:v>
                </c:pt>
                <c:pt idx="1874">
                  <c:v>2.7042564064952663</c:v>
                </c:pt>
                <c:pt idx="1875">
                  <c:v>2.703963692960063</c:v>
                </c:pt>
                <c:pt idx="1876">
                  <c:v>2.7036712201686819</c:v>
                </c:pt>
                <c:pt idx="1877">
                  <c:v>2.703378997854148</c:v>
                </c:pt>
                <c:pt idx="1878">
                  <c:v>2.70308703571623</c:v>
                </c:pt>
                <c:pt idx="1879">
                  <c:v>2.7027953434205889</c:v>
                </c:pt>
                <c:pt idx="1880">
                  <c:v>2.7025039305979224</c:v>
                </c:pt>
                <c:pt idx="1881">
                  <c:v>2.7022128068431273</c:v>
                </c:pt>
                <c:pt idx="1882">
                  <c:v>2.7019219817144666</c:v>
                </c:pt>
                <c:pt idx="1883">
                  <c:v>2.7016314647327411</c:v>
                </c:pt>
                <c:pt idx="1884">
                  <c:v>2.7013412653804716</c:v>
                </c:pt>
                <c:pt idx="1885">
                  <c:v>2.7010513931010922</c:v>
                </c:pt>
                <c:pt idx="1886">
                  <c:v>2.7007618572981462</c:v>
                </c:pt>
                <c:pt idx="1887">
                  <c:v>2.7004726673344939</c:v>
                </c:pt>
                <c:pt idx="1888">
                  <c:v>2.7001838325315286</c:v>
                </c:pt>
                <c:pt idx="1889">
                  <c:v>2.6998953621684016</c:v>
                </c:pt>
                <c:pt idx="1890">
                  <c:v>2.6996072654812528</c:v>
                </c:pt>
                <c:pt idx="1891">
                  <c:v>2.6993195516624557</c:v>
                </c:pt>
                <c:pt idx="1892">
                  <c:v>2.699032229859867</c:v>
                </c:pt>
                <c:pt idx="1893">
                  <c:v>2.6987453091760867</c:v>
                </c:pt>
                <c:pt idx="1894">
                  <c:v>2.6984587986677271</c:v>
                </c:pt>
                <c:pt idx="1895">
                  <c:v>2.6981727073446939</c:v>
                </c:pt>
                <c:pt idx="1896">
                  <c:v>2.6978870441694718</c:v>
                </c:pt>
                <c:pt idx="1897">
                  <c:v>2.6976018180564263</c:v>
                </c:pt>
                <c:pt idx="1898">
                  <c:v>2.6973170378711027</c:v>
                </c:pt>
                <c:pt idx="1899">
                  <c:v>2.6970327124295563</c:v>
                </c:pt>
                <c:pt idx="1900">
                  <c:v>2.6967488504976678</c:v>
                </c:pt>
                <c:pt idx="1901">
                  <c:v>2.696465460790487</c:v>
                </c:pt>
                <c:pt idx="1902">
                  <c:v>2.6961825519715759</c:v>
                </c:pt>
                <c:pt idx="1903">
                  <c:v>2.6959001326523704</c:v>
                </c:pt>
                <c:pt idx="1904">
                  <c:v>2.695618211391543</c:v>
                </c:pt>
                <c:pt idx="1905">
                  <c:v>2.6953367966943862</c:v>
                </c:pt>
                <c:pt idx="1906">
                  <c:v>2.6950558970121929</c:v>
                </c:pt>
                <c:pt idx="1907">
                  <c:v>2.6947755207416604</c:v>
                </c:pt>
                <c:pt idx="1908">
                  <c:v>2.6944956762242982</c:v>
                </c:pt>
                <c:pt idx="1909">
                  <c:v>2.6942163717458461</c:v>
                </c:pt>
                <c:pt idx="1910">
                  <c:v>2.6939376155357042</c:v>
                </c:pt>
                <c:pt idx="1911">
                  <c:v>2.6936594157663762</c:v>
                </c:pt>
                <c:pt idx="1912">
                  <c:v>2.6933817805529165</c:v>
                </c:pt>
                <c:pt idx="1913">
                  <c:v>2.6931047179523948</c:v>
                </c:pt>
                <c:pt idx="1914">
                  <c:v>2.6928282359633684</c:v>
                </c:pt>
                <c:pt idx="1915">
                  <c:v>2.6925523425253668</c:v>
                </c:pt>
                <c:pt idx="1916">
                  <c:v>2.6922770455183835</c:v>
                </c:pt>
                <c:pt idx="1917">
                  <c:v>2.692002352762386</c:v>
                </c:pt>
                <c:pt idx="1918">
                  <c:v>2.6917282720168245</c:v>
                </c:pt>
                <c:pt idx="1919">
                  <c:v>2.6914548109801704</c:v>
                </c:pt>
                <c:pt idx="1920">
                  <c:v>2.6911819772894421</c:v>
                </c:pt>
                <c:pt idx="1921">
                  <c:v>2.690909778519766</c:v>
                </c:pt>
                <c:pt idx="1922">
                  <c:v>2.6906382221839285</c:v>
                </c:pt>
                <c:pt idx="1923">
                  <c:v>2.6903673157319528</c:v>
                </c:pt>
                <c:pt idx="1924">
                  <c:v>2.6900970665506767</c:v>
                </c:pt>
                <c:pt idx="1925">
                  <c:v>2.6898274819633508</c:v>
                </c:pt>
                <c:pt idx="1926">
                  <c:v>2.6895585692292414</c:v>
                </c:pt>
                <c:pt idx="1927">
                  <c:v>2.6892903355432463</c:v>
                </c:pt>
                <c:pt idx="1928">
                  <c:v>2.6890227880355222</c:v>
                </c:pt>
                <c:pt idx="1929">
                  <c:v>2.688755933771124</c:v>
                </c:pt>
                <c:pt idx="1930">
                  <c:v>2.6884897797496503</c:v>
                </c:pt>
                <c:pt idx="1931">
                  <c:v>2.6882243329049089</c:v>
                </c:pt>
                <c:pt idx="1932">
                  <c:v>2.6879596001045845</c:v>
                </c:pt>
                <c:pt idx="1933">
                  <c:v>2.687695588149924</c:v>
                </c:pt>
                <c:pt idx="1934">
                  <c:v>2.6874323037754273</c:v>
                </c:pt>
                <c:pt idx="1935">
                  <c:v>2.687169753648555</c:v>
                </c:pt>
                <c:pt idx="1936">
                  <c:v>2.6869079443694419</c:v>
                </c:pt>
                <c:pt idx="1937">
                  <c:v>2.6866468824706264</c:v>
                </c:pt>
                <c:pt idx="1938">
                  <c:v>2.6863865744167867</c:v>
                </c:pt>
                <c:pt idx="1939">
                  <c:v>2.6861270266044874</c:v>
                </c:pt>
                <c:pt idx="1940">
                  <c:v>2.6858682453619451</c:v>
                </c:pt>
                <c:pt idx="1941">
                  <c:v>2.6856102369487935</c:v>
                </c:pt>
                <c:pt idx="1942">
                  <c:v>2.6853530075558676</c:v>
                </c:pt>
                <c:pt idx="1943">
                  <c:v>2.6850965633049961</c:v>
                </c:pt>
                <c:pt idx="1944">
                  <c:v>2.6848409102488042</c:v>
                </c:pt>
                <c:pt idx="1945">
                  <c:v>2.6845860543705289</c:v>
                </c:pt>
                <c:pt idx="1946">
                  <c:v>2.6843320015838401</c:v>
                </c:pt>
                <c:pt idx="1947">
                  <c:v>2.6840787577326792</c:v>
                </c:pt>
                <c:pt idx="1948">
                  <c:v>2.6838263285911061</c:v>
                </c:pt>
                <c:pt idx="1949">
                  <c:v>2.6835747198631519</c:v>
                </c:pt>
                <c:pt idx="1950">
                  <c:v>2.6833239371826885</c:v>
                </c:pt>
                <c:pt idx="1951">
                  <c:v>2.6830739861133055</c:v>
                </c:pt>
                <c:pt idx="1952">
                  <c:v>2.6828248721482004</c:v>
                </c:pt>
                <c:pt idx="1953">
                  <c:v>2.682576600710072</c:v>
                </c:pt>
                <c:pt idx="1954">
                  <c:v>2.682329177151034</c:v>
                </c:pt>
                <c:pt idx="1955">
                  <c:v>2.6820826067525312</c:v>
                </c:pt>
                <c:pt idx="1956">
                  <c:v>2.6818368947252669</c:v>
                </c:pt>
                <c:pt idx="1957">
                  <c:v>2.6815920462091483</c:v>
                </c:pt>
                <c:pt idx="1958">
                  <c:v>2.6813480662732272</c:v>
                </c:pt>
                <c:pt idx="1959">
                  <c:v>2.681104959915666</c:v>
                </c:pt>
                <c:pt idx="1960">
                  <c:v>2.6808627320637006</c:v>
                </c:pt>
                <c:pt idx="1961">
                  <c:v>2.6806213875736238</c:v>
                </c:pt>
                <c:pt idx="1962">
                  <c:v>2.680380931230772</c:v>
                </c:pt>
                <c:pt idx="1963">
                  <c:v>2.6801413677495227</c:v>
                </c:pt>
                <c:pt idx="1964">
                  <c:v>2.6799027017733019</c:v>
                </c:pt>
                <c:pt idx="1965">
                  <c:v>2.679664937874604</c:v>
                </c:pt>
                <c:pt idx="1966">
                  <c:v>2.6794280805550126</c:v>
                </c:pt>
                <c:pt idx="1967">
                  <c:v>2.6791921342452407</c:v>
                </c:pt>
                <c:pt idx="1968">
                  <c:v>2.6789571033051742</c:v>
                </c:pt>
                <c:pt idx="1969">
                  <c:v>2.6787229920239266</c:v>
                </c:pt>
                <c:pt idx="1970">
                  <c:v>2.6784898046199026</c:v>
                </c:pt>
                <c:pt idx="1971">
                  <c:v>2.6782575452408666</c:v>
                </c:pt>
                <c:pt idx="1972">
                  <c:v>2.6780262179640273</c:v>
                </c:pt>
                <c:pt idx="1973">
                  <c:v>2.6777958267961273</c:v>
                </c:pt>
                <c:pt idx="1974">
                  <c:v>2.6775663756735386</c:v>
                </c:pt>
                <c:pt idx="1975">
                  <c:v>2.6773378684623714</c:v>
                </c:pt>
                <c:pt idx="1976">
                  <c:v>2.6771103089585897</c:v>
                </c:pt>
                <c:pt idx="1977">
                  <c:v>2.6768837008881334</c:v>
                </c:pt>
                <c:pt idx="1978">
                  <c:v>2.6766580479070528</c:v>
                </c:pt>
                <c:pt idx="1979">
                  <c:v>2.6764333536016474</c:v>
                </c:pt>
                <c:pt idx="1980">
                  <c:v>2.6762096214886117</c:v>
                </c:pt>
                <c:pt idx="1981">
                  <c:v>2.675986855015196</c:v>
                </c:pt>
                <c:pt idx="1982">
                  <c:v>2.6757650575593677</c:v>
                </c:pt>
                <c:pt idx="1983">
                  <c:v>2.6755442324299832</c:v>
                </c:pt>
                <c:pt idx="1984">
                  <c:v>2.6753243828669677</c:v>
                </c:pt>
                <c:pt idx="1985">
                  <c:v>2.6751055120415028</c:v>
                </c:pt>
                <c:pt idx="1986">
                  <c:v>2.6748876230562213</c:v>
                </c:pt>
                <c:pt idx="1987">
                  <c:v>2.6746707189454062</c:v>
                </c:pt>
                <c:pt idx="1988">
                  <c:v>2.674454802675204</c:v>
                </c:pt>
                <c:pt idx="1989">
                  <c:v>2.6742398771438372</c:v>
                </c:pt>
                <c:pt idx="1990">
                  <c:v>2.6740259451818296</c:v>
                </c:pt>
                <c:pt idx="1991">
                  <c:v>2.6738130095522363</c:v>
                </c:pt>
                <c:pt idx="1992">
                  <c:v>2.6736010729508788</c:v>
                </c:pt>
                <c:pt idx="1993">
                  <c:v>2.6733901380065919</c:v>
                </c:pt>
                <c:pt idx="1994">
                  <c:v>2.6731802072814697</c:v>
                </c:pt>
                <c:pt idx="1995">
                  <c:v>2.6729712832711252</c:v>
                </c:pt>
                <c:pt idx="1996">
                  <c:v>2.6727633684049539</c:v>
                </c:pt>
                <c:pt idx="1997">
                  <c:v>2.6725564650463984</c:v>
                </c:pt>
                <c:pt idx="1998">
                  <c:v>2.6723505754932302</c:v>
                </c:pt>
                <c:pt idx="1999">
                  <c:v>2.6721457019778274</c:v>
                </c:pt>
                <c:pt idx="2000">
                  <c:v>2.67194184666746</c:v>
                </c:pt>
                <c:pt idx="2001">
                  <c:v>2.6717390116645876</c:v>
                </c:pt>
                <c:pt idx="2002">
                  <c:v>2.6715371990071568</c:v>
                </c:pt>
                <c:pt idx="2003">
                  <c:v>2.6713364106689022</c:v>
                </c:pt>
                <c:pt idx="2004">
                  <c:v>2.6711366485596599</c:v>
                </c:pt>
                <c:pt idx="2005">
                  <c:v>2.6709379145256835</c:v>
                </c:pt>
                <c:pt idx="2006">
                  <c:v>2.67074021034996</c:v>
                </c:pt>
                <c:pt idx="2007">
                  <c:v>2.6705435377525393</c:v>
                </c:pt>
                <c:pt idx="2008">
                  <c:v>2.6703478983908613</c:v>
                </c:pt>
                <c:pt idx="2009">
                  <c:v>2.6701532938600967</c:v>
                </c:pt>
                <c:pt idx="2010">
                  <c:v>2.6699597256934831</c:v>
                </c:pt>
                <c:pt idx="2011">
                  <c:v>2.6697671953626694</c:v>
                </c:pt>
                <c:pt idx="2012">
                  <c:v>2.6695757042780661</c:v>
                </c:pt>
                <c:pt idx="2013">
                  <c:v>2.6693852537892031</c:v>
                </c:pt>
                <c:pt idx="2014">
                  <c:v>2.6691958451850817</c:v>
                </c:pt>
                <c:pt idx="2015">
                  <c:v>2.669007479694542</c:v>
                </c:pt>
                <c:pt idx="2016">
                  <c:v>2.6688201584866285</c:v>
                </c:pt>
                <c:pt idx="2017">
                  <c:v>2.6686338826709561</c:v>
                </c:pt>
                <c:pt idx="2018">
                  <c:v>2.6684486532980931</c:v>
                </c:pt>
                <c:pt idx="2019">
                  <c:v>2.6682644713599348</c:v>
                </c:pt>
                <c:pt idx="2020">
                  <c:v>2.6680813377900847</c:v>
                </c:pt>
                <c:pt idx="2021">
                  <c:v>2.6678992534642414</c:v>
                </c:pt>
                <c:pt idx="2022">
                  <c:v>2.6677182192005899</c:v>
                </c:pt>
                <c:pt idx="2023">
                  <c:v>2.6675382357601891</c:v>
                </c:pt>
                <c:pt idx="2024">
                  <c:v>2.6673593038473751</c:v>
                </c:pt>
                <c:pt idx="2025">
                  <c:v>2.6671814241101535</c:v>
                </c:pt>
                <c:pt idx="2026">
                  <c:v>2.6670045971406036</c:v>
                </c:pt>
                <c:pt idx="2027">
                  <c:v>2.666828823475285</c:v>
                </c:pt>
                <c:pt idx="2028">
                  <c:v>2.6666541035956448</c:v>
                </c:pt>
                <c:pt idx="2029">
                  <c:v>2.6664804379284264</c:v>
                </c:pt>
                <c:pt idx="2030">
                  <c:v>2.6663078268460834</c:v>
                </c:pt>
                <c:pt idx="2031">
                  <c:v>2.6661362706671992</c:v>
                </c:pt>
                <c:pt idx="2032">
                  <c:v>2.6659657696569004</c:v>
                </c:pt>
                <c:pt idx="2033">
                  <c:v>2.66579632402728</c:v>
                </c:pt>
                <c:pt idx="2034">
                  <c:v>2.6656279339378179</c:v>
                </c:pt>
                <c:pt idx="2035">
                  <c:v>2.6654605994958125</c:v>
                </c:pt>
                <c:pt idx="2036">
                  <c:v>2.6652943207567974</c:v>
                </c:pt>
                <c:pt idx="2037">
                  <c:v>2.66512909772498</c:v>
                </c:pt>
                <c:pt idx="2038">
                  <c:v>2.6649649303536682</c:v>
                </c:pt>
                <c:pt idx="2039">
                  <c:v>2.6648018185457012</c:v>
                </c:pt>
                <c:pt idx="2040">
                  <c:v>2.6646397621538904</c:v>
                </c:pt>
                <c:pt idx="2041">
                  <c:v>2.6644787609814484</c:v>
                </c:pt>
                <c:pt idx="2042">
                  <c:v>2.6643188147824302</c:v>
                </c:pt>
                <c:pt idx="2043">
                  <c:v>2.6641599232621709</c:v>
                </c:pt>
                <c:pt idx="2044">
                  <c:v>2.664002086077728</c:v>
                </c:pt>
                <c:pt idx="2045">
                  <c:v>2.6638453028383191</c:v>
                </c:pt>
                <c:pt idx="2046">
                  <c:v>2.6636895731057679</c:v>
                </c:pt>
                <c:pt idx="2047">
                  <c:v>2.663534896394947</c:v>
                </c:pt>
                <c:pt idx="2048">
                  <c:v>2.6633812721742189</c:v>
                </c:pt>
                <c:pt idx="2049">
                  <c:v>2.6632286998658894</c:v>
                </c:pt>
                <c:pt idx="2050">
                  <c:v>2.6630771788466441</c:v>
                </c:pt>
                <c:pt idx="2051">
                  <c:v>2.6629267084480044</c:v>
                </c:pt>
                <c:pt idx="2052">
                  <c:v>2.662777287956767</c:v>
                </c:pt>
                <c:pt idx="2053">
                  <c:v>2.6626289166154602</c:v>
                </c:pt>
                <c:pt idx="2054">
                  <c:v>2.6624815936227857</c:v>
                </c:pt>
                <c:pt idx="2055">
                  <c:v>2.6623353181340694</c:v>
                </c:pt>
                <c:pt idx="2056">
                  <c:v>2.6621900892617143</c:v>
                </c:pt>
                <c:pt idx="2057">
                  <c:v>2.6620459060756452</c:v>
                </c:pt>
                <c:pt idx="2058">
                  <c:v>2.6619027676037619</c:v>
                </c:pt>
                <c:pt idx="2059">
                  <c:v>2.6617606728323855</c:v>
                </c:pt>
                <c:pt idx="2060">
                  <c:v>2.6616196207067122</c:v>
                </c:pt>
                <c:pt idx="2061">
                  <c:v>2.6614796101312592</c:v>
                </c:pt>
                <c:pt idx="2062">
                  <c:v>2.6613406399703186</c:v>
                </c:pt>
                <c:pt idx="2063">
                  <c:v>2.6612027090484029</c:v>
                </c:pt>
                <c:pt idx="2064">
                  <c:v>2.6610658161506939</c:v>
                </c:pt>
                <c:pt idx="2065">
                  <c:v>2.6609299600234957</c:v>
                </c:pt>
                <c:pt idx="2066">
                  <c:v>2.6607951393746805</c:v>
                </c:pt>
                <c:pt idx="2067">
                  <c:v>2.6606613528741327</c:v>
                </c:pt>
                <c:pt idx="2068">
                  <c:v>2.6605285991542038</c:v>
                </c:pt>
                <c:pt idx="2069">
                  <c:v>2.6603968768101525</c:v>
                </c:pt>
                <c:pt idx="2070">
                  <c:v>2.6602661844005957</c:v>
                </c:pt>
                <c:pt idx="2071">
                  <c:v>2.6601365204479483</c:v>
                </c:pt>
                <c:pt idx="2072">
                  <c:v>2.6600078834388743</c:v>
                </c:pt>
                <c:pt idx="2073">
                  <c:v>2.6598802718247239</c:v>
                </c:pt>
                <c:pt idx="2074">
                  <c:v>2.6597536840219811</c:v>
                </c:pt>
                <c:pt idx="2075">
                  <c:v>2.6596281184127029</c:v>
                </c:pt>
                <c:pt idx="2076">
                  <c:v>2.6595035733449617</c:v>
                </c:pt>
                <c:pt idx="2077">
                  <c:v>2.6593800471332822</c:v>
                </c:pt>
                <c:pt idx="2078">
                  <c:v>2.6592575380590819</c:v>
                </c:pt>
                <c:pt idx="2079">
                  <c:v>2.6591360443711092</c:v>
                </c:pt>
                <c:pt idx="2080">
                  <c:v>2.6590155642858773</c:v>
                </c:pt>
                <c:pt idx="2081">
                  <c:v>2.6588960959881005</c:v>
                </c:pt>
                <c:pt idx="2082">
                  <c:v>2.658777637631125</c:v>
                </c:pt>
                <c:pt idx="2083">
                  <c:v>2.6586601873373668</c:v>
                </c:pt>
                <c:pt idx="2084">
                  <c:v>2.658543743198734</c:v>
                </c:pt>
                <c:pt idx="2085">
                  <c:v>2.6584283032770619</c:v>
                </c:pt>
                <c:pt idx="2086">
                  <c:v>2.6583138656045402</c:v>
                </c:pt>
                <c:pt idx="2087">
                  <c:v>2.6582004281841338</c:v>
                </c:pt>
                <c:pt idx="2088">
                  <c:v>2.6580876615229609</c:v>
                </c:pt>
                <c:pt idx="2089">
                  <c:v>2.6579750110574607</c:v>
                </c:pt>
                <c:pt idx="2090">
                  <c:v>2.6578624697364859</c:v>
                </c:pt>
                <c:pt idx="2091">
                  <c:v>2.6577500396300717</c:v>
                </c:pt>
                <c:pt idx="2092">
                  <c:v>2.6576377228191452</c:v>
                </c:pt>
                <c:pt idx="2093">
                  <c:v>2.6575255213954758</c:v>
                </c:pt>
                <c:pt idx="2094">
                  <c:v>2.6574134374616278</c:v>
                </c:pt>
                <c:pt idx="2095">
                  <c:v>2.657301473130897</c:v>
                </c:pt>
                <c:pt idx="2096">
                  <c:v>2.6571896305272662</c:v>
                </c:pt>
                <c:pt idx="2097">
                  <c:v>2.657077911785338</c:v>
                </c:pt>
                <c:pt idx="2098">
                  <c:v>2.656966319050281</c:v>
                </c:pt>
                <c:pt idx="2099">
                  <c:v>2.6568548544777664</c:v>
                </c:pt>
                <c:pt idx="2100">
                  <c:v>2.6567435202339063</c:v>
                </c:pt>
                <c:pt idx="2101">
                  <c:v>2.6566323184951846</c:v>
                </c:pt>
                <c:pt idx="2102">
                  <c:v>2.6565212514483956</c:v>
                </c:pt>
                <c:pt idx="2103">
                  <c:v>2.6564103212905699</c:v>
                </c:pt>
                <c:pt idx="2104">
                  <c:v>2.6562995302289081</c:v>
                </c:pt>
                <c:pt idx="2105">
                  <c:v>2.6561888804807046</c:v>
                </c:pt>
                <c:pt idx="2106">
                  <c:v>2.6560783742732719</c:v>
                </c:pt>
                <c:pt idx="2107">
                  <c:v>2.6559680138438688</c:v>
                </c:pt>
                <c:pt idx="2108">
                  <c:v>2.6558578014396188</c:v>
                </c:pt>
                <c:pt idx="2109">
                  <c:v>2.6557477393174245</c:v>
                </c:pt>
                <c:pt idx="2110">
                  <c:v>2.655637829743895</c:v>
                </c:pt>
                <c:pt idx="2111">
                  <c:v>2.6555280749952503</c:v>
                </c:pt>
                <c:pt idx="2112">
                  <c:v>2.655418477357244</c:v>
                </c:pt>
                <c:pt idx="2113">
                  <c:v>2.6553090391250667</c:v>
                </c:pt>
                <c:pt idx="2114">
                  <c:v>2.6551997626032589</c:v>
                </c:pt>
                <c:pt idx="2115">
                  <c:v>2.6550906501056173</c:v>
                </c:pt>
                <c:pt idx="2116">
                  <c:v>2.6549817039551002</c:v>
                </c:pt>
                <c:pt idx="2117">
                  <c:v>2.6548729264837272</c:v>
                </c:pt>
                <c:pt idx="2118">
                  <c:v>2.6547643200324824</c:v>
                </c:pt>
                <c:pt idx="2119">
                  <c:v>2.6546558869512151</c:v>
                </c:pt>
                <c:pt idx="2120">
                  <c:v>2.6545476295985284</c:v>
                </c:pt>
                <c:pt idx="2121">
                  <c:v>2.6544395503416842</c:v>
                </c:pt>
                <c:pt idx="2122">
                  <c:v>2.6543316515564834</c:v>
                </c:pt>
                <c:pt idx="2123">
                  <c:v>2.654223935627166</c:v>
                </c:pt>
                <c:pt idx="2124">
                  <c:v>2.6541164049462931</c:v>
                </c:pt>
                <c:pt idx="2125">
                  <c:v>2.6540090619146337</c:v>
                </c:pt>
                <c:pt idx="2126">
                  <c:v>2.6539019089410441</c:v>
                </c:pt>
                <c:pt idx="2127">
                  <c:v>2.6537949484423624</c:v>
                </c:pt>
                <c:pt idx="2128">
                  <c:v>2.6536881828432675</c:v>
                </c:pt>
                <c:pt idx="2129">
                  <c:v>2.6535816145761717</c:v>
                </c:pt>
                <c:pt idx="2130">
                  <c:v>2.6534752460810882</c:v>
                </c:pt>
                <c:pt idx="2131">
                  <c:v>2.6533690798055063</c:v>
                </c:pt>
                <c:pt idx="2132">
                  <c:v>2.6532631182042574</c:v>
                </c:pt>
                <c:pt idx="2133">
                  <c:v>2.6531573637393855</c:v>
                </c:pt>
                <c:pt idx="2134">
                  <c:v>2.6530518188800127</c:v>
                </c:pt>
                <c:pt idx="2135">
                  <c:v>2.6529464861022038</c:v>
                </c:pt>
                <c:pt idx="2136">
                  <c:v>2.6528413678888234</c:v>
                </c:pt>
                <c:pt idx="2137">
                  <c:v>2.6527364667293978</c:v>
                </c:pt>
                <c:pt idx="2138">
                  <c:v>2.6526317851199694</c:v>
                </c:pt>
                <c:pt idx="2139">
                  <c:v>2.652527325562954</c:v>
                </c:pt>
                <c:pt idx="2140">
                  <c:v>2.6524230905669897</c:v>
                </c:pt>
                <c:pt idx="2141">
                  <c:v>2.652319082646788</c:v>
                </c:pt>
                <c:pt idx="2142">
                  <c:v>2.6522153043229801</c:v>
                </c:pt>
                <c:pt idx="2143">
                  <c:v>2.6521117581219649</c:v>
                </c:pt>
                <c:pt idx="2144">
                  <c:v>2.6520084465757479</c:v>
                </c:pt>
                <c:pt idx="2145">
                  <c:v>2.6519053722217856</c:v>
                </c:pt>
                <c:pt idx="2146">
                  <c:v>2.6518025376028214</c:v>
                </c:pt>
                <c:pt idx="2147">
                  <c:v>2.6516999452667198</c:v>
                </c:pt>
                <c:pt idx="2148">
                  <c:v>2.6515975977663095</c:v>
                </c:pt>
                <c:pt idx="2149">
                  <c:v>2.651495497659202</c:v>
                </c:pt>
                <c:pt idx="2150">
                  <c:v>2.6513936475076294</c:v>
                </c:pt>
                <c:pt idx="2151">
                  <c:v>2.6512920498782706</c:v>
                </c:pt>
                <c:pt idx="2152">
                  <c:v>2.6511907073420722</c:v>
                </c:pt>
                <c:pt idx="2153">
                  <c:v>2.6510896224740765</c:v>
                </c:pt>
                <c:pt idx="2154">
                  <c:v>2.6509887978532372</c:v>
                </c:pt>
                <c:pt idx="2155">
                  <c:v>2.6508882360622392</c:v>
                </c:pt>
                <c:pt idx="2156">
                  <c:v>2.6507879396873157</c:v>
                </c:pt>
                <c:pt idx="2157">
                  <c:v>2.6506879113180593</c:v>
                </c:pt>
                <c:pt idx="2158">
                  <c:v>2.6505881535472353</c:v>
                </c:pt>
                <c:pt idx="2159">
                  <c:v>2.6504886689705902</c:v>
                </c:pt>
                <c:pt idx="2160">
                  <c:v>2.6503894601866596</c:v>
                </c:pt>
                <c:pt idx="2161">
                  <c:v>2.6502905297965706</c:v>
                </c:pt>
                <c:pt idx="2162">
                  <c:v>2.6501918804038467</c:v>
                </c:pt>
                <c:pt idx="2163">
                  <c:v>2.6500935146142086</c:v>
                </c:pt>
                <c:pt idx="2164">
                  <c:v>2.6499954350353705</c:v>
                </c:pt>
                <c:pt idx="2165">
                  <c:v>2.6498976442768378</c:v>
                </c:pt>
                <c:pt idx="2166">
                  <c:v>2.6498001449496997</c:v>
                </c:pt>
                <c:pt idx="2167">
                  <c:v>2.6497029396664229</c:v>
                </c:pt>
                <c:pt idx="2168">
                  <c:v>2.6496060310406397</c:v>
                </c:pt>
                <c:pt idx="2169">
                  <c:v>2.6495094216869375</c:v>
                </c:pt>
                <c:pt idx="2170">
                  <c:v>2.6494131142206414</c:v>
                </c:pt>
                <c:pt idx="2171">
                  <c:v>2.6493171112576031</c:v>
                </c:pt>
                <c:pt idx="2172">
                  <c:v>2.6492214154139755</c:v>
                </c:pt>
                <c:pt idx="2173">
                  <c:v>2.6491260293059966</c:v>
                </c:pt>
                <c:pt idx="2174">
                  <c:v>2.6490309555497698</c:v>
                </c:pt>
                <c:pt idx="2175">
                  <c:v>2.6489361967610305</c:v>
                </c:pt>
                <c:pt idx="2176">
                  <c:v>2.648841755554928</c:v>
                </c:pt>
                <c:pt idx="2177">
                  <c:v>2.6487476345457921</c:v>
                </c:pt>
                <c:pt idx="2178">
                  <c:v>2.6486538363469072</c:v>
                </c:pt>
                <c:pt idx="2179">
                  <c:v>2.6485603635702755</c:v>
                </c:pt>
                <c:pt idx="2180">
                  <c:v>2.6484672188263847</c:v>
                </c:pt>
                <c:pt idx="2181">
                  <c:v>2.648374404723973</c:v>
                </c:pt>
                <c:pt idx="2182">
                  <c:v>2.6482819238697894</c:v>
                </c:pt>
                <c:pt idx="2183">
                  <c:v>2.6481897788683559</c:v>
                </c:pt>
                <c:pt idx="2184">
                  <c:v>2.6480979723217244</c:v>
                </c:pt>
                <c:pt idx="2185">
                  <c:v>2.6480065068292351</c:v>
                </c:pt>
                <c:pt idx="2186">
                  <c:v>2.647915384987269</c:v>
                </c:pt>
                <c:pt idx="2187">
                  <c:v>2.6478246093890037</c:v>
                </c:pt>
                <c:pt idx="2188">
                  <c:v>2.6477341826241649</c:v>
                </c:pt>
                <c:pt idx="2189">
                  <c:v>2.6476441072787757</c:v>
                </c:pt>
                <c:pt idx="2190">
                  <c:v>2.6475543859349036</c:v>
                </c:pt>
                <c:pt idx="2191">
                  <c:v>2.6474650211704107</c:v>
                </c:pt>
                <c:pt idx="2192">
                  <c:v>2.6473760155586938</c:v>
                </c:pt>
                <c:pt idx="2193">
                  <c:v>2.6472873716684355</c:v>
                </c:pt>
                <c:pt idx="2194">
                  <c:v>2.6471990920633384</c:v>
                </c:pt>
                <c:pt idx="2195">
                  <c:v>2.6471111793018713</c:v>
                </c:pt>
                <c:pt idx="2196">
                  <c:v>2.6470236359370056</c:v>
                </c:pt>
                <c:pt idx="2197">
                  <c:v>2.6469364645159565</c:v>
                </c:pt>
                <c:pt idx="2198">
                  <c:v>2.6468496675799149</c:v>
                </c:pt>
                <c:pt idx="2199">
                  <c:v>2.6467632476637859</c:v>
                </c:pt>
                <c:pt idx="2200">
                  <c:v>2.6466772072959226</c:v>
                </c:pt>
                <c:pt idx="2201">
                  <c:v>2.6465915489978582</c:v>
                </c:pt>
                <c:pt idx="2202">
                  <c:v>2.6465062752840356</c:v>
                </c:pt>
                <c:pt idx="2203">
                  <c:v>2.6464213886615404</c:v>
                </c:pt>
                <c:pt idx="2204">
                  <c:v>2.6463368916298302</c:v>
                </c:pt>
                <c:pt idx="2205">
                  <c:v>2.6462527866804613</c:v>
                </c:pt>
                <c:pt idx="2206">
                  <c:v>2.6461690762968137</c:v>
                </c:pt>
                <c:pt idx="2207">
                  <c:v>2.6460857629538217</c:v>
                </c:pt>
                <c:pt idx="2208">
                  <c:v>2.646002849117695</c:v>
                </c:pt>
                <c:pt idx="2209">
                  <c:v>2.6459203372456459</c:v>
                </c:pt>
                <c:pt idx="2210">
                  <c:v>2.64583822978561</c:v>
                </c:pt>
                <c:pt idx="2211">
                  <c:v>2.6457565291759706</c:v>
                </c:pt>
                <c:pt idx="2212">
                  <c:v>2.6456752378452784</c:v>
                </c:pt>
                <c:pt idx="2213">
                  <c:v>2.6455943582119734</c:v>
                </c:pt>
                <c:pt idx="2214">
                  <c:v>2.6455138926841033</c:v>
                </c:pt>
                <c:pt idx="2215">
                  <c:v>2.645433843659049</c:v>
                </c:pt>
                <c:pt idx="2216">
                  <c:v>2.6453542135232335</c:v>
                </c:pt>
                <c:pt idx="2217">
                  <c:v>2.6452750046518494</c:v>
                </c:pt>
                <c:pt idx="2218">
                  <c:v>2.6451962194085721</c:v>
                </c:pt>
                <c:pt idx="2219">
                  <c:v>2.6451178601452789</c:v>
                </c:pt>
                <c:pt idx="2220">
                  <c:v>2.6450399292017628</c:v>
                </c:pt>
                <c:pt idx="2221">
                  <c:v>2.6449624289054539</c:v>
                </c:pt>
                <c:pt idx="2222">
                  <c:v>2.6448853615711321</c:v>
                </c:pt>
                <c:pt idx="2223">
                  <c:v>2.6448087295006446</c:v>
                </c:pt>
                <c:pt idx="2224">
                  <c:v>2.6447325349826207</c:v>
                </c:pt>
                <c:pt idx="2225">
                  <c:v>2.6446567802921885</c:v>
                </c:pt>
                <c:pt idx="2226">
                  <c:v>2.6445814676906907</c:v>
                </c:pt>
                <c:pt idx="2227">
                  <c:v>2.6445065994253993</c:v>
                </c:pt>
                <c:pt idx="2228">
                  <c:v>2.6444321777292301</c:v>
                </c:pt>
                <c:pt idx="2229">
                  <c:v>2.6443582048204606</c:v>
                </c:pt>
                <c:pt idx="2230">
                  <c:v>2.6442846829024438</c:v>
                </c:pt>
                <c:pt idx="2231">
                  <c:v>2.6442116141633254</c:v>
                </c:pt>
                <c:pt idx="2232">
                  <c:v>2.6441390007757617</c:v>
                </c:pt>
                <c:pt idx="2233">
                  <c:v>2.6440668448966287</c:v>
                </c:pt>
                <c:pt idx="2234">
                  <c:v>2.6439951486667477</c:v>
                </c:pt>
                <c:pt idx="2235">
                  <c:v>2.6439239142105984</c:v>
                </c:pt>
                <c:pt idx="2236">
                  <c:v>2.6438531436360342</c:v>
                </c:pt>
                <c:pt idx="2237">
                  <c:v>2.6437828390340066</c:v>
                </c:pt>
                <c:pt idx="2238">
                  <c:v>2.6437130024782762</c:v>
                </c:pt>
                <c:pt idx="2239">
                  <c:v>2.6436436360251396</c:v>
                </c:pt>
                <c:pt idx="2240">
                  <c:v>2.6435747417131439</c:v>
                </c:pt>
                <c:pt idx="2241">
                  <c:v>2.6435063215628101</c:v>
                </c:pt>
                <c:pt idx="2242">
                  <c:v>2.6434383775763535</c:v>
                </c:pt>
                <c:pt idx="2243">
                  <c:v>2.6433709117374065</c:v>
                </c:pt>
                <c:pt idx="2244">
                  <c:v>2.6433039260107445</c:v>
                </c:pt>
                <c:pt idx="2245">
                  <c:v>2.6432374223420054</c:v>
                </c:pt>
                <c:pt idx="2246">
                  <c:v>2.6431714026574196</c:v>
                </c:pt>
                <c:pt idx="2247">
                  <c:v>2.6431058688635334</c:v>
                </c:pt>
                <c:pt idx="2248">
                  <c:v>2.6430408228469395</c:v>
                </c:pt>
                <c:pt idx="2249">
                  <c:v>2.6429762664740033</c:v>
                </c:pt>
                <c:pt idx="2250">
                  <c:v>2.6429122015905957</c:v>
                </c:pt>
                <c:pt idx="2251">
                  <c:v>2.642848630021823</c:v>
                </c:pt>
                <c:pt idx="2252">
                  <c:v>2.6427855535717613</c:v>
                </c:pt>
                <c:pt idx="2253">
                  <c:v>2.6427229740231892</c:v>
                </c:pt>
                <c:pt idx="2254">
                  <c:v>2.6426608931373261</c:v>
                </c:pt>
                <c:pt idx="2255">
                  <c:v>2.6425993126535672</c:v>
                </c:pt>
                <c:pt idx="2256">
                  <c:v>2.642538234289229</c:v>
                </c:pt>
                <c:pt idx="2257">
                  <c:v>2.6424776597392809</c:v>
                </c:pt>
                <c:pt idx="2258">
                  <c:v>2.6424175906760965</c:v>
                </c:pt>
                <c:pt idx="2259">
                  <c:v>2.6423580287491952</c:v>
                </c:pt>
                <c:pt idx="2260">
                  <c:v>2.6422989755849877</c:v>
                </c:pt>
                <c:pt idx="2261">
                  <c:v>2.6422404327865272</c:v>
                </c:pt>
                <c:pt idx="2262">
                  <c:v>2.6421824019332578</c:v>
                </c:pt>
                <c:pt idx="2263">
                  <c:v>2.6421248845807686</c:v>
                </c:pt>
                <c:pt idx="2264">
                  <c:v>2.6420678822605503</c:v>
                </c:pt>
                <c:pt idx="2265">
                  <c:v>2.6420113964797491</c:v>
                </c:pt>
                <c:pt idx="2266">
                  <c:v>2.6419554287209275</c:v>
                </c:pt>
                <c:pt idx="2267">
                  <c:v>2.6418999804418286</c:v>
                </c:pt>
                <c:pt idx="2268">
                  <c:v>2.6418450530751367</c:v>
                </c:pt>
                <c:pt idx="2269">
                  <c:v>2.641790648028246</c:v>
                </c:pt>
                <c:pt idx="2270">
                  <c:v>2.6417367666830294</c:v>
                </c:pt>
                <c:pt idx="2271">
                  <c:v>2.6416834103956113</c:v>
                </c:pt>
                <c:pt idx="2272">
                  <c:v>2.6416305804961415</c:v>
                </c:pt>
                <c:pt idx="2273">
                  <c:v>2.6415782782885699</c:v>
                </c:pt>
                <c:pt idx="2274">
                  <c:v>2.6415265050504324</c:v>
                </c:pt>
                <c:pt idx="2275">
                  <c:v>2.6414752620326296</c:v>
                </c:pt>
                <c:pt idx="2276">
                  <c:v>2.6414245504592091</c:v>
                </c:pt>
                <c:pt idx="2277">
                  <c:v>2.6413743715271627</c:v>
                </c:pt>
                <c:pt idx="2278">
                  <c:v>2.6413247264062125</c:v>
                </c:pt>
                <c:pt idx="2279">
                  <c:v>2.6412756162386062</c:v>
                </c:pt>
                <c:pt idx="2280">
                  <c:v>2.6412270421389148</c:v>
                </c:pt>
                <c:pt idx="2281">
                  <c:v>2.6411790051938344</c:v>
                </c:pt>
                <c:pt idx="2282">
                  <c:v>2.6411315064619898</c:v>
                </c:pt>
                <c:pt idx="2283">
                  <c:v>2.6410845469737443</c:v>
                </c:pt>
                <c:pt idx="2284">
                  <c:v>2.6410381277310044</c:v>
                </c:pt>
                <c:pt idx="2285">
                  <c:v>2.6409922497070428</c:v>
                </c:pt>
                <c:pt idx="2286">
                  <c:v>2.6409469138463071</c:v>
                </c:pt>
                <c:pt idx="2287">
                  <c:v>2.6409021210642472</c:v>
                </c:pt>
                <c:pt idx="2288">
                  <c:v>2.6408578722471354</c:v>
                </c:pt>
                <c:pt idx="2289">
                  <c:v>2.6408141682519011</c:v>
                </c:pt>
                <c:pt idx="2290">
                  <c:v>2.6407710099059534</c:v>
                </c:pt>
                <c:pt idx="2291">
                  <c:v>2.6407283980070262</c:v>
                </c:pt>
                <c:pt idx="2292">
                  <c:v>2.6406863333230088</c:v>
                </c:pt>
                <c:pt idx="2293">
                  <c:v>2.640644816591796</c:v>
                </c:pt>
                <c:pt idx="2294">
                  <c:v>2.6406038485211307</c:v>
                </c:pt>
                <c:pt idx="2295">
                  <c:v>2.6405634297884553</c:v>
                </c:pt>
                <c:pt idx="2296">
                  <c:v>2.6405235610407694</c:v>
                </c:pt>
                <c:pt idx="2297">
                  <c:v>2.6404842428944844</c:v>
                </c:pt>
                <c:pt idx="2298">
                  <c:v>2.640445475935286</c:v>
                </c:pt>
                <c:pt idx="2299">
                  <c:v>2.6404072607180056</c:v>
                </c:pt>
                <c:pt idx="2300">
                  <c:v>2.6403695977664867</c:v>
                </c:pt>
                <c:pt idx="2301">
                  <c:v>2.6403324875734606</c:v>
                </c:pt>
                <c:pt idx="2302">
                  <c:v>2.6402959306004261</c:v>
                </c:pt>
                <c:pt idx="2303">
                  <c:v>2.6402599272775347</c:v>
                </c:pt>
                <c:pt idx="2304">
                  <c:v>2.6402244780034732</c:v>
                </c:pt>
                <c:pt idx="2305">
                  <c:v>2.6401895831453586</c:v>
                </c:pt>
                <c:pt idx="2306">
                  <c:v>2.640155243038635</c:v>
                </c:pt>
                <c:pt idx="2307">
                  <c:v>2.6401214579869734</c:v>
                </c:pt>
                <c:pt idx="2308">
                  <c:v>2.6400882282621732</c:v>
                </c:pt>
                <c:pt idx="2309">
                  <c:v>2.6400555541040767</c:v>
                </c:pt>
                <c:pt idx="2310">
                  <c:v>2.6400234357204804</c:v>
                </c:pt>
                <c:pt idx="2311">
                  <c:v>2.6399918732870518</c:v>
                </c:pt>
                <c:pt idx="2312">
                  <c:v>2.639960866947253</c:v>
                </c:pt>
                <c:pt idx="2313">
                  <c:v>2.6399304168122706</c:v>
                </c:pt>
                <c:pt idx="2314">
                  <c:v>2.6399005229609411</c:v>
                </c:pt>
                <c:pt idx="2315">
                  <c:v>2.6398711854396946</c:v>
                </c:pt>
                <c:pt idx="2316">
                  <c:v>2.6398424042624913</c:v>
                </c:pt>
                <c:pt idx="2317">
                  <c:v>2.6398141794107679</c:v>
                </c:pt>
                <c:pt idx="2318">
                  <c:v>2.6397865108333871</c:v>
                </c:pt>
                <c:pt idx="2319">
                  <c:v>2.6397593984465955</c:v>
                </c:pt>
                <c:pt idx="2320">
                  <c:v>2.6397328421339794</c:v>
                </c:pt>
                <c:pt idx="2321">
                  <c:v>2.6397068417464293</c:v>
                </c:pt>
                <c:pt idx="2322">
                  <c:v>2.6396813971021142</c:v>
                </c:pt>
                <c:pt idx="2323">
                  <c:v>2.6396565079864494</c:v>
                </c:pt>
                <c:pt idx="2324">
                  <c:v>2.6396321741520765</c:v>
                </c:pt>
                <c:pt idx="2325">
                  <c:v>2.6396083953188478</c:v>
                </c:pt>
                <c:pt idx="2326">
                  <c:v>2.6395851711738145</c:v>
                </c:pt>
                <c:pt idx="2327">
                  <c:v>2.6395625013712176</c:v>
                </c:pt>
                <c:pt idx="2328">
                  <c:v>2.6395403855324893</c:v>
                </c:pt>
                <c:pt idx="2329">
                  <c:v>2.6395188232462514</c:v>
                </c:pt>
                <c:pt idx="2330">
                  <c:v>2.6394978140683234</c:v>
                </c:pt>
                <c:pt idx="2331">
                  <c:v>2.6394773575217374</c:v>
                </c:pt>
                <c:pt idx="2332">
                  <c:v>2.6394574530967518</c:v>
                </c:pt>
                <c:pt idx="2333">
                  <c:v>2.639438100250874</c:v>
                </c:pt>
                <c:pt idx="2334">
                  <c:v>2.6394192984088907</c:v>
                </c:pt>
                <c:pt idx="2335">
                  <c:v>2.6394010469628912</c:v>
                </c:pt>
                <c:pt idx="2336">
                  <c:v>2.6393833452723108</c:v>
                </c:pt>
                <c:pt idx="2337">
                  <c:v>2.6393661926639704</c:v>
                </c:pt>
                <c:pt idx="2338">
                  <c:v>2.6393495884321188</c:v>
                </c:pt>
                <c:pt idx="2339">
                  <c:v>2.6393335318384898</c:v>
                </c:pt>
                <c:pt idx="2340">
                  <c:v>2.6393180221123496</c:v>
                </c:pt>
                <c:pt idx="2341">
                  <c:v>2.6393030584505639</c:v>
                </c:pt>
                <c:pt idx="2342">
                  <c:v>2.6392886400176616</c:v>
                </c:pt>
                <c:pt idx="2343">
                  <c:v>2.6392747659459013</c:v>
                </c:pt>
                <c:pt idx="2344">
                  <c:v>2.6392614353353503</c:v>
                </c:pt>
                <c:pt idx="2345">
                  <c:v>2.6392486472539614</c:v>
                </c:pt>
                <c:pt idx="2346">
                  <c:v>2.6392364007376572</c:v>
                </c:pt>
                <c:pt idx="2347">
                  <c:v>2.6392246947904199</c:v>
                </c:pt>
                <c:pt idx="2348">
                  <c:v>2.6392135283843841</c:v>
                </c:pt>
                <c:pt idx="2349">
                  <c:v>2.6392029004599378</c:v>
                </c:pt>
                <c:pt idx="2350">
                  <c:v>2.6391928099258184</c:v>
                </c:pt>
                <c:pt idx="2351">
                  <c:v>2.6391832556592294</c:v>
                </c:pt>
                <c:pt idx="2352">
                  <c:v>2.6391742365059452</c:v>
                </c:pt>
                <c:pt idx="2353">
                  <c:v>2.6391657512804332</c:v>
                </c:pt>
                <c:pt idx="2354">
                  <c:v>2.6391577987659698</c:v>
                </c:pt>
                <c:pt idx="2355">
                  <c:v>2.6391503777147745</c:v>
                </c:pt>
                <c:pt idx="2356">
                  <c:v>2.6391434868481292</c:v>
                </c:pt>
                <c:pt idx="2357">
                  <c:v>2.6391371248565232</c:v>
                </c:pt>
                <c:pt idx="2358">
                  <c:v>2.6391312903997872</c:v>
                </c:pt>
                <c:pt idx="2359">
                  <c:v>2.6391259821072421</c:v>
                </c:pt>
                <c:pt idx="2360">
                  <c:v>2.6391211985778367</c:v>
                </c:pt>
                <c:pt idx="2361">
                  <c:v>2.6391169383803157</c:v>
                </c:pt>
                <c:pt idx="2362">
                  <c:v>2.6391132000533641</c:v>
                </c:pt>
                <c:pt idx="2363">
                  <c:v>2.6391099821057731</c:v>
                </c:pt>
                <c:pt idx="2364">
                  <c:v>2.6391072830166067</c:v>
                </c:pt>
                <c:pt idx="2365">
                  <c:v>2.6391051012353701</c:v>
                </c:pt>
                <c:pt idx="2366">
                  <c:v>2.6391034351821845</c:v>
                </c:pt>
                <c:pt idx="2367">
                  <c:v>2.6391022832479631</c:v>
                </c:pt>
                <c:pt idx="2368">
                  <c:v>2.6391016437945947</c:v>
                </c:pt>
                <c:pt idx="2369">
                  <c:v>2.6391015151551338</c:v>
                </c:pt>
                <c:pt idx="2370">
                  <c:v>2.6391018956339822</c:v>
                </c:pt>
                <c:pt idx="2371">
                  <c:v>2.6391027835070919</c:v>
                </c:pt>
                <c:pt idx="2372">
                  <c:v>2.6391041770221588</c:v>
                </c:pt>
                <c:pt idx="2373">
                  <c:v>2.6391060743988253</c:v>
                </c:pt>
                <c:pt idx="2374">
                  <c:v>2.639108473828887</c:v>
                </c:pt>
                <c:pt idx="2375">
                  <c:v>2.6391113734765028</c:v>
                </c:pt>
                <c:pt idx="2376">
                  <c:v>2.6391147714784053</c:v>
                </c:pt>
                <c:pt idx="2377">
                  <c:v>2.6391186659441224</c:v>
                </c:pt>
                <c:pt idx="2378">
                  <c:v>2.639123054956197</c:v>
                </c:pt>
                <c:pt idx="2379">
                  <c:v>2.639127936570409</c:v>
                </c:pt>
                <c:pt idx="2380">
                  <c:v>2.6391333088160023</c:v>
                </c:pt>
                <c:pt idx="2381">
                  <c:v>2.6391391696959232</c:v>
                </c:pt>
                <c:pt idx="2382">
                  <c:v>2.6391455171870479</c:v>
                </c:pt>
                <c:pt idx="2383">
                  <c:v>2.6391523492404212</c:v>
                </c:pt>
                <c:pt idx="2384">
                  <c:v>2.6391596637815051</c:v>
                </c:pt>
                <c:pt idx="2385">
                  <c:v>2.6391674587104141</c:v>
                </c:pt>
                <c:pt idx="2386">
                  <c:v>2.6391757319021676</c:v>
                </c:pt>
                <c:pt idx="2387">
                  <c:v>2.6391844812069443</c:v>
                </c:pt>
                <c:pt idx="2388">
                  <c:v>2.6391937044503315</c:v>
                </c:pt>
                <c:pt idx="2389">
                  <c:v>2.639203399433582</c:v>
                </c:pt>
                <c:pt idx="2390">
                  <c:v>2.6392135639338763</c:v>
                </c:pt>
                <c:pt idx="2391">
                  <c:v>2.6392241957045881</c:v>
                </c:pt>
                <c:pt idx="2392">
                  <c:v>2.6392352924755444</c:v>
                </c:pt>
                <c:pt idx="2393">
                  <c:v>2.6392468519532977</c:v>
                </c:pt>
                <c:pt idx="2394">
                  <c:v>2.6392588718213985</c:v>
                </c:pt>
                <c:pt idx="2395">
                  <c:v>2.6392713497406657</c:v>
                </c:pt>
                <c:pt idx="2396">
                  <c:v>2.6392842833494656</c:v>
                </c:pt>
                <c:pt idx="2397">
                  <c:v>2.6392976702639919</c:v>
                </c:pt>
                <c:pt idx="2398">
                  <c:v>2.6393115080785448</c:v>
                </c:pt>
                <c:pt idx="2399">
                  <c:v>2.6393257943658157</c:v>
                </c:pt>
                <c:pt idx="2400">
                  <c:v>2.6393405266771737</c:v>
                </c:pt>
                <c:pt idx="2401">
                  <c:v>2.6393557025429568</c:v>
                </c:pt>
                <c:pt idx="2402">
                  <c:v>2.6393713194727577</c:v>
                </c:pt>
                <c:pt idx="2403">
                  <c:v>2.6393873749557204</c:v>
                </c:pt>
                <c:pt idx="2404">
                  <c:v>2.6394038664608321</c:v>
                </c:pt>
                <c:pt idx="2405">
                  <c:v>2.6394207914372259</c:v>
                </c:pt>
                <c:pt idx="2406">
                  <c:v>2.639438147314471</c:v>
                </c:pt>
                <c:pt idx="2407">
                  <c:v>2.639455931502884</c:v>
                </c:pt>
                <c:pt idx="2408">
                  <c:v>2.6394741413938192</c:v>
                </c:pt>
                <c:pt idx="2409">
                  <c:v>2.6394927743599848</c:v>
                </c:pt>
                <c:pt idx="2410">
                  <c:v>2.6395118277557383</c:v>
                </c:pt>
                <c:pt idx="2411">
                  <c:v>2.6395312989174036</c:v>
                </c:pt>
                <c:pt idx="2412">
                  <c:v>2.6395511851635716</c:v>
                </c:pt>
                <c:pt idx="2413">
                  <c:v>2.6395714837954176</c:v>
                </c:pt>
                <c:pt idx="2414">
                  <c:v>2.6395921920970067</c:v>
                </c:pt>
                <c:pt idx="2415">
                  <c:v>2.6396133073356136</c:v>
                </c:pt>
                <c:pt idx="2416">
                  <c:v>2.6396348267620304</c:v>
                </c:pt>
                <c:pt idx="2417">
                  <c:v>2.639656747610887</c:v>
                </c:pt>
                <c:pt idx="2418">
                  <c:v>2.6396790671009658</c:v>
                </c:pt>
                <c:pt idx="2419">
                  <c:v>2.63970178243552</c:v>
                </c:pt>
                <c:pt idx="2420">
                  <c:v>2.639724890802591</c:v>
                </c:pt>
                <c:pt idx="2421">
                  <c:v>2.6397483893753297</c:v>
                </c:pt>
                <c:pt idx="2422">
                  <c:v>2.6397722753123172</c:v>
                </c:pt>
                <c:pt idx="2423">
                  <c:v>2.6397965457578825</c:v>
                </c:pt>
                <c:pt idx="2424">
                  <c:v>2.6398211978424286</c:v>
                </c:pt>
                <c:pt idx="2425">
                  <c:v>2.6398462286827513</c:v>
                </c:pt>
                <c:pt idx="2426">
                  <c:v>2.6398716353823675</c:v>
                </c:pt>
                <c:pt idx="2427">
                  <c:v>2.6398974150318324</c:v>
                </c:pt>
                <c:pt idx="2428">
                  <c:v>2.6399235647090684</c:v>
                </c:pt>
                <c:pt idx="2429">
                  <c:v>2.6399500814796841</c:v>
                </c:pt>
                <c:pt idx="2430">
                  <c:v>2.6399769623973088</c:v>
                </c:pt>
                <c:pt idx="2431">
                  <c:v>2.6400042045039038</c:v>
                </c:pt>
                <c:pt idx="2432">
                  <c:v>2.6400318048300999</c:v>
                </c:pt>
                <c:pt idx="2433">
                  <c:v>2.6400597603955136</c:v>
                </c:pt>
                <c:pt idx="2434">
                  <c:v>2.6400880682090784</c:v>
                </c:pt>
                <c:pt idx="2435">
                  <c:v>2.6401167252693658</c:v>
                </c:pt>
                <c:pt idx="2436">
                  <c:v>2.6401457285649119</c:v>
                </c:pt>
                <c:pt idx="2437">
                  <c:v>2.6401750750745445</c:v>
                </c:pt>
                <c:pt idx="2438">
                  <c:v>2.6402047617677025</c:v>
                </c:pt>
                <c:pt idx="2439">
                  <c:v>2.6402347856047643</c:v>
                </c:pt>
                <c:pt idx="2440">
                  <c:v>2.6402651435373712</c:v>
                </c:pt>
                <c:pt idx="2441">
                  <c:v>2.6402958325087509</c:v>
                </c:pt>
                <c:pt idx="2442">
                  <c:v>2.6403268494540373</c:v>
                </c:pt>
                <c:pt idx="2443">
                  <c:v>2.6403581913006011</c:v>
                </c:pt>
                <c:pt idx="2444">
                  <c:v>2.6403898549683618</c:v>
                </c:pt>
                <c:pt idx="2445">
                  <c:v>2.6404218373701172</c:v>
                </c:pt>
                <c:pt idx="2446">
                  <c:v>2.6404541354118582</c:v>
                </c:pt>
                <c:pt idx="2447">
                  <c:v>2.6404867459930936</c:v>
                </c:pt>
                <c:pt idx="2448">
                  <c:v>2.6405196660071653</c:v>
                </c:pt>
                <c:pt idx="2449">
                  <c:v>2.6405528923415686</c:v>
                </c:pt>
                <c:pt idx="2450">
                  <c:v>2.6405864218782669</c:v>
                </c:pt>
                <c:pt idx="2451">
                  <c:v>2.6406202514940125</c:v>
                </c:pt>
                <c:pt idx="2452">
                  <c:v>2.6406543780606566</c:v>
                </c:pt>
                <c:pt idx="2453">
                  <c:v>2.6406887984454657</c:v>
                </c:pt>
                <c:pt idx="2454">
                  <c:v>2.6407235095114365</c:v>
                </c:pt>
                <c:pt idx="2455">
                  <c:v>2.6407585081176022</c:v>
                </c:pt>
                <c:pt idx="2456">
                  <c:v>2.6407937911193482</c:v>
                </c:pt>
                <c:pt idx="2457">
                  <c:v>2.640829355368719</c:v>
                </c:pt>
                <c:pt idx="2458">
                  <c:v>2.6408651977147244</c:v>
                </c:pt>
                <c:pt idx="2459">
                  <c:v>2.6409013150036502</c:v>
                </c:pt>
                <c:pt idx="2460">
                  <c:v>2.6409377040793562</c:v>
                </c:pt>
                <c:pt idx="2461">
                  <c:v>2.640974361783587</c:v>
                </c:pt>
                <c:pt idx="2462">
                  <c:v>2.6410112849562672</c:v>
                </c:pt>
                <c:pt idx="2463">
                  <c:v>2.6410484704358073</c:v>
                </c:pt>
                <c:pt idx="2464">
                  <c:v>2.6410859150593957</c:v>
                </c:pt>
                <c:pt idx="2465">
                  <c:v>2.6411236156633024</c:v>
                </c:pt>
                <c:pt idx="2466">
                  <c:v>2.6411615690831685</c:v>
                </c:pt>
                <c:pt idx="2467">
                  <c:v>2.6411997721543021</c:v>
                </c:pt>
                <c:pt idx="2468">
                  <c:v>2.641238221711967</c:v>
                </c:pt>
                <c:pt idx="2469">
                  <c:v>2.6412769145916801</c:v>
                </c:pt>
                <c:pt idx="2470">
                  <c:v>2.6413158476294853</c:v>
                </c:pt>
                <c:pt idx="2471">
                  <c:v>2.6413550176622516</c:v>
                </c:pt>
                <c:pt idx="2472">
                  <c:v>2.6413944215279503</c:v>
                </c:pt>
                <c:pt idx="2473">
                  <c:v>2.6414340560659397</c:v>
                </c:pt>
                <c:pt idx="2474">
                  <c:v>2.6414739181172404</c:v>
                </c:pt>
                <c:pt idx="2475">
                  <c:v>2.6415140045248173</c:v>
                </c:pt>
                <c:pt idx="2476">
                  <c:v>2.6415543121338536</c:v>
                </c:pt>
                <c:pt idx="2477">
                  <c:v>2.6415948377920198</c:v>
                </c:pt>
                <c:pt idx="2478">
                  <c:v>2.6416355783497503</c:v>
                </c:pt>
                <c:pt idx="2479">
                  <c:v>2.6416765306605083</c:v>
                </c:pt>
                <c:pt idx="2480">
                  <c:v>2.6417176915810541</c:v>
                </c:pt>
                <c:pt idx="2481">
                  <c:v>2.6417590579717074</c:v>
                </c:pt>
                <c:pt idx="2482">
                  <c:v>2.6418006266966105</c:v>
                </c:pt>
                <c:pt idx="2483">
                  <c:v>2.6418423946239851</c:v>
                </c:pt>
                <c:pt idx="2484">
                  <c:v>2.6418843586263918</c:v>
                </c:pt>
                <c:pt idx="2485">
                  <c:v>2.6419265155809826</c:v>
                </c:pt>
                <c:pt idx="2486">
                  <c:v>2.6419688623697555</c:v>
                </c:pt>
                <c:pt idx="2487">
                  <c:v>2.6420113958797997</c:v>
                </c:pt>
                <c:pt idx="2488">
                  <c:v>2.642054113003546</c:v>
                </c:pt>
                <c:pt idx="2489">
                  <c:v>2.642097010639008</c:v>
                </c:pt>
                <c:pt idx="2490">
                  <c:v>2.6421400856900297</c:v>
                </c:pt>
                <c:pt idx="2491">
                  <c:v>2.6421833350665187</c:v>
                </c:pt>
                <c:pt idx="2492">
                  <c:v>2.6422267556846841</c:v>
                </c:pt>
                <c:pt idx="2493">
                  <c:v>2.6422703444672728</c:v>
                </c:pt>
                <c:pt idx="2494">
                  <c:v>2.6423140983438</c:v>
                </c:pt>
                <c:pt idx="2495">
                  <c:v>2.6423580142507772</c:v>
                </c:pt>
                <c:pt idx="2496">
                  <c:v>2.6424020891319362</c:v>
                </c:pt>
                <c:pt idx="2497">
                  <c:v>2.6424463199384562</c:v>
                </c:pt>
                <c:pt idx="2498">
                  <c:v>2.6424907036291843</c:v>
                </c:pt>
                <c:pt idx="2499">
                  <c:v>2.6425352371708484</c:v>
                </c:pt>
                <c:pt idx="2500">
                  <c:v>2.6425799175382765</c:v>
                </c:pt>
                <c:pt idx="2501">
                  <c:v>2.6426247417146116</c:v>
                </c:pt>
                <c:pt idx="2502">
                  <c:v>2.6426697066915126</c:v>
                </c:pt>
                <c:pt idx="2503">
                  <c:v>2.6427148094693687</c:v>
                </c:pt>
                <c:pt idx="2504">
                  <c:v>2.6427600470575006</c:v>
                </c:pt>
                <c:pt idx="2505">
                  <c:v>2.6428054164743613</c:v>
                </c:pt>
                <c:pt idx="2506">
                  <c:v>2.642850914747735</c:v>
                </c:pt>
                <c:pt idx="2507">
                  <c:v>2.6428965389149326</c:v>
                </c:pt>
                <c:pt idx="2508">
                  <c:v>2.6429422860229819</c:v>
                </c:pt>
                <c:pt idx="2509">
                  <c:v>2.6429881531288237</c:v>
                </c:pt>
                <c:pt idx="2510">
                  <c:v>2.6430341372994905</c:v>
                </c:pt>
                <c:pt idx="2511">
                  <c:v>2.6430802356122953</c:v>
                </c:pt>
                <c:pt idx="2512">
                  <c:v>2.643126445155012</c:v>
                </c:pt>
                <c:pt idx="2513">
                  <c:v>2.6431727630260551</c:v>
                </c:pt>
                <c:pt idx="2514">
                  <c:v>2.6432191863346519</c:v>
                </c:pt>
                <c:pt idx="2515">
                  <c:v>2.6432657122010164</c:v>
                </c:pt>
                <c:pt idx="2516">
                  <c:v>2.6433123377565177</c:v>
                </c:pt>
                <c:pt idx="2517">
                  <c:v>2.6433590601438532</c:v>
                </c:pt>
                <c:pt idx="2518">
                  <c:v>2.6434058765171997</c:v>
                </c:pt>
                <c:pt idx="2519">
                  <c:v>2.6434527840423905</c:v>
                </c:pt>
                <c:pt idx="2520">
                  <c:v>2.6434997798970579</c:v>
                </c:pt>
                <c:pt idx="2521">
                  <c:v>2.6435468612707984</c:v>
                </c:pt>
                <c:pt idx="2522">
                  <c:v>2.6435940253653194</c:v>
                </c:pt>
                <c:pt idx="2523">
                  <c:v>2.6436412693945952</c:v>
                </c:pt>
                <c:pt idx="2524">
                  <c:v>2.6436885905850067</c:v>
                </c:pt>
                <c:pt idx="2525">
                  <c:v>2.6437359861754874</c:v>
                </c:pt>
                <c:pt idx="2526">
                  <c:v>2.6437834534176652</c:v>
                </c:pt>
                <c:pt idx="2527">
                  <c:v>2.6438309895759979</c:v>
                </c:pt>
                <c:pt idx="2528">
                  <c:v>2.6438785919279137</c:v>
                </c:pt>
                <c:pt idx="2529">
                  <c:v>2.6439262577639355</c:v>
                </c:pt>
                <c:pt idx="2530">
                  <c:v>2.6439739843878134</c:v>
                </c:pt>
                <c:pt idx="2531">
                  <c:v>2.6440217691166574</c:v>
                </c:pt>
                <c:pt idx="2532">
                  <c:v>2.6440696092810492</c:v>
                </c:pt>
                <c:pt idx="2533">
                  <c:v>2.6441175022251726</c:v>
                </c:pt>
                <c:pt idx="2534">
                  <c:v>2.6441654453069274</c:v>
                </c:pt>
                <c:pt idx="2535">
                  <c:v>2.6442134358980449</c:v>
                </c:pt>
                <c:pt idx="2536">
                  <c:v>2.6442614713842016</c:v>
                </c:pt>
                <c:pt idx="2537">
                  <c:v>2.6443095491651278</c:v>
                </c:pt>
                <c:pt idx="2538">
                  <c:v>2.6443576666547117</c:v>
                </c:pt>
                <c:pt idx="2539">
                  <c:v>2.6444058212811092</c:v>
                </c:pt>
                <c:pt idx="2540">
                  <c:v>2.6444540104868421</c:v>
                </c:pt>
                <c:pt idx="2541">
                  <c:v>2.6445022317288931</c:v>
                </c:pt>
                <c:pt idx="2542">
                  <c:v>2.6445504824788095</c:v>
                </c:pt>
                <c:pt idx="2543">
                  <c:v>2.6445987602227889</c:v>
                </c:pt>
                <c:pt idx="2544">
                  <c:v>2.6446470624617739</c:v>
                </c:pt>
                <c:pt idx="2545">
                  <c:v>2.6446953867115379</c:v>
                </c:pt>
                <c:pt idx="2546">
                  <c:v>2.6447437305027712</c:v>
                </c:pt>
                <c:pt idx="2547">
                  <c:v>2.6447920913811611</c:v>
                </c:pt>
                <c:pt idx="2548">
                  <c:v>2.6448404669074774</c:v>
                </c:pt>
                <c:pt idx="2549">
                  <c:v>2.6448888546576415</c:v>
                </c:pt>
                <c:pt idx="2550">
                  <c:v>2.644937252222805</c:v>
                </c:pt>
                <c:pt idx="2551">
                  <c:v>2.6449856572094252</c:v>
                </c:pt>
                <c:pt idx="2552">
                  <c:v>2.6450340672393282</c:v>
                </c:pt>
                <c:pt idx="2553">
                  <c:v>2.6450824799497767</c:v>
                </c:pt>
                <c:pt idx="2554">
                  <c:v>2.6451308929935395</c:v>
                </c:pt>
                <c:pt idx="2555">
                  <c:v>2.6451793040389457</c:v>
                </c:pt>
                <c:pt idx="2556">
                  <c:v>2.6452277107699516</c:v>
                </c:pt>
                <c:pt idx="2557">
                  <c:v>2.6452761108861895</c:v>
                </c:pt>
                <c:pt idx="2558">
                  <c:v>2.6453245021030298</c:v>
                </c:pt>
                <c:pt idx="2559">
                  <c:v>2.6453728821516256</c:v>
                </c:pt>
                <c:pt idx="2560">
                  <c:v>2.6454212487789692</c:v>
                </c:pt>
                <c:pt idx="2561">
                  <c:v>2.6454695997479329</c:v>
                </c:pt>
                <c:pt idx="2562">
                  <c:v>2.6455179328373162</c:v>
                </c:pt>
                <c:pt idx="2563">
                  <c:v>2.6455662458418909</c:v>
                </c:pt>
                <c:pt idx="2564">
                  <c:v>2.6456145365724337</c:v>
                </c:pt>
                <c:pt idx="2565">
                  <c:v>2.645662802855774</c:v>
                </c:pt>
                <c:pt idx="2566">
                  <c:v>2.6457110425348183</c:v>
                </c:pt>
                <c:pt idx="2567">
                  <c:v>2.645759253468591</c:v>
                </c:pt>
                <c:pt idx="2568">
                  <c:v>2.6458074335322626</c:v>
                </c:pt>
                <c:pt idx="2569">
                  <c:v>2.6458555806171784</c:v>
                </c:pt>
                <c:pt idx="2570">
                  <c:v>2.6459036926308834</c:v>
                </c:pt>
                <c:pt idx="2571">
                  <c:v>2.6459517674971509</c:v>
                </c:pt>
                <c:pt idx="2572">
                  <c:v>2.6459998031559979</c:v>
                </c:pt>
                <c:pt idx="2573">
                  <c:v>2.64604779756371</c:v>
                </c:pt>
                <c:pt idx="2574">
                  <c:v>2.6460957486928582</c:v>
                </c:pt>
                <c:pt idx="2575">
                  <c:v>2.6461436545323123</c:v>
                </c:pt>
                <c:pt idx="2576">
                  <c:v>2.6461915130872562</c:v>
                </c:pt>
                <c:pt idx="2577">
                  <c:v>2.6462393223792016</c:v>
                </c:pt>
                <c:pt idx="2578">
                  <c:v>2.6462870804459921</c:v>
                </c:pt>
                <c:pt idx="2579">
                  <c:v>2.6463347853418151</c:v>
                </c:pt>
                <c:pt idx="2580">
                  <c:v>2.6463824351372072</c:v>
                </c:pt>
                <c:pt idx="2581">
                  <c:v>2.6464300279190525</c:v>
                </c:pt>
                <c:pt idx="2582">
                  <c:v>2.6464775617905922</c:v>
                </c:pt>
                <c:pt idx="2583">
                  <c:v>2.6465250348714169</c:v>
                </c:pt>
                <c:pt idx="2584">
                  <c:v>2.6465724452974713</c:v>
                </c:pt>
                <c:pt idx="2585">
                  <c:v>2.6466197912210423</c:v>
                </c:pt>
                <c:pt idx="2586">
                  <c:v>2.646667070810762</c:v>
                </c:pt>
                <c:pt idx="2587">
                  <c:v>2.6467142822515908</c:v>
                </c:pt>
                <c:pt idx="2588">
                  <c:v>2.6467614237448154</c:v>
                </c:pt>
                <c:pt idx="2589">
                  <c:v>2.646808493508034</c:v>
                </c:pt>
                <c:pt idx="2590">
                  <c:v>2.6468554897751431</c:v>
                </c:pt>
                <c:pt idx="2591">
                  <c:v>2.6469024107963253</c:v>
                </c:pt>
                <c:pt idx="2592">
                  <c:v>2.6469492548380287</c:v>
                </c:pt>
                <c:pt idx="2593">
                  <c:v>2.6469960201829545</c:v>
                </c:pt>
                <c:pt idx="2594">
                  <c:v>2.6470427051300298</c:v>
                </c:pt>
                <c:pt idx="2595">
                  <c:v>2.647089307994396</c:v>
                </c:pt>
                <c:pt idx="2596">
                  <c:v>2.6471358271073755</c:v>
                </c:pt>
                <c:pt idx="2597">
                  <c:v>2.6471822608164555</c:v>
                </c:pt>
                <c:pt idx="2598">
                  <c:v>2.6472286074852587</c:v>
                </c:pt>
                <c:pt idx="2599">
                  <c:v>2.6472748654935137</c:v>
                </c:pt>
                <c:pt idx="2600">
                  <c:v>2.6473210332370267</c:v>
                </c:pt>
                <c:pt idx="2601">
                  <c:v>2.6473671091276572</c:v>
                </c:pt>
                <c:pt idx="2602">
                  <c:v>2.6474130915932768</c:v>
                </c:pt>
                <c:pt idx="2603">
                  <c:v>2.6474589790777414</c:v>
                </c:pt>
                <c:pt idx="2604">
                  <c:v>2.6475047700408556</c:v>
                </c:pt>
                <c:pt idx="2605">
                  <c:v>2.6475504629583351</c:v>
                </c:pt>
                <c:pt idx="2606">
                  <c:v>2.6475960563217695</c:v>
                </c:pt>
                <c:pt idx="2607">
                  <c:v>2.6476415486385854</c:v>
                </c:pt>
                <c:pt idx="2608">
                  <c:v>2.6476869384320043</c:v>
                </c:pt>
                <c:pt idx="2609">
                  <c:v>2.6477322251481219</c:v>
                </c:pt>
              </c:numCache>
            </c:numRef>
          </c:yVal>
          <c:smooth val="0"/>
        </c:ser>
        <c:ser>
          <c:idx val="1"/>
          <c:order val="1"/>
          <c:tx>
            <c:v>Anchor</c:v>
          </c:tx>
          <c:spPr>
            <a:ln w="28575">
              <a:noFill/>
            </a:ln>
          </c:spPr>
          <c:marker>
            <c:spPr>
              <a:solidFill>
                <a:srgbClr val="FFFF00"/>
              </a:solidFill>
            </c:spPr>
          </c:marker>
          <c:xVal>
            <c:numRef>
              <c:f>FittedCurve!$D$9:$D$24</c:f>
              <c:numCache>
                <c:formatCode>m/d/yyyy</c:formatCode>
                <c:ptCount val="16"/>
                <c:pt idx="0">
                  <c:v>41985</c:v>
                </c:pt>
                <c:pt idx="1">
                  <c:v>42168</c:v>
                </c:pt>
                <c:pt idx="2">
                  <c:v>42350</c:v>
                </c:pt>
                <c:pt idx="3">
                  <c:v>42715.5</c:v>
                </c:pt>
                <c:pt idx="4">
                  <c:v>43080.75</c:v>
                </c:pt>
                <c:pt idx="5">
                  <c:v>43811.25</c:v>
                </c:pt>
                <c:pt idx="6">
                  <c:v>44541.75</c:v>
                </c:pt>
                <c:pt idx="7">
                  <c:v>45637.5</c:v>
                </c:pt>
                <c:pt idx="8">
                  <c:v>46368</c:v>
                </c:pt>
                <c:pt idx="9">
                  <c:v>47463.75</c:v>
                </c:pt>
                <c:pt idx="10">
                  <c:v>49290</c:v>
                </c:pt>
                <c:pt idx="11">
                  <c:v>51116.25</c:v>
                </c:pt>
                <c:pt idx="12">
                  <c:v>52942.5</c:v>
                </c:pt>
                <c:pt idx="13">
                  <c:v>56595</c:v>
                </c:pt>
                <c:pt idx="14">
                  <c:v>60247.5</c:v>
                </c:pt>
                <c:pt idx="15">
                  <c:v>63900</c:v>
                </c:pt>
              </c:numCache>
            </c:numRef>
          </c:xVal>
          <c:yVal>
            <c:numRef>
              <c:f>FittedCurve!$E$9:$E$24</c:f>
              <c:numCache>
                <c:formatCode>General</c:formatCode>
                <c:ptCount val="16"/>
                <c:pt idx="0">
                  <c:v>0.12858807316340401</c:v>
                </c:pt>
                <c:pt idx="1">
                  <c:v>0.26804010154377272</c:v>
                </c:pt>
                <c:pt idx="2">
                  <c:v>0.41398417691466621</c:v>
                </c:pt>
                <c:pt idx="3">
                  <c:v>0.56444604241157725</c:v>
                </c:pt>
                <c:pt idx="4">
                  <c:v>0.88946983951176428</c:v>
                </c:pt>
                <c:pt idx="5">
                  <c:v>1.3591366917547814</c:v>
                </c:pt>
                <c:pt idx="6">
                  <c:v>1.628066521767962</c:v>
                </c:pt>
                <c:pt idx="7">
                  <c:v>1.9650293275804491</c:v>
                </c:pt>
                <c:pt idx="8">
                  <c:v>2.1232516520156364</c:v>
                </c:pt>
                <c:pt idx="9">
                  <c:v>2.3481914446398195</c:v>
                </c:pt>
                <c:pt idx="10">
                  <c:v>2.6289994403726502</c:v>
                </c:pt>
                <c:pt idx="11">
                  <c:v>2.7332250952833732</c:v>
                </c:pt>
                <c:pt idx="12">
                  <c:v>2.7674959053710291</c:v>
                </c:pt>
                <c:pt idx="13">
                  <c:v>2.6595817304381195</c:v>
                </c:pt>
                <c:pt idx="14">
                  <c:v>2.6492702174601988</c:v>
                </c:pt>
                <c:pt idx="15">
                  <c:v>2.7109029220153031</c:v>
                </c:pt>
              </c:numCache>
            </c:numRef>
          </c:yVal>
          <c:smooth val="0"/>
        </c:ser>
        <c:ser>
          <c:idx val="2"/>
          <c:order val="2"/>
          <c:tx>
            <c:v>Bonds</c:v>
          </c:tx>
          <c:spPr>
            <a:ln w="28575">
              <a:noFill/>
            </a:ln>
          </c:spPr>
          <c:xVal>
            <c:numRef>
              <c:f>Bonds!$F$9:$F$48</c:f>
              <c:numCache>
                <c:formatCode>m/d/yyyy</c:formatCode>
                <c:ptCount val="40"/>
                <c:pt idx="0">
                  <c:v>42026</c:v>
                </c:pt>
                <c:pt idx="1">
                  <c:v>42254</c:v>
                </c:pt>
                <c:pt idx="2">
                  <c:v>42345</c:v>
                </c:pt>
                <c:pt idx="3">
                  <c:v>42391</c:v>
                </c:pt>
                <c:pt idx="4">
                  <c:v>42620</c:v>
                </c:pt>
                <c:pt idx="5">
                  <c:v>42757</c:v>
                </c:pt>
                <c:pt idx="6">
                  <c:v>42972</c:v>
                </c:pt>
                <c:pt idx="7">
                  <c:v>42985</c:v>
                </c:pt>
                <c:pt idx="8">
                  <c:v>43166</c:v>
                </c:pt>
                <c:pt idx="9">
                  <c:v>43303</c:v>
                </c:pt>
                <c:pt idx="10">
                  <c:v>43531</c:v>
                </c:pt>
                <c:pt idx="11">
                  <c:v>43668</c:v>
                </c:pt>
                <c:pt idx="12">
                  <c:v>43715</c:v>
                </c:pt>
                <c:pt idx="13">
                  <c:v>43897</c:v>
                </c:pt>
                <c:pt idx="14">
                  <c:v>44081</c:v>
                </c:pt>
                <c:pt idx="15">
                  <c:v>44354</c:v>
                </c:pt>
                <c:pt idx="16">
                  <c:v>44446</c:v>
                </c:pt>
                <c:pt idx="17">
                  <c:v>44627</c:v>
                </c:pt>
                <c:pt idx="18">
                  <c:v>44811</c:v>
                </c:pt>
                <c:pt idx="19">
                  <c:v>45176</c:v>
                </c:pt>
                <c:pt idx="20">
                  <c:v>45542</c:v>
                </c:pt>
                <c:pt idx="21">
                  <c:v>45723</c:v>
                </c:pt>
                <c:pt idx="22">
                  <c:v>46728</c:v>
                </c:pt>
                <c:pt idx="23">
                  <c:v>47094</c:v>
                </c:pt>
                <c:pt idx="24">
                  <c:v>47824</c:v>
                </c:pt>
                <c:pt idx="25">
                  <c:v>48372</c:v>
                </c:pt>
                <c:pt idx="26">
                  <c:v>49194</c:v>
                </c:pt>
                <c:pt idx="27">
                  <c:v>49741</c:v>
                </c:pt>
                <c:pt idx="28">
                  <c:v>50746</c:v>
                </c:pt>
                <c:pt idx="29">
                  <c:v>51020</c:v>
                </c:pt>
                <c:pt idx="30">
                  <c:v>51477</c:v>
                </c:pt>
                <c:pt idx="31">
                  <c:v>52207</c:v>
                </c:pt>
                <c:pt idx="32">
                  <c:v>52618</c:v>
                </c:pt>
                <c:pt idx="33">
                  <c:v>52984</c:v>
                </c:pt>
                <c:pt idx="34">
                  <c:v>53668</c:v>
                </c:pt>
                <c:pt idx="35">
                  <c:v>54764</c:v>
                </c:pt>
                <c:pt idx="36">
                  <c:v>55722</c:v>
                </c:pt>
                <c:pt idx="37">
                  <c:v>56955</c:v>
                </c:pt>
                <c:pt idx="38">
                  <c:v>58462</c:v>
                </c:pt>
                <c:pt idx="39">
                  <c:v>61566</c:v>
                </c:pt>
              </c:numCache>
            </c:numRef>
          </c:xVal>
          <c:yVal>
            <c:numRef>
              <c:f>Bonds!$H$9:$H$48</c:f>
              <c:numCache>
                <c:formatCode>General</c:formatCode>
                <c:ptCount val="40"/>
                <c:pt idx="0">
                  <c:v>0.32480352535046281</c:v>
                </c:pt>
                <c:pt idx="1">
                  <c:v>0.36920304856986152</c:v>
                </c:pt>
                <c:pt idx="2">
                  <c:v>0.34264181359285428</c:v>
                </c:pt>
                <c:pt idx="3">
                  <c:v>0.42191101431391115</c:v>
                </c:pt>
                <c:pt idx="4">
                  <c:v>0.462877696598055</c:v>
                </c:pt>
                <c:pt idx="5">
                  <c:v>0.55624708041073434</c:v>
                </c:pt>
                <c:pt idx="6">
                  <c:v>0.62781726135575744</c:v>
                </c:pt>
                <c:pt idx="7">
                  <c:v>0.73733193240993777</c:v>
                </c:pt>
                <c:pt idx="8">
                  <c:v>0.83807333755012925</c:v>
                </c:pt>
                <c:pt idx="9">
                  <c:v>1.0013690963107054</c:v>
                </c:pt>
                <c:pt idx="10">
                  <c:v>1.0735081919885647</c:v>
                </c:pt>
                <c:pt idx="11">
                  <c:v>1.2133777394403364</c:v>
                </c:pt>
                <c:pt idx="12">
                  <c:v>1.189615830651463</c:v>
                </c:pt>
                <c:pt idx="13">
                  <c:v>1.2654140582299356</c:v>
                </c:pt>
                <c:pt idx="14">
                  <c:v>1.3405094773387276</c:v>
                </c:pt>
                <c:pt idx="15">
                  <c:v>1.3936344583370026</c:v>
                </c:pt>
                <c:pt idx="16">
                  <c:v>1.4508173840603393</c:v>
                </c:pt>
                <c:pt idx="17">
                  <c:v>1.4975522129146388</c:v>
                </c:pt>
                <c:pt idx="18">
                  <c:v>1.5952323839692704</c:v>
                </c:pt>
                <c:pt idx="19">
                  <c:v>1.6966024959988011</c:v>
                </c:pt>
                <c:pt idx="20">
                  <c:v>1.7992253984244564</c:v>
                </c:pt>
                <c:pt idx="21">
                  <c:v>1.7804087733643579</c:v>
                </c:pt>
                <c:pt idx="22">
                  <c:v>2.0066210748224655</c:v>
                </c:pt>
                <c:pt idx="23">
                  <c:v>2.0170570123506861</c:v>
                </c:pt>
                <c:pt idx="24">
                  <c:v>2.1879089848383542</c:v>
                </c:pt>
                <c:pt idx="25">
                  <c:v>2.2681605268352536</c:v>
                </c:pt>
                <c:pt idx="26">
                  <c:v>2.3584002247123603</c:v>
                </c:pt>
                <c:pt idx="27">
                  <c:v>2.4122870472804165</c:v>
                </c:pt>
                <c:pt idx="28">
                  <c:v>2.4397993181761999</c:v>
                </c:pt>
                <c:pt idx="29">
                  <c:v>2.4691005400705479</c:v>
                </c:pt>
                <c:pt idx="30">
                  <c:v>2.4990696033045641</c:v>
                </c:pt>
                <c:pt idx="31">
                  <c:v>2.5005212955122706</c:v>
                </c:pt>
                <c:pt idx="32">
                  <c:v>2.5456750667909951</c:v>
                </c:pt>
                <c:pt idx="33">
                  <c:v>2.5519281333901396</c:v>
                </c:pt>
                <c:pt idx="34">
                  <c:v>2.5202199773387757</c:v>
                </c:pt>
                <c:pt idx="35">
                  <c:v>2.5088510152393737</c:v>
                </c:pt>
                <c:pt idx="36">
                  <c:v>2.5277202980911722</c:v>
                </c:pt>
                <c:pt idx="37">
                  <c:v>2.4925479419670431</c:v>
                </c:pt>
                <c:pt idx="38">
                  <c:v>2.5021878155205046</c:v>
                </c:pt>
                <c:pt idx="39">
                  <c:v>2.5212237632985333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558952"/>
        <c:axId val="739558168"/>
      </c:scatterChart>
      <c:valAx>
        <c:axId val="739558952"/>
        <c:scaling>
          <c:orientation val="minMax"/>
          <c:max val="60000"/>
          <c:min val="41685"/>
        </c:scaling>
        <c:delete val="0"/>
        <c:axPos val="b"/>
        <c:majorGridlines>
          <c:spPr>
            <a:ln>
              <a:solidFill>
                <a:schemeClr val="bg1"/>
              </a:solidFill>
              <a:prstDash val="sysDot"/>
            </a:ln>
          </c:spPr>
        </c:majorGridlines>
        <c:numFmt formatCode="mmmyyyy" sourceLinked="0"/>
        <c:majorTickMark val="out"/>
        <c:minorTickMark val="none"/>
        <c:tickLblPos val="low"/>
        <c:spPr>
          <a:ln>
            <a:solidFill>
              <a:schemeClr val="bg1"/>
            </a:solidFill>
          </a:ln>
        </c:spPr>
        <c:crossAx val="739558168"/>
        <c:crosses val="autoZero"/>
        <c:crossBetween val="midCat"/>
        <c:majorUnit val="1826.25"/>
      </c:valAx>
      <c:valAx>
        <c:axId val="739558168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GB"/>
                  <a:t>Title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crossAx val="739558952"/>
        <c:crosses val="autoZero"/>
        <c:crossBetween val="midCat"/>
      </c:valAx>
      <c:spPr>
        <a:solidFill>
          <a:schemeClr val="tx1"/>
        </a:solidFill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tx1"/>
    </a:solidFill>
    <a:ln>
      <a:noFill/>
    </a:ln>
  </c:spPr>
  <c:txPr>
    <a:bodyPr/>
    <a:lstStyle/>
    <a:p>
      <a:pPr>
        <a:defRPr>
          <a:solidFill>
            <a:schemeClr val="bg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Autofit!$W$2</c:f>
              <c:strCache>
                <c:ptCount val="1"/>
                <c:pt idx="0">
                  <c:v>Anchor Yields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 w="15875">
                <a:solidFill>
                  <a:srgbClr val="70AD47">
                    <a:lumMod val="40000"/>
                    <a:lumOff val="60000"/>
                  </a:srgbClr>
                </a:solidFill>
              </a:ln>
            </c:spPr>
          </c:marker>
          <c:xVal>
            <c:numRef>
              <c:f>Autofit!$V$3:$V$18</c:f>
              <c:numCache>
                <c:formatCode>m/d/yyyy</c:formatCode>
                <c:ptCount val="16"/>
                <c:pt idx="0">
                  <c:v>41985</c:v>
                </c:pt>
                <c:pt idx="1">
                  <c:v>42168</c:v>
                </c:pt>
                <c:pt idx="2">
                  <c:v>42350</c:v>
                </c:pt>
                <c:pt idx="3">
                  <c:v>42715.5</c:v>
                </c:pt>
                <c:pt idx="4">
                  <c:v>43080.75</c:v>
                </c:pt>
                <c:pt idx="5">
                  <c:v>43811.25</c:v>
                </c:pt>
                <c:pt idx="6">
                  <c:v>44541.75</c:v>
                </c:pt>
                <c:pt idx="7">
                  <c:v>45637.5</c:v>
                </c:pt>
                <c:pt idx="8">
                  <c:v>46368</c:v>
                </c:pt>
                <c:pt idx="9">
                  <c:v>47463.75</c:v>
                </c:pt>
                <c:pt idx="10">
                  <c:v>49290</c:v>
                </c:pt>
                <c:pt idx="11">
                  <c:v>51116.25</c:v>
                </c:pt>
                <c:pt idx="12">
                  <c:v>52942.5</c:v>
                </c:pt>
                <c:pt idx="13">
                  <c:v>56595</c:v>
                </c:pt>
                <c:pt idx="14">
                  <c:v>60247.5</c:v>
                </c:pt>
                <c:pt idx="15">
                  <c:v>63900</c:v>
                </c:pt>
              </c:numCache>
            </c:numRef>
          </c:xVal>
          <c:yVal>
            <c:numRef>
              <c:f>Autofit!$W$3:$W$18</c:f>
              <c:numCache>
                <c:formatCode>General</c:formatCode>
                <c:ptCount val="16"/>
                <c:pt idx="0">
                  <c:v>0.13799400797645164</c:v>
                </c:pt>
                <c:pt idx="1">
                  <c:v>0.28651093685148848</c:v>
                </c:pt>
                <c:pt idx="2">
                  <c:v>0.37959847867345381</c:v>
                </c:pt>
                <c:pt idx="3">
                  <c:v>0.48945801013738632</c:v>
                </c:pt>
                <c:pt idx="4">
                  <c:v>0.80005159338338394</c:v>
                </c:pt>
                <c:pt idx="5">
                  <c:v>1.2668076713889023</c:v>
                </c:pt>
                <c:pt idx="6">
                  <c:v>1.5182577301371962</c:v>
                </c:pt>
                <c:pt idx="7">
                  <c:v>1.8554727575865753</c:v>
                </c:pt>
                <c:pt idx="8">
                  <c:v>2.009456834928772</c:v>
                </c:pt>
                <c:pt idx="9">
                  <c:v>2.2500153167168127</c:v>
                </c:pt>
                <c:pt idx="10">
                  <c:v>2.5369605743844899</c:v>
                </c:pt>
                <c:pt idx="11">
                  <c:v>2.642459619463557</c:v>
                </c:pt>
                <c:pt idx="12">
                  <c:v>2.6790073318270258</c:v>
                </c:pt>
                <c:pt idx="13">
                  <c:v>2.5715080253426916</c:v>
                </c:pt>
                <c:pt idx="14">
                  <c:v>2.5621569080298392</c:v>
                </c:pt>
                <c:pt idx="15">
                  <c:v>2.6167500614136419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Autofit!$M$8</c:f>
              <c:strCache>
                <c:ptCount val="1"/>
                <c:pt idx="0">
                  <c:v>Bond Yields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ysClr val="windowText" lastClr="0000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Autofit!$L$9:$L$48</c:f>
              <c:numCache>
                <c:formatCode>General</c:formatCode>
                <c:ptCount val="40"/>
                <c:pt idx="0">
                  <c:v>42026</c:v>
                </c:pt>
                <c:pt idx="1">
                  <c:v>42254</c:v>
                </c:pt>
                <c:pt idx="2">
                  <c:v>42345</c:v>
                </c:pt>
                <c:pt idx="3">
                  <c:v>42391</c:v>
                </c:pt>
                <c:pt idx="4">
                  <c:v>42620</c:v>
                </c:pt>
                <c:pt idx="5">
                  <c:v>42757</c:v>
                </c:pt>
                <c:pt idx="6">
                  <c:v>42972</c:v>
                </c:pt>
                <c:pt idx="7">
                  <c:v>42985</c:v>
                </c:pt>
                <c:pt idx="8">
                  <c:v>43166</c:v>
                </c:pt>
                <c:pt idx="9">
                  <c:v>43303</c:v>
                </c:pt>
                <c:pt idx="10">
                  <c:v>43531</c:v>
                </c:pt>
                <c:pt idx="11">
                  <c:v>43668</c:v>
                </c:pt>
                <c:pt idx="12">
                  <c:v>43715</c:v>
                </c:pt>
                <c:pt idx="13">
                  <c:v>43897</c:v>
                </c:pt>
                <c:pt idx="14">
                  <c:v>44081</c:v>
                </c:pt>
                <c:pt idx="15">
                  <c:v>44354</c:v>
                </c:pt>
                <c:pt idx="16">
                  <c:v>44446</c:v>
                </c:pt>
                <c:pt idx="17">
                  <c:v>44627</c:v>
                </c:pt>
                <c:pt idx="18">
                  <c:v>44811</c:v>
                </c:pt>
                <c:pt idx="19">
                  <c:v>45176</c:v>
                </c:pt>
                <c:pt idx="20">
                  <c:v>45542</c:v>
                </c:pt>
                <c:pt idx="21">
                  <c:v>45723</c:v>
                </c:pt>
                <c:pt idx="22">
                  <c:v>46728</c:v>
                </c:pt>
                <c:pt idx="23">
                  <c:v>47094</c:v>
                </c:pt>
                <c:pt idx="24">
                  <c:v>47824</c:v>
                </c:pt>
                <c:pt idx="25">
                  <c:v>48372</c:v>
                </c:pt>
                <c:pt idx="26">
                  <c:v>49194</c:v>
                </c:pt>
                <c:pt idx="27">
                  <c:v>49741</c:v>
                </c:pt>
                <c:pt idx="28">
                  <c:v>50746</c:v>
                </c:pt>
                <c:pt idx="29">
                  <c:v>51020</c:v>
                </c:pt>
                <c:pt idx="30">
                  <c:v>51477</c:v>
                </c:pt>
                <c:pt idx="31">
                  <c:v>52207</c:v>
                </c:pt>
                <c:pt idx="32">
                  <c:v>52618</c:v>
                </c:pt>
                <c:pt idx="33">
                  <c:v>52984</c:v>
                </c:pt>
                <c:pt idx="34">
                  <c:v>53668</c:v>
                </c:pt>
                <c:pt idx="35">
                  <c:v>54764</c:v>
                </c:pt>
                <c:pt idx="36">
                  <c:v>55722</c:v>
                </c:pt>
                <c:pt idx="37">
                  <c:v>56955</c:v>
                </c:pt>
                <c:pt idx="38">
                  <c:v>58462</c:v>
                </c:pt>
                <c:pt idx="39">
                  <c:v>61566</c:v>
                </c:pt>
              </c:numCache>
            </c:numRef>
          </c:xVal>
          <c:yVal>
            <c:numRef>
              <c:f>Autofit!$M$9:$M$48</c:f>
              <c:numCache>
                <c:formatCode>General</c:formatCode>
                <c:ptCount val="40"/>
                <c:pt idx="0">
                  <c:v>0.18848368302871132</c:v>
                </c:pt>
                <c:pt idx="1">
                  <c:v>0.34232302998511177</c:v>
                </c:pt>
                <c:pt idx="2">
                  <c:v>0.37912855703723192</c:v>
                </c:pt>
                <c:pt idx="3">
                  <c:v>0.39718071962842499</c:v>
                </c:pt>
                <c:pt idx="4">
                  <c:v>0.44703950935407571</c:v>
                </c:pt>
                <c:pt idx="5">
                  <c:v>0.51674118810497416</c:v>
                </c:pt>
                <c:pt idx="6">
                  <c:v>0.68772708400410765</c:v>
                </c:pt>
                <c:pt idx="7">
                  <c:v>0.72045744164872738</c:v>
                </c:pt>
                <c:pt idx="8">
                  <c:v>0.84655806800547517</c:v>
                </c:pt>
                <c:pt idx="9">
                  <c:v>0.9619590581037385</c:v>
                </c:pt>
                <c:pt idx="10">
                  <c:v>1.0904423788826099</c:v>
                </c:pt>
                <c:pt idx="11">
                  <c:v>1.1841599193782693</c:v>
                </c:pt>
                <c:pt idx="12">
                  <c:v>1.1932746530308078</c:v>
                </c:pt>
                <c:pt idx="13">
                  <c:v>1.2693710350777456</c:v>
                </c:pt>
                <c:pt idx="14">
                  <c:v>1.3496748833416792</c:v>
                </c:pt>
                <c:pt idx="15">
                  <c:v>1.3888929206732523</c:v>
                </c:pt>
                <c:pt idx="16">
                  <c:v>1.4521141192323332</c:v>
                </c:pt>
                <c:pt idx="17">
                  <c:v>1.5028439754267329</c:v>
                </c:pt>
                <c:pt idx="18">
                  <c:v>1.5896004004173707</c:v>
                </c:pt>
                <c:pt idx="19">
                  <c:v>1.6954084905320677</c:v>
                </c:pt>
                <c:pt idx="20">
                  <c:v>1.7856625337818151</c:v>
                </c:pt>
                <c:pt idx="21">
                  <c:v>1.7912265864337693</c:v>
                </c:pt>
                <c:pt idx="22">
                  <c:v>1.9941699750121984</c:v>
                </c:pt>
                <c:pt idx="23">
                  <c:v>2.0330034255778204</c:v>
                </c:pt>
                <c:pt idx="24">
                  <c:v>2.177076692861172</c:v>
                </c:pt>
                <c:pt idx="25">
                  <c:v>2.2710967048549251</c:v>
                </c:pt>
                <c:pt idx="26">
                  <c:v>2.3569695501734556</c:v>
                </c:pt>
                <c:pt idx="27">
                  <c:v>2.410340281530186</c:v>
                </c:pt>
                <c:pt idx="28">
                  <c:v>2.4480923295573143</c:v>
                </c:pt>
                <c:pt idx="29">
                  <c:v>2.4708952087865961</c:v>
                </c:pt>
                <c:pt idx="30">
                  <c:v>2.488811140469489</c:v>
                </c:pt>
                <c:pt idx="31">
                  <c:v>2.5057679957683971</c:v>
                </c:pt>
                <c:pt idx="32">
                  <c:v>2.544234491267833</c:v>
                </c:pt>
                <c:pt idx="33">
                  <c:v>2.5406542116311424</c:v>
                </c:pt>
                <c:pt idx="34">
                  <c:v>2.526164254439804</c:v>
                </c:pt>
                <c:pt idx="35">
                  <c:v>2.518078824738518</c:v>
                </c:pt>
                <c:pt idx="36">
                  <c:v>2.5122049265435082</c:v>
                </c:pt>
                <c:pt idx="37">
                  <c:v>2.4997230389076091</c:v>
                </c:pt>
                <c:pt idx="38">
                  <c:v>2.5012600692472122</c:v>
                </c:pt>
                <c:pt idx="39">
                  <c:v>2.5210128768843849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Autofit!$AF$2</c:f>
              <c:strCache>
                <c:ptCount val="1"/>
                <c:pt idx="0">
                  <c:v>Fitted Curve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Autofit!$AE$3:$AE$2612</c:f>
              <c:numCache>
                <c:formatCode>mm/dd/yy</c:formatCode>
                <c:ptCount val="2610"/>
                <c:pt idx="0" formatCode="m/d/yyyy">
                  <c:v>41985</c:v>
                </c:pt>
                <c:pt idx="1">
                  <c:v>41992</c:v>
                </c:pt>
                <c:pt idx="2">
                  <c:v>41999</c:v>
                </c:pt>
                <c:pt idx="3">
                  <c:v>42006</c:v>
                </c:pt>
                <c:pt idx="4">
                  <c:v>42013</c:v>
                </c:pt>
                <c:pt idx="5">
                  <c:v>42020</c:v>
                </c:pt>
                <c:pt idx="6">
                  <c:v>42027</c:v>
                </c:pt>
                <c:pt idx="7">
                  <c:v>42034</c:v>
                </c:pt>
                <c:pt idx="8">
                  <c:v>42041</c:v>
                </c:pt>
                <c:pt idx="9">
                  <c:v>42048</c:v>
                </c:pt>
                <c:pt idx="10">
                  <c:v>42055</c:v>
                </c:pt>
                <c:pt idx="11">
                  <c:v>42062</c:v>
                </c:pt>
                <c:pt idx="12">
                  <c:v>42069</c:v>
                </c:pt>
                <c:pt idx="13">
                  <c:v>42076</c:v>
                </c:pt>
                <c:pt idx="14">
                  <c:v>42083</c:v>
                </c:pt>
                <c:pt idx="15">
                  <c:v>42090</c:v>
                </c:pt>
                <c:pt idx="16">
                  <c:v>42097</c:v>
                </c:pt>
                <c:pt idx="17">
                  <c:v>42104</c:v>
                </c:pt>
                <c:pt idx="18">
                  <c:v>42111</c:v>
                </c:pt>
                <c:pt idx="19">
                  <c:v>42118</c:v>
                </c:pt>
                <c:pt idx="20">
                  <c:v>42125</c:v>
                </c:pt>
                <c:pt idx="21">
                  <c:v>42132</c:v>
                </c:pt>
                <c:pt idx="22">
                  <c:v>42139</c:v>
                </c:pt>
                <c:pt idx="23">
                  <c:v>42146</c:v>
                </c:pt>
                <c:pt idx="24">
                  <c:v>42153</c:v>
                </c:pt>
                <c:pt idx="25">
                  <c:v>42160</c:v>
                </c:pt>
                <c:pt idx="26">
                  <c:v>42167</c:v>
                </c:pt>
                <c:pt idx="27">
                  <c:v>42174</c:v>
                </c:pt>
                <c:pt idx="28">
                  <c:v>42181</c:v>
                </c:pt>
                <c:pt idx="29">
                  <c:v>42188</c:v>
                </c:pt>
                <c:pt idx="30">
                  <c:v>42195</c:v>
                </c:pt>
                <c:pt idx="31">
                  <c:v>42202</c:v>
                </c:pt>
                <c:pt idx="32">
                  <c:v>42209</c:v>
                </c:pt>
                <c:pt idx="33">
                  <c:v>42216</c:v>
                </c:pt>
                <c:pt idx="34">
                  <c:v>42223</c:v>
                </c:pt>
                <c:pt idx="35">
                  <c:v>42230</c:v>
                </c:pt>
                <c:pt idx="36">
                  <c:v>42237</c:v>
                </c:pt>
                <c:pt idx="37">
                  <c:v>42244</c:v>
                </c:pt>
                <c:pt idx="38">
                  <c:v>42251</c:v>
                </c:pt>
                <c:pt idx="39">
                  <c:v>42258</c:v>
                </c:pt>
                <c:pt idx="40">
                  <c:v>42265</c:v>
                </c:pt>
                <c:pt idx="41">
                  <c:v>42272</c:v>
                </c:pt>
                <c:pt idx="42">
                  <c:v>42279</c:v>
                </c:pt>
                <c:pt idx="43">
                  <c:v>42286</c:v>
                </c:pt>
                <c:pt idx="44">
                  <c:v>42293</c:v>
                </c:pt>
                <c:pt idx="45">
                  <c:v>42300</c:v>
                </c:pt>
                <c:pt idx="46">
                  <c:v>42307</c:v>
                </c:pt>
                <c:pt idx="47">
                  <c:v>42314</c:v>
                </c:pt>
                <c:pt idx="48">
                  <c:v>42321</c:v>
                </c:pt>
                <c:pt idx="49">
                  <c:v>42328</c:v>
                </c:pt>
                <c:pt idx="50">
                  <c:v>42335</c:v>
                </c:pt>
                <c:pt idx="51">
                  <c:v>42342</c:v>
                </c:pt>
                <c:pt idx="52">
                  <c:v>42349</c:v>
                </c:pt>
                <c:pt idx="53">
                  <c:v>42356</c:v>
                </c:pt>
                <c:pt idx="54">
                  <c:v>42363</c:v>
                </c:pt>
                <c:pt idx="55">
                  <c:v>42370</c:v>
                </c:pt>
                <c:pt idx="56">
                  <c:v>42377</c:v>
                </c:pt>
                <c:pt idx="57">
                  <c:v>42384</c:v>
                </c:pt>
                <c:pt idx="58">
                  <c:v>42391</c:v>
                </c:pt>
                <c:pt idx="59">
                  <c:v>42398</c:v>
                </c:pt>
                <c:pt idx="60">
                  <c:v>42405</c:v>
                </c:pt>
                <c:pt idx="61">
                  <c:v>42412</c:v>
                </c:pt>
                <c:pt idx="62">
                  <c:v>42419</c:v>
                </c:pt>
                <c:pt idx="63">
                  <c:v>42426</c:v>
                </c:pt>
                <c:pt idx="64">
                  <c:v>42433</c:v>
                </c:pt>
                <c:pt idx="65">
                  <c:v>42440</c:v>
                </c:pt>
                <c:pt idx="66">
                  <c:v>42447</c:v>
                </c:pt>
                <c:pt idx="67">
                  <c:v>42454</c:v>
                </c:pt>
                <c:pt idx="68">
                  <c:v>42461</c:v>
                </c:pt>
                <c:pt idx="69">
                  <c:v>42468</c:v>
                </c:pt>
                <c:pt idx="70">
                  <c:v>42475</c:v>
                </c:pt>
                <c:pt idx="71">
                  <c:v>42482</c:v>
                </c:pt>
                <c:pt idx="72">
                  <c:v>42489</c:v>
                </c:pt>
                <c:pt idx="73">
                  <c:v>42496</c:v>
                </c:pt>
                <c:pt idx="74">
                  <c:v>42503</c:v>
                </c:pt>
                <c:pt idx="75">
                  <c:v>42510</c:v>
                </c:pt>
                <c:pt idx="76">
                  <c:v>42517</c:v>
                </c:pt>
                <c:pt idx="77">
                  <c:v>42524</c:v>
                </c:pt>
                <c:pt idx="78">
                  <c:v>42531</c:v>
                </c:pt>
                <c:pt idx="79">
                  <c:v>42538</c:v>
                </c:pt>
                <c:pt idx="80">
                  <c:v>42545</c:v>
                </c:pt>
                <c:pt idx="81">
                  <c:v>42552</c:v>
                </c:pt>
                <c:pt idx="82">
                  <c:v>42559</c:v>
                </c:pt>
                <c:pt idx="83">
                  <c:v>42566</c:v>
                </c:pt>
                <c:pt idx="84">
                  <c:v>42573</c:v>
                </c:pt>
                <c:pt idx="85">
                  <c:v>42580</c:v>
                </c:pt>
                <c:pt idx="86">
                  <c:v>42587</c:v>
                </c:pt>
                <c:pt idx="87">
                  <c:v>42594</c:v>
                </c:pt>
                <c:pt idx="88">
                  <c:v>42601</c:v>
                </c:pt>
                <c:pt idx="89">
                  <c:v>42608</c:v>
                </c:pt>
                <c:pt idx="90">
                  <c:v>42615</c:v>
                </c:pt>
                <c:pt idx="91">
                  <c:v>42622</c:v>
                </c:pt>
                <c:pt idx="92">
                  <c:v>42629</c:v>
                </c:pt>
                <c:pt idx="93">
                  <c:v>42636</c:v>
                </c:pt>
                <c:pt idx="94">
                  <c:v>42643</c:v>
                </c:pt>
                <c:pt idx="95">
                  <c:v>42650</c:v>
                </c:pt>
                <c:pt idx="96">
                  <c:v>42657</c:v>
                </c:pt>
                <c:pt idx="97">
                  <c:v>42664</c:v>
                </c:pt>
                <c:pt idx="98">
                  <c:v>42671</c:v>
                </c:pt>
                <c:pt idx="99">
                  <c:v>42678</c:v>
                </c:pt>
                <c:pt idx="100">
                  <c:v>42685</c:v>
                </c:pt>
                <c:pt idx="101">
                  <c:v>42692</c:v>
                </c:pt>
                <c:pt idx="102">
                  <c:v>42699</c:v>
                </c:pt>
                <c:pt idx="103">
                  <c:v>42706</c:v>
                </c:pt>
                <c:pt idx="104">
                  <c:v>42713</c:v>
                </c:pt>
                <c:pt idx="105">
                  <c:v>42720</c:v>
                </c:pt>
                <c:pt idx="106">
                  <c:v>42727</c:v>
                </c:pt>
                <c:pt idx="107">
                  <c:v>42734</c:v>
                </c:pt>
                <c:pt idx="108">
                  <c:v>42741</c:v>
                </c:pt>
                <c:pt idx="109">
                  <c:v>42748</c:v>
                </c:pt>
                <c:pt idx="110">
                  <c:v>42755</c:v>
                </c:pt>
                <c:pt idx="111">
                  <c:v>42762</c:v>
                </c:pt>
                <c:pt idx="112">
                  <c:v>42769</c:v>
                </c:pt>
                <c:pt idx="113">
                  <c:v>42776</c:v>
                </c:pt>
                <c:pt idx="114">
                  <c:v>42783</c:v>
                </c:pt>
                <c:pt idx="115">
                  <c:v>42790</c:v>
                </c:pt>
                <c:pt idx="116">
                  <c:v>42797</c:v>
                </c:pt>
                <c:pt idx="117">
                  <c:v>42804</c:v>
                </c:pt>
                <c:pt idx="118">
                  <c:v>42811</c:v>
                </c:pt>
                <c:pt idx="119">
                  <c:v>42818</c:v>
                </c:pt>
                <c:pt idx="120">
                  <c:v>42825</c:v>
                </c:pt>
                <c:pt idx="121">
                  <c:v>42832</c:v>
                </c:pt>
                <c:pt idx="122">
                  <c:v>42839</c:v>
                </c:pt>
                <c:pt idx="123">
                  <c:v>42846</c:v>
                </c:pt>
                <c:pt idx="124">
                  <c:v>42853</c:v>
                </c:pt>
                <c:pt idx="125">
                  <c:v>42860</c:v>
                </c:pt>
                <c:pt idx="126">
                  <c:v>42867</c:v>
                </c:pt>
                <c:pt idx="127">
                  <c:v>42874</c:v>
                </c:pt>
                <c:pt idx="128">
                  <c:v>42881</c:v>
                </c:pt>
                <c:pt idx="129">
                  <c:v>42888</c:v>
                </c:pt>
                <c:pt idx="130">
                  <c:v>42895</c:v>
                </c:pt>
                <c:pt idx="131">
                  <c:v>42902</c:v>
                </c:pt>
                <c:pt idx="132">
                  <c:v>42909</c:v>
                </c:pt>
                <c:pt idx="133">
                  <c:v>42916</c:v>
                </c:pt>
                <c:pt idx="134">
                  <c:v>42923</c:v>
                </c:pt>
                <c:pt idx="135">
                  <c:v>42930</c:v>
                </c:pt>
                <c:pt idx="136">
                  <c:v>42937</c:v>
                </c:pt>
                <c:pt idx="137">
                  <c:v>42944</c:v>
                </c:pt>
                <c:pt idx="138">
                  <c:v>42951</c:v>
                </c:pt>
                <c:pt idx="139">
                  <c:v>42958</c:v>
                </c:pt>
                <c:pt idx="140">
                  <c:v>42965</c:v>
                </c:pt>
                <c:pt idx="141">
                  <c:v>42972</c:v>
                </c:pt>
                <c:pt idx="142">
                  <c:v>42979</c:v>
                </c:pt>
                <c:pt idx="143">
                  <c:v>42986</c:v>
                </c:pt>
                <c:pt idx="144">
                  <c:v>42993</c:v>
                </c:pt>
                <c:pt idx="145">
                  <c:v>43000</c:v>
                </c:pt>
                <c:pt idx="146">
                  <c:v>43007</c:v>
                </c:pt>
                <c:pt idx="147">
                  <c:v>43014</c:v>
                </c:pt>
                <c:pt idx="148">
                  <c:v>43021</c:v>
                </c:pt>
                <c:pt idx="149">
                  <c:v>43028</c:v>
                </c:pt>
                <c:pt idx="150">
                  <c:v>43035</c:v>
                </c:pt>
                <c:pt idx="151">
                  <c:v>43042</c:v>
                </c:pt>
                <c:pt idx="152">
                  <c:v>43049</c:v>
                </c:pt>
                <c:pt idx="153">
                  <c:v>43056</c:v>
                </c:pt>
                <c:pt idx="154">
                  <c:v>43063</c:v>
                </c:pt>
                <c:pt idx="155">
                  <c:v>43070</c:v>
                </c:pt>
                <c:pt idx="156">
                  <c:v>43077</c:v>
                </c:pt>
                <c:pt idx="157">
                  <c:v>43084</c:v>
                </c:pt>
                <c:pt idx="158">
                  <c:v>43091</c:v>
                </c:pt>
                <c:pt idx="159">
                  <c:v>43098</c:v>
                </c:pt>
                <c:pt idx="160">
                  <c:v>43105</c:v>
                </c:pt>
                <c:pt idx="161">
                  <c:v>43112</c:v>
                </c:pt>
                <c:pt idx="162">
                  <c:v>43119</c:v>
                </c:pt>
                <c:pt idx="163">
                  <c:v>43126</c:v>
                </c:pt>
                <c:pt idx="164">
                  <c:v>43133</c:v>
                </c:pt>
                <c:pt idx="165">
                  <c:v>43140</c:v>
                </c:pt>
                <c:pt idx="166">
                  <c:v>43147</c:v>
                </c:pt>
                <c:pt idx="167">
                  <c:v>43154</c:v>
                </c:pt>
                <c:pt idx="168">
                  <c:v>43161</c:v>
                </c:pt>
                <c:pt idx="169">
                  <c:v>43168</c:v>
                </c:pt>
                <c:pt idx="170">
                  <c:v>43175</c:v>
                </c:pt>
                <c:pt idx="171">
                  <c:v>43182</c:v>
                </c:pt>
                <c:pt idx="172">
                  <c:v>43189</c:v>
                </c:pt>
                <c:pt idx="173">
                  <c:v>43196</c:v>
                </c:pt>
                <c:pt idx="174">
                  <c:v>43203</c:v>
                </c:pt>
                <c:pt idx="175">
                  <c:v>43210</c:v>
                </c:pt>
                <c:pt idx="176">
                  <c:v>43217</c:v>
                </c:pt>
                <c:pt idx="177">
                  <c:v>43224</c:v>
                </c:pt>
                <c:pt idx="178">
                  <c:v>43231</c:v>
                </c:pt>
                <c:pt idx="179">
                  <c:v>43238</c:v>
                </c:pt>
                <c:pt idx="180">
                  <c:v>43245</c:v>
                </c:pt>
                <c:pt idx="181">
                  <c:v>43252</c:v>
                </c:pt>
                <c:pt idx="182">
                  <c:v>43259</c:v>
                </c:pt>
                <c:pt idx="183">
                  <c:v>43266</c:v>
                </c:pt>
                <c:pt idx="184">
                  <c:v>43273</c:v>
                </c:pt>
                <c:pt idx="185">
                  <c:v>43280</c:v>
                </c:pt>
                <c:pt idx="186">
                  <c:v>43287</c:v>
                </c:pt>
                <c:pt idx="187">
                  <c:v>43294</c:v>
                </c:pt>
                <c:pt idx="188">
                  <c:v>43301</c:v>
                </c:pt>
                <c:pt idx="189">
                  <c:v>43308</c:v>
                </c:pt>
                <c:pt idx="190">
                  <c:v>43315</c:v>
                </c:pt>
                <c:pt idx="191">
                  <c:v>43322</c:v>
                </c:pt>
                <c:pt idx="192">
                  <c:v>43329</c:v>
                </c:pt>
                <c:pt idx="193">
                  <c:v>43336</c:v>
                </c:pt>
                <c:pt idx="194">
                  <c:v>43343</c:v>
                </c:pt>
                <c:pt idx="195">
                  <c:v>43350</c:v>
                </c:pt>
                <c:pt idx="196">
                  <c:v>43357</c:v>
                </c:pt>
                <c:pt idx="197">
                  <c:v>43364</c:v>
                </c:pt>
                <c:pt idx="198">
                  <c:v>43371</c:v>
                </c:pt>
                <c:pt idx="199">
                  <c:v>43378</c:v>
                </c:pt>
                <c:pt idx="200">
                  <c:v>43385</c:v>
                </c:pt>
                <c:pt idx="201">
                  <c:v>43392</c:v>
                </c:pt>
                <c:pt idx="202">
                  <c:v>43399</c:v>
                </c:pt>
                <c:pt idx="203">
                  <c:v>43406</c:v>
                </c:pt>
                <c:pt idx="204">
                  <c:v>43413</c:v>
                </c:pt>
                <c:pt idx="205">
                  <c:v>43420</c:v>
                </c:pt>
                <c:pt idx="206">
                  <c:v>43427</c:v>
                </c:pt>
                <c:pt idx="207">
                  <c:v>43434</c:v>
                </c:pt>
                <c:pt idx="208">
                  <c:v>43441</c:v>
                </c:pt>
                <c:pt idx="209">
                  <c:v>43448</c:v>
                </c:pt>
                <c:pt idx="210">
                  <c:v>43455</c:v>
                </c:pt>
                <c:pt idx="211">
                  <c:v>43462</c:v>
                </c:pt>
                <c:pt idx="212">
                  <c:v>43469</c:v>
                </c:pt>
                <c:pt idx="213">
                  <c:v>43476</c:v>
                </c:pt>
                <c:pt idx="214">
                  <c:v>43483</c:v>
                </c:pt>
                <c:pt idx="215">
                  <c:v>43490</c:v>
                </c:pt>
                <c:pt idx="216">
                  <c:v>43497</c:v>
                </c:pt>
                <c:pt idx="217">
                  <c:v>43504</c:v>
                </c:pt>
                <c:pt idx="218">
                  <c:v>43511</c:v>
                </c:pt>
                <c:pt idx="219">
                  <c:v>43518</c:v>
                </c:pt>
                <c:pt idx="220">
                  <c:v>43525</c:v>
                </c:pt>
                <c:pt idx="221">
                  <c:v>43532</c:v>
                </c:pt>
                <c:pt idx="222">
                  <c:v>43539</c:v>
                </c:pt>
                <c:pt idx="223">
                  <c:v>43546</c:v>
                </c:pt>
                <c:pt idx="224">
                  <c:v>43553</c:v>
                </c:pt>
                <c:pt idx="225">
                  <c:v>43560</c:v>
                </c:pt>
                <c:pt idx="226">
                  <c:v>43567</c:v>
                </c:pt>
                <c:pt idx="227">
                  <c:v>43574</c:v>
                </c:pt>
                <c:pt idx="228">
                  <c:v>43581</c:v>
                </c:pt>
                <c:pt idx="229">
                  <c:v>43588</c:v>
                </c:pt>
                <c:pt idx="230">
                  <c:v>43595</c:v>
                </c:pt>
                <c:pt idx="231">
                  <c:v>43602</c:v>
                </c:pt>
                <c:pt idx="232">
                  <c:v>43609</c:v>
                </c:pt>
                <c:pt idx="233">
                  <c:v>43616</c:v>
                </c:pt>
                <c:pt idx="234">
                  <c:v>43623</c:v>
                </c:pt>
                <c:pt idx="235">
                  <c:v>43630</c:v>
                </c:pt>
                <c:pt idx="236">
                  <c:v>43637</c:v>
                </c:pt>
                <c:pt idx="237">
                  <c:v>43644</c:v>
                </c:pt>
                <c:pt idx="238">
                  <c:v>43651</c:v>
                </c:pt>
                <c:pt idx="239">
                  <c:v>43658</c:v>
                </c:pt>
                <c:pt idx="240">
                  <c:v>43665</c:v>
                </c:pt>
                <c:pt idx="241">
                  <c:v>43672</c:v>
                </c:pt>
                <c:pt idx="242">
                  <c:v>43679</c:v>
                </c:pt>
                <c:pt idx="243">
                  <c:v>43686</c:v>
                </c:pt>
                <c:pt idx="244">
                  <c:v>43693</c:v>
                </c:pt>
                <c:pt idx="245">
                  <c:v>43700</c:v>
                </c:pt>
                <c:pt idx="246">
                  <c:v>43707</c:v>
                </c:pt>
                <c:pt idx="247">
                  <c:v>43714</c:v>
                </c:pt>
                <c:pt idx="248">
                  <c:v>43721</c:v>
                </c:pt>
                <c:pt idx="249">
                  <c:v>43728</c:v>
                </c:pt>
                <c:pt idx="250">
                  <c:v>43735</c:v>
                </c:pt>
                <c:pt idx="251">
                  <c:v>43742</c:v>
                </c:pt>
                <c:pt idx="252">
                  <c:v>43749</c:v>
                </c:pt>
                <c:pt idx="253">
                  <c:v>43756</c:v>
                </c:pt>
                <c:pt idx="254">
                  <c:v>43763</c:v>
                </c:pt>
                <c:pt idx="255">
                  <c:v>43770</c:v>
                </c:pt>
                <c:pt idx="256">
                  <c:v>43777</c:v>
                </c:pt>
                <c:pt idx="257">
                  <c:v>43784</c:v>
                </c:pt>
                <c:pt idx="258">
                  <c:v>43791</c:v>
                </c:pt>
                <c:pt idx="259">
                  <c:v>43798</c:v>
                </c:pt>
                <c:pt idx="260">
                  <c:v>43805</c:v>
                </c:pt>
                <c:pt idx="261">
                  <c:v>43812</c:v>
                </c:pt>
                <c:pt idx="262">
                  <c:v>43819</c:v>
                </c:pt>
                <c:pt idx="263">
                  <c:v>43826</c:v>
                </c:pt>
                <c:pt idx="264">
                  <c:v>43833</c:v>
                </c:pt>
                <c:pt idx="265">
                  <c:v>43840</c:v>
                </c:pt>
                <c:pt idx="266">
                  <c:v>43847</c:v>
                </c:pt>
                <c:pt idx="267">
                  <c:v>43854</c:v>
                </c:pt>
                <c:pt idx="268">
                  <c:v>43861</c:v>
                </c:pt>
                <c:pt idx="269">
                  <c:v>43868</c:v>
                </c:pt>
                <c:pt idx="270">
                  <c:v>43875</c:v>
                </c:pt>
                <c:pt idx="271">
                  <c:v>43882</c:v>
                </c:pt>
                <c:pt idx="272">
                  <c:v>43889</c:v>
                </c:pt>
                <c:pt idx="273">
                  <c:v>43896</c:v>
                </c:pt>
                <c:pt idx="274">
                  <c:v>43903</c:v>
                </c:pt>
                <c:pt idx="275">
                  <c:v>43910</c:v>
                </c:pt>
                <c:pt idx="276">
                  <c:v>43917</c:v>
                </c:pt>
                <c:pt idx="277">
                  <c:v>43924</c:v>
                </c:pt>
                <c:pt idx="278">
                  <c:v>43931</c:v>
                </c:pt>
                <c:pt idx="279">
                  <c:v>43938</c:v>
                </c:pt>
                <c:pt idx="280">
                  <c:v>43945</c:v>
                </c:pt>
                <c:pt idx="281">
                  <c:v>43952</c:v>
                </c:pt>
                <c:pt idx="282">
                  <c:v>43959</c:v>
                </c:pt>
                <c:pt idx="283">
                  <c:v>43966</c:v>
                </c:pt>
                <c:pt idx="284">
                  <c:v>43973</c:v>
                </c:pt>
                <c:pt idx="285">
                  <c:v>43980</c:v>
                </c:pt>
                <c:pt idx="286">
                  <c:v>43987</c:v>
                </c:pt>
                <c:pt idx="287">
                  <c:v>43994</c:v>
                </c:pt>
                <c:pt idx="288">
                  <c:v>44001</c:v>
                </c:pt>
                <c:pt idx="289">
                  <c:v>44008</c:v>
                </c:pt>
                <c:pt idx="290">
                  <c:v>44015</c:v>
                </c:pt>
                <c:pt idx="291">
                  <c:v>44022</c:v>
                </c:pt>
                <c:pt idx="292">
                  <c:v>44029</c:v>
                </c:pt>
                <c:pt idx="293">
                  <c:v>44036</c:v>
                </c:pt>
                <c:pt idx="294">
                  <c:v>44043</c:v>
                </c:pt>
                <c:pt idx="295">
                  <c:v>44050</c:v>
                </c:pt>
                <c:pt idx="296">
                  <c:v>44057</c:v>
                </c:pt>
                <c:pt idx="297">
                  <c:v>44064</c:v>
                </c:pt>
                <c:pt idx="298">
                  <c:v>44071</c:v>
                </c:pt>
                <c:pt idx="299">
                  <c:v>44078</c:v>
                </c:pt>
                <c:pt idx="300">
                  <c:v>44085</c:v>
                </c:pt>
                <c:pt idx="301">
                  <c:v>44092</c:v>
                </c:pt>
                <c:pt idx="302">
                  <c:v>44099</c:v>
                </c:pt>
                <c:pt idx="303">
                  <c:v>44106</c:v>
                </c:pt>
                <c:pt idx="304">
                  <c:v>44113</c:v>
                </c:pt>
                <c:pt idx="305">
                  <c:v>44120</c:v>
                </c:pt>
                <c:pt idx="306">
                  <c:v>44127</c:v>
                </c:pt>
                <c:pt idx="307">
                  <c:v>44134</c:v>
                </c:pt>
                <c:pt idx="308">
                  <c:v>44141</c:v>
                </c:pt>
                <c:pt idx="309">
                  <c:v>44148</c:v>
                </c:pt>
                <c:pt idx="310">
                  <c:v>44155</c:v>
                </c:pt>
                <c:pt idx="311">
                  <c:v>44162</c:v>
                </c:pt>
                <c:pt idx="312">
                  <c:v>44169</c:v>
                </c:pt>
                <c:pt idx="313">
                  <c:v>44176</c:v>
                </c:pt>
                <c:pt idx="314">
                  <c:v>44183</c:v>
                </c:pt>
                <c:pt idx="315">
                  <c:v>44190</c:v>
                </c:pt>
                <c:pt idx="316">
                  <c:v>44197</c:v>
                </c:pt>
                <c:pt idx="317">
                  <c:v>44204</c:v>
                </c:pt>
                <c:pt idx="318">
                  <c:v>44211</c:v>
                </c:pt>
                <c:pt idx="319">
                  <c:v>44218</c:v>
                </c:pt>
                <c:pt idx="320">
                  <c:v>44225</c:v>
                </c:pt>
                <c:pt idx="321">
                  <c:v>44232</c:v>
                </c:pt>
                <c:pt idx="322">
                  <c:v>44239</c:v>
                </c:pt>
                <c:pt idx="323">
                  <c:v>44246</c:v>
                </c:pt>
                <c:pt idx="324">
                  <c:v>44253</c:v>
                </c:pt>
                <c:pt idx="325">
                  <c:v>44260</c:v>
                </c:pt>
                <c:pt idx="326">
                  <c:v>44267</c:v>
                </c:pt>
                <c:pt idx="327">
                  <c:v>44274</c:v>
                </c:pt>
                <c:pt idx="328">
                  <c:v>44281</c:v>
                </c:pt>
                <c:pt idx="329">
                  <c:v>44288</c:v>
                </c:pt>
                <c:pt idx="330">
                  <c:v>44295</c:v>
                </c:pt>
                <c:pt idx="331">
                  <c:v>44302</c:v>
                </c:pt>
                <c:pt idx="332">
                  <c:v>44309</c:v>
                </c:pt>
                <c:pt idx="333">
                  <c:v>44316</c:v>
                </c:pt>
                <c:pt idx="334">
                  <c:v>44323</c:v>
                </c:pt>
                <c:pt idx="335">
                  <c:v>44330</c:v>
                </c:pt>
                <c:pt idx="336">
                  <c:v>44337</c:v>
                </c:pt>
                <c:pt idx="337">
                  <c:v>44344</c:v>
                </c:pt>
                <c:pt idx="338">
                  <c:v>44351</c:v>
                </c:pt>
                <c:pt idx="339">
                  <c:v>44358</c:v>
                </c:pt>
                <c:pt idx="340">
                  <c:v>44365</c:v>
                </c:pt>
                <c:pt idx="341">
                  <c:v>44372</c:v>
                </c:pt>
                <c:pt idx="342">
                  <c:v>44379</c:v>
                </c:pt>
                <c:pt idx="343">
                  <c:v>44386</c:v>
                </c:pt>
                <c:pt idx="344">
                  <c:v>44393</c:v>
                </c:pt>
                <c:pt idx="345">
                  <c:v>44400</c:v>
                </c:pt>
                <c:pt idx="346">
                  <c:v>44407</c:v>
                </c:pt>
                <c:pt idx="347">
                  <c:v>44414</c:v>
                </c:pt>
                <c:pt idx="348">
                  <c:v>44421</c:v>
                </c:pt>
                <c:pt idx="349">
                  <c:v>44428</c:v>
                </c:pt>
                <c:pt idx="350">
                  <c:v>44435</c:v>
                </c:pt>
                <c:pt idx="351">
                  <c:v>44442</c:v>
                </c:pt>
                <c:pt idx="352">
                  <c:v>44449</c:v>
                </c:pt>
                <c:pt idx="353">
                  <c:v>44456</c:v>
                </c:pt>
                <c:pt idx="354">
                  <c:v>44463</c:v>
                </c:pt>
                <c:pt idx="355">
                  <c:v>44470</c:v>
                </c:pt>
                <c:pt idx="356">
                  <c:v>44477</c:v>
                </c:pt>
                <c:pt idx="357">
                  <c:v>44484</c:v>
                </c:pt>
                <c:pt idx="358">
                  <c:v>44491</c:v>
                </c:pt>
                <c:pt idx="359">
                  <c:v>44498</c:v>
                </c:pt>
                <c:pt idx="360">
                  <c:v>44505</c:v>
                </c:pt>
                <c:pt idx="361">
                  <c:v>44512</c:v>
                </c:pt>
                <c:pt idx="362">
                  <c:v>44519</c:v>
                </c:pt>
                <c:pt idx="363">
                  <c:v>44526</c:v>
                </c:pt>
                <c:pt idx="364">
                  <c:v>44533</c:v>
                </c:pt>
                <c:pt idx="365">
                  <c:v>44540</c:v>
                </c:pt>
                <c:pt idx="366">
                  <c:v>44547</c:v>
                </c:pt>
                <c:pt idx="367">
                  <c:v>44554</c:v>
                </c:pt>
                <c:pt idx="368">
                  <c:v>44561</c:v>
                </c:pt>
                <c:pt idx="369">
                  <c:v>44568</c:v>
                </c:pt>
                <c:pt idx="370">
                  <c:v>44575</c:v>
                </c:pt>
                <c:pt idx="371">
                  <c:v>44582</c:v>
                </c:pt>
                <c:pt idx="372">
                  <c:v>44589</c:v>
                </c:pt>
                <c:pt idx="373">
                  <c:v>44596</c:v>
                </c:pt>
                <c:pt idx="374">
                  <c:v>44603</c:v>
                </c:pt>
                <c:pt idx="375">
                  <c:v>44610</c:v>
                </c:pt>
                <c:pt idx="376">
                  <c:v>44617</c:v>
                </c:pt>
                <c:pt idx="377">
                  <c:v>44624</c:v>
                </c:pt>
                <c:pt idx="378">
                  <c:v>44631</c:v>
                </c:pt>
                <c:pt idx="379">
                  <c:v>44638</c:v>
                </c:pt>
                <c:pt idx="380">
                  <c:v>44645</c:v>
                </c:pt>
                <c:pt idx="381">
                  <c:v>44652</c:v>
                </c:pt>
                <c:pt idx="382">
                  <c:v>44659</c:v>
                </c:pt>
                <c:pt idx="383">
                  <c:v>44666</c:v>
                </c:pt>
                <c:pt idx="384">
                  <c:v>44673</c:v>
                </c:pt>
                <c:pt idx="385">
                  <c:v>44680</c:v>
                </c:pt>
                <c:pt idx="386">
                  <c:v>44687</c:v>
                </c:pt>
                <c:pt idx="387">
                  <c:v>44694</c:v>
                </c:pt>
                <c:pt idx="388">
                  <c:v>44701</c:v>
                </c:pt>
                <c:pt idx="389">
                  <c:v>44708</c:v>
                </c:pt>
                <c:pt idx="390">
                  <c:v>44715</c:v>
                </c:pt>
                <c:pt idx="391">
                  <c:v>44722</c:v>
                </c:pt>
                <c:pt idx="392">
                  <c:v>44729</c:v>
                </c:pt>
                <c:pt idx="393">
                  <c:v>44736</c:v>
                </c:pt>
                <c:pt idx="394">
                  <c:v>44743</c:v>
                </c:pt>
                <c:pt idx="395">
                  <c:v>44750</c:v>
                </c:pt>
                <c:pt idx="396">
                  <c:v>44757</c:v>
                </c:pt>
                <c:pt idx="397">
                  <c:v>44764</c:v>
                </c:pt>
                <c:pt idx="398">
                  <c:v>44771</c:v>
                </c:pt>
                <c:pt idx="399">
                  <c:v>44778</c:v>
                </c:pt>
                <c:pt idx="400">
                  <c:v>44785</c:v>
                </c:pt>
                <c:pt idx="401">
                  <c:v>44792</c:v>
                </c:pt>
                <c:pt idx="402">
                  <c:v>44799</c:v>
                </c:pt>
                <c:pt idx="403">
                  <c:v>44806</c:v>
                </c:pt>
                <c:pt idx="404">
                  <c:v>44813</c:v>
                </c:pt>
                <c:pt idx="405">
                  <c:v>44820</c:v>
                </c:pt>
                <c:pt idx="406">
                  <c:v>44827</c:v>
                </c:pt>
                <c:pt idx="407">
                  <c:v>44834</c:v>
                </c:pt>
                <c:pt idx="408">
                  <c:v>44841</c:v>
                </c:pt>
                <c:pt idx="409">
                  <c:v>44848</c:v>
                </c:pt>
                <c:pt idx="410">
                  <c:v>44855</c:v>
                </c:pt>
                <c:pt idx="411">
                  <c:v>44862</c:v>
                </c:pt>
                <c:pt idx="412">
                  <c:v>44869</c:v>
                </c:pt>
                <c:pt idx="413">
                  <c:v>44876</c:v>
                </c:pt>
                <c:pt idx="414">
                  <c:v>44883</c:v>
                </c:pt>
                <c:pt idx="415">
                  <c:v>44890</c:v>
                </c:pt>
                <c:pt idx="416">
                  <c:v>44897</c:v>
                </c:pt>
                <c:pt idx="417">
                  <c:v>44904</c:v>
                </c:pt>
                <c:pt idx="418">
                  <c:v>44911</c:v>
                </c:pt>
                <c:pt idx="419">
                  <c:v>44918</c:v>
                </c:pt>
                <c:pt idx="420">
                  <c:v>44925</c:v>
                </c:pt>
                <c:pt idx="421">
                  <c:v>44932</c:v>
                </c:pt>
                <c:pt idx="422">
                  <c:v>44939</c:v>
                </c:pt>
                <c:pt idx="423">
                  <c:v>44946</c:v>
                </c:pt>
                <c:pt idx="424">
                  <c:v>44953</c:v>
                </c:pt>
                <c:pt idx="425">
                  <c:v>44960</c:v>
                </c:pt>
                <c:pt idx="426">
                  <c:v>44967</c:v>
                </c:pt>
                <c:pt idx="427">
                  <c:v>44974</c:v>
                </c:pt>
                <c:pt idx="428">
                  <c:v>44981</c:v>
                </c:pt>
                <c:pt idx="429">
                  <c:v>44988</c:v>
                </c:pt>
                <c:pt idx="430">
                  <c:v>44995</c:v>
                </c:pt>
                <c:pt idx="431">
                  <c:v>45002</c:v>
                </c:pt>
                <c:pt idx="432">
                  <c:v>45009</c:v>
                </c:pt>
                <c:pt idx="433">
                  <c:v>45016</c:v>
                </c:pt>
                <c:pt idx="434">
                  <c:v>45023</c:v>
                </c:pt>
                <c:pt idx="435">
                  <c:v>45030</c:v>
                </c:pt>
                <c:pt idx="436">
                  <c:v>45037</c:v>
                </c:pt>
                <c:pt idx="437">
                  <c:v>45044</c:v>
                </c:pt>
                <c:pt idx="438">
                  <c:v>45051</c:v>
                </c:pt>
                <c:pt idx="439">
                  <c:v>45058</c:v>
                </c:pt>
                <c:pt idx="440">
                  <c:v>45065</c:v>
                </c:pt>
                <c:pt idx="441">
                  <c:v>45072</c:v>
                </c:pt>
                <c:pt idx="442">
                  <c:v>45079</c:v>
                </c:pt>
                <c:pt idx="443">
                  <c:v>45086</c:v>
                </c:pt>
                <c:pt idx="444">
                  <c:v>45093</c:v>
                </c:pt>
                <c:pt idx="445">
                  <c:v>45100</c:v>
                </c:pt>
                <c:pt idx="446">
                  <c:v>45107</c:v>
                </c:pt>
                <c:pt idx="447">
                  <c:v>45114</c:v>
                </c:pt>
                <c:pt idx="448">
                  <c:v>45121</c:v>
                </c:pt>
                <c:pt idx="449">
                  <c:v>45128</c:v>
                </c:pt>
                <c:pt idx="450">
                  <c:v>45135</c:v>
                </c:pt>
                <c:pt idx="451">
                  <c:v>45142</c:v>
                </c:pt>
                <c:pt idx="452">
                  <c:v>45149</c:v>
                </c:pt>
                <c:pt idx="453">
                  <c:v>45156</c:v>
                </c:pt>
                <c:pt idx="454">
                  <c:v>45163</c:v>
                </c:pt>
                <c:pt idx="455">
                  <c:v>45170</c:v>
                </c:pt>
                <c:pt idx="456">
                  <c:v>45177</c:v>
                </c:pt>
                <c:pt idx="457">
                  <c:v>45184</c:v>
                </c:pt>
                <c:pt idx="458">
                  <c:v>45191</c:v>
                </c:pt>
                <c:pt idx="459">
                  <c:v>45198</c:v>
                </c:pt>
                <c:pt idx="460">
                  <c:v>45205</c:v>
                </c:pt>
                <c:pt idx="461">
                  <c:v>45212</c:v>
                </c:pt>
                <c:pt idx="462">
                  <c:v>45219</c:v>
                </c:pt>
                <c:pt idx="463">
                  <c:v>45226</c:v>
                </c:pt>
                <c:pt idx="464">
                  <c:v>45233</c:v>
                </c:pt>
                <c:pt idx="465">
                  <c:v>45240</c:v>
                </c:pt>
                <c:pt idx="466">
                  <c:v>45247</c:v>
                </c:pt>
                <c:pt idx="467">
                  <c:v>45254</c:v>
                </c:pt>
                <c:pt idx="468">
                  <c:v>45261</c:v>
                </c:pt>
                <c:pt idx="469">
                  <c:v>45268</c:v>
                </c:pt>
                <c:pt idx="470">
                  <c:v>45275</c:v>
                </c:pt>
                <c:pt idx="471">
                  <c:v>45282</c:v>
                </c:pt>
                <c:pt idx="472">
                  <c:v>45289</c:v>
                </c:pt>
                <c:pt idx="473">
                  <c:v>45296</c:v>
                </c:pt>
                <c:pt idx="474">
                  <c:v>45303</c:v>
                </c:pt>
                <c:pt idx="475">
                  <c:v>45310</c:v>
                </c:pt>
                <c:pt idx="476">
                  <c:v>45317</c:v>
                </c:pt>
                <c:pt idx="477">
                  <c:v>45324</c:v>
                </c:pt>
                <c:pt idx="478">
                  <c:v>45331</c:v>
                </c:pt>
                <c:pt idx="479">
                  <c:v>45338</c:v>
                </c:pt>
                <c:pt idx="480">
                  <c:v>45345</c:v>
                </c:pt>
                <c:pt idx="481">
                  <c:v>45352</c:v>
                </c:pt>
                <c:pt idx="482">
                  <c:v>45359</c:v>
                </c:pt>
                <c:pt idx="483">
                  <c:v>45366</c:v>
                </c:pt>
                <c:pt idx="484">
                  <c:v>45373</c:v>
                </c:pt>
                <c:pt idx="485">
                  <c:v>45380</c:v>
                </c:pt>
                <c:pt idx="486">
                  <c:v>45387</c:v>
                </c:pt>
                <c:pt idx="487">
                  <c:v>45394</c:v>
                </c:pt>
                <c:pt idx="488">
                  <c:v>45401</c:v>
                </c:pt>
                <c:pt idx="489">
                  <c:v>45408</c:v>
                </c:pt>
                <c:pt idx="490">
                  <c:v>45415</c:v>
                </c:pt>
                <c:pt idx="491">
                  <c:v>45422</c:v>
                </c:pt>
                <c:pt idx="492">
                  <c:v>45429</c:v>
                </c:pt>
                <c:pt idx="493">
                  <c:v>45436</c:v>
                </c:pt>
                <c:pt idx="494">
                  <c:v>45443</c:v>
                </c:pt>
                <c:pt idx="495">
                  <c:v>45450</c:v>
                </c:pt>
                <c:pt idx="496">
                  <c:v>45457</c:v>
                </c:pt>
                <c:pt idx="497">
                  <c:v>45464</c:v>
                </c:pt>
                <c:pt idx="498">
                  <c:v>45471</c:v>
                </c:pt>
                <c:pt idx="499">
                  <c:v>45478</c:v>
                </c:pt>
                <c:pt idx="500">
                  <c:v>45485</c:v>
                </c:pt>
                <c:pt idx="501">
                  <c:v>45492</c:v>
                </c:pt>
                <c:pt idx="502">
                  <c:v>45499</c:v>
                </c:pt>
                <c:pt idx="503">
                  <c:v>45506</c:v>
                </c:pt>
                <c:pt idx="504">
                  <c:v>45513</c:v>
                </c:pt>
                <c:pt idx="505">
                  <c:v>45520</c:v>
                </c:pt>
                <c:pt idx="506">
                  <c:v>45527</c:v>
                </c:pt>
                <c:pt idx="507">
                  <c:v>45534</c:v>
                </c:pt>
                <c:pt idx="508">
                  <c:v>45541</c:v>
                </c:pt>
                <c:pt idx="509">
                  <c:v>45548</c:v>
                </c:pt>
                <c:pt idx="510">
                  <c:v>45555</c:v>
                </c:pt>
                <c:pt idx="511">
                  <c:v>45562</c:v>
                </c:pt>
                <c:pt idx="512">
                  <c:v>45569</c:v>
                </c:pt>
                <c:pt idx="513">
                  <c:v>45576</c:v>
                </c:pt>
                <c:pt idx="514">
                  <c:v>45583</c:v>
                </c:pt>
                <c:pt idx="515">
                  <c:v>45590</c:v>
                </c:pt>
                <c:pt idx="516">
                  <c:v>45597</c:v>
                </c:pt>
                <c:pt idx="517">
                  <c:v>45604</c:v>
                </c:pt>
                <c:pt idx="518">
                  <c:v>45611</c:v>
                </c:pt>
                <c:pt idx="519">
                  <c:v>45618</c:v>
                </c:pt>
                <c:pt idx="520">
                  <c:v>45625</c:v>
                </c:pt>
                <c:pt idx="521">
                  <c:v>45632</c:v>
                </c:pt>
                <c:pt idx="522">
                  <c:v>45639</c:v>
                </c:pt>
                <c:pt idx="523">
                  <c:v>45646</c:v>
                </c:pt>
                <c:pt idx="524">
                  <c:v>45653</c:v>
                </c:pt>
                <c:pt idx="525">
                  <c:v>45660</c:v>
                </c:pt>
                <c:pt idx="526">
                  <c:v>45667</c:v>
                </c:pt>
                <c:pt idx="527">
                  <c:v>45674</c:v>
                </c:pt>
                <c:pt idx="528">
                  <c:v>45681</c:v>
                </c:pt>
                <c:pt idx="529">
                  <c:v>45688</c:v>
                </c:pt>
                <c:pt idx="530">
                  <c:v>45695</c:v>
                </c:pt>
                <c:pt idx="531">
                  <c:v>45702</c:v>
                </c:pt>
                <c:pt idx="532">
                  <c:v>45709</c:v>
                </c:pt>
                <c:pt idx="533">
                  <c:v>45716</c:v>
                </c:pt>
                <c:pt idx="534">
                  <c:v>45723</c:v>
                </c:pt>
                <c:pt idx="535">
                  <c:v>45730</c:v>
                </c:pt>
                <c:pt idx="536">
                  <c:v>45737</c:v>
                </c:pt>
                <c:pt idx="537">
                  <c:v>45744</c:v>
                </c:pt>
                <c:pt idx="538">
                  <c:v>45751</c:v>
                </c:pt>
                <c:pt idx="539">
                  <c:v>45758</c:v>
                </c:pt>
                <c:pt idx="540">
                  <c:v>45765</c:v>
                </c:pt>
                <c:pt idx="541">
                  <c:v>45772</c:v>
                </c:pt>
                <c:pt idx="542">
                  <c:v>45779</c:v>
                </c:pt>
                <c:pt idx="543">
                  <c:v>45786</c:v>
                </c:pt>
                <c:pt idx="544">
                  <c:v>45793</c:v>
                </c:pt>
                <c:pt idx="545">
                  <c:v>45800</c:v>
                </c:pt>
                <c:pt idx="546">
                  <c:v>45807</c:v>
                </c:pt>
                <c:pt idx="547">
                  <c:v>45814</c:v>
                </c:pt>
                <c:pt idx="548">
                  <c:v>45821</c:v>
                </c:pt>
                <c:pt idx="549">
                  <c:v>45828</c:v>
                </c:pt>
                <c:pt idx="550">
                  <c:v>45835</c:v>
                </c:pt>
                <c:pt idx="551">
                  <c:v>45842</c:v>
                </c:pt>
                <c:pt idx="552">
                  <c:v>45849</c:v>
                </c:pt>
                <c:pt idx="553">
                  <c:v>45856</c:v>
                </c:pt>
                <c:pt idx="554">
                  <c:v>45863</c:v>
                </c:pt>
                <c:pt idx="555">
                  <c:v>45870</c:v>
                </c:pt>
                <c:pt idx="556">
                  <c:v>45877</c:v>
                </c:pt>
                <c:pt idx="557">
                  <c:v>45884</c:v>
                </c:pt>
                <c:pt idx="558">
                  <c:v>45891</c:v>
                </c:pt>
                <c:pt idx="559">
                  <c:v>45898</c:v>
                </c:pt>
                <c:pt idx="560">
                  <c:v>45905</c:v>
                </c:pt>
                <c:pt idx="561">
                  <c:v>45912</c:v>
                </c:pt>
                <c:pt idx="562">
                  <c:v>45919</c:v>
                </c:pt>
                <c:pt idx="563">
                  <c:v>45926</c:v>
                </c:pt>
                <c:pt idx="564">
                  <c:v>45933</c:v>
                </c:pt>
                <c:pt idx="565">
                  <c:v>45940</c:v>
                </c:pt>
                <c:pt idx="566">
                  <c:v>45947</c:v>
                </c:pt>
                <c:pt idx="567">
                  <c:v>45954</c:v>
                </c:pt>
                <c:pt idx="568">
                  <c:v>45961</c:v>
                </c:pt>
                <c:pt idx="569">
                  <c:v>45968</c:v>
                </c:pt>
                <c:pt idx="570">
                  <c:v>45975</c:v>
                </c:pt>
                <c:pt idx="571">
                  <c:v>45982</c:v>
                </c:pt>
                <c:pt idx="572">
                  <c:v>45989</c:v>
                </c:pt>
                <c:pt idx="573">
                  <c:v>45996</c:v>
                </c:pt>
                <c:pt idx="574">
                  <c:v>46003</c:v>
                </c:pt>
                <c:pt idx="575">
                  <c:v>46010</c:v>
                </c:pt>
                <c:pt idx="576">
                  <c:v>46017</c:v>
                </c:pt>
                <c:pt idx="577">
                  <c:v>46024</c:v>
                </c:pt>
                <c:pt idx="578">
                  <c:v>46031</c:v>
                </c:pt>
                <c:pt idx="579">
                  <c:v>46038</c:v>
                </c:pt>
                <c:pt idx="580">
                  <c:v>46045</c:v>
                </c:pt>
                <c:pt idx="581">
                  <c:v>46052</c:v>
                </c:pt>
                <c:pt idx="582">
                  <c:v>46059</c:v>
                </c:pt>
                <c:pt idx="583">
                  <c:v>46066</c:v>
                </c:pt>
                <c:pt idx="584">
                  <c:v>46073</c:v>
                </c:pt>
                <c:pt idx="585">
                  <c:v>46080</c:v>
                </c:pt>
                <c:pt idx="586">
                  <c:v>46087</c:v>
                </c:pt>
                <c:pt idx="587">
                  <c:v>46094</c:v>
                </c:pt>
                <c:pt idx="588">
                  <c:v>46101</c:v>
                </c:pt>
                <c:pt idx="589">
                  <c:v>46108</c:v>
                </c:pt>
                <c:pt idx="590">
                  <c:v>46115</c:v>
                </c:pt>
                <c:pt idx="591">
                  <c:v>46122</c:v>
                </c:pt>
                <c:pt idx="592">
                  <c:v>46129</c:v>
                </c:pt>
                <c:pt idx="593">
                  <c:v>46136</c:v>
                </c:pt>
                <c:pt idx="594">
                  <c:v>46143</c:v>
                </c:pt>
                <c:pt idx="595">
                  <c:v>46150</c:v>
                </c:pt>
                <c:pt idx="596">
                  <c:v>46157</c:v>
                </c:pt>
                <c:pt idx="597">
                  <c:v>46164</c:v>
                </c:pt>
                <c:pt idx="598">
                  <c:v>46171</c:v>
                </c:pt>
                <c:pt idx="599">
                  <c:v>46178</c:v>
                </c:pt>
                <c:pt idx="600">
                  <c:v>46185</c:v>
                </c:pt>
                <c:pt idx="601">
                  <c:v>46192</c:v>
                </c:pt>
                <c:pt idx="602">
                  <c:v>46199</c:v>
                </c:pt>
                <c:pt idx="603">
                  <c:v>46206</c:v>
                </c:pt>
                <c:pt idx="604">
                  <c:v>46213</c:v>
                </c:pt>
                <c:pt idx="605">
                  <c:v>46220</c:v>
                </c:pt>
                <c:pt idx="606">
                  <c:v>46227</c:v>
                </c:pt>
                <c:pt idx="607">
                  <c:v>46234</c:v>
                </c:pt>
                <c:pt idx="608">
                  <c:v>46241</c:v>
                </c:pt>
                <c:pt idx="609">
                  <c:v>46248</c:v>
                </c:pt>
                <c:pt idx="610">
                  <c:v>46255</c:v>
                </c:pt>
                <c:pt idx="611">
                  <c:v>46262</c:v>
                </c:pt>
                <c:pt idx="612">
                  <c:v>46269</c:v>
                </c:pt>
                <c:pt idx="613">
                  <c:v>46276</c:v>
                </c:pt>
                <c:pt idx="614">
                  <c:v>46283</c:v>
                </c:pt>
                <c:pt idx="615">
                  <c:v>46290</c:v>
                </c:pt>
                <c:pt idx="616">
                  <c:v>46297</c:v>
                </c:pt>
                <c:pt idx="617">
                  <c:v>46304</c:v>
                </c:pt>
                <c:pt idx="618">
                  <c:v>46311</c:v>
                </c:pt>
                <c:pt idx="619">
                  <c:v>46318</c:v>
                </c:pt>
                <c:pt idx="620">
                  <c:v>46325</c:v>
                </c:pt>
                <c:pt idx="621">
                  <c:v>46332</c:v>
                </c:pt>
                <c:pt idx="622">
                  <c:v>46339</c:v>
                </c:pt>
                <c:pt idx="623">
                  <c:v>46346</c:v>
                </c:pt>
                <c:pt idx="624">
                  <c:v>46353</c:v>
                </c:pt>
                <c:pt idx="625">
                  <c:v>46360</c:v>
                </c:pt>
                <c:pt idx="626">
                  <c:v>46367</c:v>
                </c:pt>
                <c:pt idx="627">
                  <c:v>46374</c:v>
                </c:pt>
                <c:pt idx="628">
                  <c:v>46381</c:v>
                </c:pt>
                <c:pt idx="629">
                  <c:v>46388</c:v>
                </c:pt>
                <c:pt idx="630">
                  <c:v>46395</c:v>
                </c:pt>
                <c:pt idx="631">
                  <c:v>46402</c:v>
                </c:pt>
                <c:pt idx="632">
                  <c:v>46409</c:v>
                </c:pt>
                <c:pt idx="633">
                  <c:v>46416</c:v>
                </c:pt>
                <c:pt idx="634">
                  <c:v>46423</c:v>
                </c:pt>
                <c:pt idx="635">
                  <c:v>46430</c:v>
                </c:pt>
                <c:pt idx="636">
                  <c:v>46437</c:v>
                </c:pt>
                <c:pt idx="637">
                  <c:v>46444</c:v>
                </c:pt>
                <c:pt idx="638">
                  <c:v>46451</c:v>
                </c:pt>
                <c:pt idx="639">
                  <c:v>46458</c:v>
                </c:pt>
                <c:pt idx="640">
                  <c:v>46465</c:v>
                </c:pt>
                <c:pt idx="641">
                  <c:v>46472</c:v>
                </c:pt>
                <c:pt idx="642">
                  <c:v>46479</c:v>
                </c:pt>
                <c:pt idx="643">
                  <c:v>46486</c:v>
                </c:pt>
                <c:pt idx="644">
                  <c:v>46493</c:v>
                </c:pt>
                <c:pt idx="645">
                  <c:v>46500</c:v>
                </c:pt>
                <c:pt idx="646">
                  <c:v>46507</c:v>
                </c:pt>
                <c:pt idx="647">
                  <c:v>46514</c:v>
                </c:pt>
                <c:pt idx="648">
                  <c:v>46521</c:v>
                </c:pt>
                <c:pt idx="649">
                  <c:v>46528</c:v>
                </c:pt>
                <c:pt idx="650">
                  <c:v>46535</c:v>
                </c:pt>
                <c:pt idx="651">
                  <c:v>46542</c:v>
                </c:pt>
                <c:pt idx="652">
                  <c:v>46549</c:v>
                </c:pt>
                <c:pt idx="653">
                  <c:v>46556</c:v>
                </c:pt>
                <c:pt idx="654">
                  <c:v>46563</c:v>
                </c:pt>
                <c:pt idx="655">
                  <c:v>46570</c:v>
                </c:pt>
                <c:pt idx="656">
                  <c:v>46577</c:v>
                </c:pt>
                <c:pt idx="657">
                  <c:v>46584</c:v>
                </c:pt>
                <c:pt idx="658">
                  <c:v>46591</c:v>
                </c:pt>
                <c:pt idx="659">
                  <c:v>46598</c:v>
                </c:pt>
                <c:pt idx="660">
                  <c:v>46605</c:v>
                </c:pt>
                <c:pt idx="661">
                  <c:v>46612</c:v>
                </c:pt>
                <c:pt idx="662">
                  <c:v>46619</c:v>
                </c:pt>
                <c:pt idx="663">
                  <c:v>46626</c:v>
                </c:pt>
                <c:pt idx="664">
                  <c:v>46633</c:v>
                </c:pt>
                <c:pt idx="665">
                  <c:v>46640</c:v>
                </c:pt>
                <c:pt idx="666">
                  <c:v>46647</c:v>
                </c:pt>
                <c:pt idx="667">
                  <c:v>46654</c:v>
                </c:pt>
                <c:pt idx="668">
                  <c:v>46661</c:v>
                </c:pt>
                <c:pt idx="669">
                  <c:v>46668</c:v>
                </c:pt>
                <c:pt idx="670">
                  <c:v>46675</c:v>
                </c:pt>
                <c:pt idx="671">
                  <c:v>46682</c:v>
                </c:pt>
                <c:pt idx="672">
                  <c:v>46689</c:v>
                </c:pt>
                <c:pt idx="673">
                  <c:v>46696</c:v>
                </c:pt>
                <c:pt idx="674">
                  <c:v>46703</c:v>
                </c:pt>
                <c:pt idx="675">
                  <c:v>46710</c:v>
                </c:pt>
                <c:pt idx="676">
                  <c:v>46717</c:v>
                </c:pt>
                <c:pt idx="677">
                  <c:v>46724</c:v>
                </c:pt>
                <c:pt idx="678">
                  <c:v>46731</c:v>
                </c:pt>
                <c:pt idx="679">
                  <c:v>46738</c:v>
                </c:pt>
                <c:pt idx="680">
                  <c:v>46745</c:v>
                </c:pt>
                <c:pt idx="681">
                  <c:v>46752</c:v>
                </c:pt>
                <c:pt idx="682">
                  <c:v>46759</c:v>
                </c:pt>
                <c:pt idx="683">
                  <c:v>46766</c:v>
                </c:pt>
                <c:pt idx="684">
                  <c:v>46773</c:v>
                </c:pt>
                <c:pt idx="685">
                  <c:v>46780</c:v>
                </c:pt>
                <c:pt idx="686">
                  <c:v>46787</c:v>
                </c:pt>
                <c:pt idx="687">
                  <c:v>46794</c:v>
                </c:pt>
                <c:pt idx="688">
                  <c:v>46801</c:v>
                </c:pt>
                <c:pt idx="689">
                  <c:v>46808</c:v>
                </c:pt>
                <c:pt idx="690">
                  <c:v>46815</c:v>
                </c:pt>
                <c:pt idx="691">
                  <c:v>46822</c:v>
                </c:pt>
                <c:pt idx="692">
                  <c:v>46829</c:v>
                </c:pt>
                <c:pt idx="693">
                  <c:v>46836</c:v>
                </c:pt>
                <c:pt idx="694">
                  <c:v>46843</c:v>
                </c:pt>
                <c:pt idx="695">
                  <c:v>46850</c:v>
                </c:pt>
                <c:pt idx="696">
                  <c:v>46857</c:v>
                </c:pt>
                <c:pt idx="697">
                  <c:v>46864</c:v>
                </c:pt>
                <c:pt idx="698">
                  <c:v>46871</c:v>
                </c:pt>
                <c:pt idx="699">
                  <c:v>46878</c:v>
                </c:pt>
                <c:pt idx="700">
                  <c:v>46885</c:v>
                </c:pt>
                <c:pt idx="701">
                  <c:v>46892</c:v>
                </c:pt>
                <c:pt idx="702">
                  <c:v>46899</c:v>
                </c:pt>
                <c:pt idx="703">
                  <c:v>46906</c:v>
                </c:pt>
                <c:pt idx="704">
                  <c:v>46913</c:v>
                </c:pt>
                <c:pt idx="705">
                  <c:v>46920</c:v>
                </c:pt>
                <c:pt idx="706">
                  <c:v>46927</c:v>
                </c:pt>
                <c:pt idx="707">
                  <c:v>46934</c:v>
                </c:pt>
                <c:pt idx="708">
                  <c:v>46941</c:v>
                </c:pt>
                <c:pt idx="709">
                  <c:v>46948</c:v>
                </c:pt>
                <c:pt idx="710">
                  <c:v>46955</c:v>
                </c:pt>
                <c:pt idx="711">
                  <c:v>46962</c:v>
                </c:pt>
                <c:pt idx="712">
                  <c:v>46969</c:v>
                </c:pt>
                <c:pt idx="713">
                  <c:v>46976</c:v>
                </c:pt>
                <c:pt idx="714">
                  <c:v>46983</c:v>
                </c:pt>
                <c:pt idx="715">
                  <c:v>46990</c:v>
                </c:pt>
                <c:pt idx="716">
                  <c:v>46997</c:v>
                </c:pt>
                <c:pt idx="717">
                  <c:v>47004</c:v>
                </c:pt>
                <c:pt idx="718">
                  <c:v>47011</c:v>
                </c:pt>
                <c:pt idx="719">
                  <c:v>47018</c:v>
                </c:pt>
                <c:pt idx="720">
                  <c:v>47025</c:v>
                </c:pt>
                <c:pt idx="721">
                  <c:v>47032</c:v>
                </c:pt>
                <c:pt idx="722">
                  <c:v>47039</c:v>
                </c:pt>
                <c:pt idx="723">
                  <c:v>47046</c:v>
                </c:pt>
                <c:pt idx="724">
                  <c:v>47053</c:v>
                </c:pt>
                <c:pt idx="725">
                  <c:v>47060</c:v>
                </c:pt>
                <c:pt idx="726">
                  <c:v>47067</c:v>
                </c:pt>
                <c:pt idx="727">
                  <c:v>47074</c:v>
                </c:pt>
                <c:pt idx="728">
                  <c:v>47081</c:v>
                </c:pt>
                <c:pt idx="729">
                  <c:v>47088</c:v>
                </c:pt>
                <c:pt idx="730">
                  <c:v>47095</c:v>
                </c:pt>
                <c:pt idx="731">
                  <c:v>47102</c:v>
                </c:pt>
                <c:pt idx="732">
                  <c:v>47109</c:v>
                </c:pt>
                <c:pt idx="733">
                  <c:v>47116</c:v>
                </c:pt>
                <c:pt idx="734">
                  <c:v>47123</c:v>
                </c:pt>
                <c:pt idx="735">
                  <c:v>47130</c:v>
                </c:pt>
                <c:pt idx="736">
                  <c:v>47137</c:v>
                </c:pt>
                <c:pt idx="737">
                  <c:v>47144</c:v>
                </c:pt>
                <c:pt idx="738">
                  <c:v>47151</c:v>
                </c:pt>
                <c:pt idx="739">
                  <c:v>47158</c:v>
                </c:pt>
                <c:pt idx="740">
                  <c:v>47165</c:v>
                </c:pt>
                <c:pt idx="741">
                  <c:v>47172</c:v>
                </c:pt>
                <c:pt idx="742">
                  <c:v>47179</c:v>
                </c:pt>
                <c:pt idx="743">
                  <c:v>47186</c:v>
                </c:pt>
                <c:pt idx="744">
                  <c:v>47193</c:v>
                </c:pt>
                <c:pt idx="745">
                  <c:v>47200</c:v>
                </c:pt>
                <c:pt idx="746">
                  <c:v>47207</c:v>
                </c:pt>
                <c:pt idx="747">
                  <c:v>47214</c:v>
                </c:pt>
                <c:pt idx="748">
                  <c:v>47221</c:v>
                </c:pt>
                <c:pt idx="749">
                  <c:v>47228</c:v>
                </c:pt>
                <c:pt idx="750">
                  <c:v>47235</c:v>
                </c:pt>
                <c:pt idx="751">
                  <c:v>47242</c:v>
                </c:pt>
                <c:pt idx="752">
                  <c:v>47249</c:v>
                </c:pt>
                <c:pt idx="753">
                  <c:v>47256</c:v>
                </c:pt>
                <c:pt idx="754">
                  <c:v>47263</c:v>
                </c:pt>
                <c:pt idx="755">
                  <c:v>47270</c:v>
                </c:pt>
                <c:pt idx="756">
                  <c:v>47277</c:v>
                </c:pt>
                <c:pt idx="757">
                  <c:v>47284</c:v>
                </c:pt>
                <c:pt idx="758">
                  <c:v>47291</c:v>
                </c:pt>
                <c:pt idx="759">
                  <c:v>47298</c:v>
                </c:pt>
                <c:pt idx="760">
                  <c:v>47305</c:v>
                </c:pt>
                <c:pt idx="761">
                  <c:v>47312</c:v>
                </c:pt>
                <c:pt idx="762">
                  <c:v>47319</c:v>
                </c:pt>
                <c:pt idx="763">
                  <c:v>47326</c:v>
                </c:pt>
                <c:pt idx="764">
                  <c:v>47333</c:v>
                </c:pt>
                <c:pt idx="765">
                  <c:v>47340</c:v>
                </c:pt>
                <c:pt idx="766">
                  <c:v>47347</c:v>
                </c:pt>
                <c:pt idx="767">
                  <c:v>47354</c:v>
                </c:pt>
                <c:pt idx="768">
                  <c:v>47361</c:v>
                </c:pt>
                <c:pt idx="769">
                  <c:v>47368</c:v>
                </c:pt>
                <c:pt idx="770">
                  <c:v>47375</c:v>
                </c:pt>
                <c:pt idx="771">
                  <c:v>47382</c:v>
                </c:pt>
                <c:pt idx="772">
                  <c:v>47389</c:v>
                </c:pt>
                <c:pt idx="773">
                  <c:v>47396</c:v>
                </c:pt>
                <c:pt idx="774">
                  <c:v>47403</c:v>
                </c:pt>
                <c:pt idx="775">
                  <c:v>47410</c:v>
                </c:pt>
                <c:pt idx="776">
                  <c:v>47417</c:v>
                </c:pt>
                <c:pt idx="777">
                  <c:v>47424</c:v>
                </c:pt>
                <c:pt idx="778">
                  <c:v>47431</c:v>
                </c:pt>
                <c:pt idx="779">
                  <c:v>47438</c:v>
                </c:pt>
                <c:pt idx="780">
                  <c:v>47445</c:v>
                </c:pt>
                <c:pt idx="781">
                  <c:v>47452</c:v>
                </c:pt>
                <c:pt idx="782">
                  <c:v>47459</c:v>
                </c:pt>
                <c:pt idx="783">
                  <c:v>47466</c:v>
                </c:pt>
                <c:pt idx="784">
                  <c:v>47473</c:v>
                </c:pt>
                <c:pt idx="785">
                  <c:v>47480</c:v>
                </c:pt>
                <c:pt idx="786">
                  <c:v>47487</c:v>
                </c:pt>
                <c:pt idx="787">
                  <c:v>47494</c:v>
                </c:pt>
                <c:pt idx="788">
                  <c:v>47501</c:v>
                </c:pt>
                <c:pt idx="789">
                  <c:v>47508</c:v>
                </c:pt>
                <c:pt idx="790">
                  <c:v>47515</c:v>
                </c:pt>
                <c:pt idx="791">
                  <c:v>47522</c:v>
                </c:pt>
                <c:pt idx="792">
                  <c:v>47529</c:v>
                </c:pt>
                <c:pt idx="793">
                  <c:v>47536</c:v>
                </c:pt>
                <c:pt idx="794">
                  <c:v>47543</c:v>
                </c:pt>
                <c:pt idx="795">
                  <c:v>47550</c:v>
                </c:pt>
                <c:pt idx="796">
                  <c:v>47557</c:v>
                </c:pt>
                <c:pt idx="797">
                  <c:v>47564</c:v>
                </c:pt>
                <c:pt idx="798">
                  <c:v>47571</c:v>
                </c:pt>
                <c:pt idx="799">
                  <c:v>47578</c:v>
                </c:pt>
                <c:pt idx="800">
                  <c:v>47585</c:v>
                </c:pt>
                <c:pt idx="801">
                  <c:v>47592</c:v>
                </c:pt>
                <c:pt idx="802">
                  <c:v>47599</c:v>
                </c:pt>
                <c:pt idx="803">
                  <c:v>47606</c:v>
                </c:pt>
                <c:pt idx="804">
                  <c:v>47613</c:v>
                </c:pt>
                <c:pt idx="805">
                  <c:v>47620</c:v>
                </c:pt>
                <c:pt idx="806">
                  <c:v>47627</c:v>
                </c:pt>
                <c:pt idx="807">
                  <c:v>47634</c:v>
                </c:pt>
                <c:pt idx="808">
                  <c:v>47641</c:v>
                </c:pt>
                <c:pt idx="809">
                  <c:v>47648</c:v>
                </c:pt>
                <c:pt idx="810">
                  <c:v>47655</c:v>
                </c:pt>
                <c:pt idx="811">
                  <c:v>47662</c:v>
                </c:pt>
                <c:pt idx="812">
                  <c:v>47669</c:v>
                </c:pt>
                <c:pt idx="813">
                  <c:v>47676</c:v>
                </c:pt>
                <c:pt idx="814">
                  <c:v>47683</c:v>
                </c:pt>
                <c:pt idx="815">
                  <c:v>47690</c:v>
                </c:pt>
                <c:pt idx="816">
                  <c:v>47697</c:v>
                </c:pt>
                <c:pt idx="817">
                  <c:v>47704</c:v>
                </c:pt>
                <c:pt idx="818">
                  <c:v>47711</c:v>
                </c:pt>
                <c:pt idx="819">
                  <c:v>47718</c:v>
                </c:pt>
                <c:pt idx="820">
                  <c:v>47725</c:v>
                </c:pt>
                <c:pt idx="821">
                  <c:v>47732</c:v>
                </c:pt>
                <c:pt idx="822">
                  <c:v>47739</c:v>
                </c:pt>
                <c:pt idx="823">
                  <c:v>47746</c:v>
                </c:pt>
                <c:pt idx="824">
                  <c:v>47753</c:v>
                </c:pt>
                <c:pt idx="825">
                  <c:v>47760</c:v>
                </c:pt>
                <c:pt idx="826">
                  <c:v>47767</c:v>
                </c:pt>
                <c:pt idx="827">
                  <c:v>47774</c:v>
                </c:pt>
                <c:pt idx="828">
                  <c:v>47781</c:v>
                </c:pt>
                <c:pt idx="829">
                  <c:v>47788</c:v>
                </c:pt>
                <c:pt idx="830">
                  <c:v>47795</c:v>
                </c:pt>
                <c:pt idx="831">
                  <c:v>47802</c:v>
                </c:pt>
                <c:pt idx="832">
                  <c:v>47809</c:v>
                </c:pt>
                <c:pt idx="833">
                  <c:v>47816</c:v>
                </c:pt>
                <c:pt idx="834">
                  <c:v>47823</c:v>
                </c:pt>
                <c:pt idx="835">
                  <c:v>47830</c:v>
                </c:pt>
                <c:pt idx="836">
                  <c:v>47837</c:v>
                </c:pt>
                <c:pt idx="837">
                  <c:v>47844</c:v>
                </c:pt>
                <c:pt idx="838">
                  <c:v>47851</c:v>
                </c:pt>
                <c:pt idx="839">
                  <c:v>47858</c:v>
                </c:pt>
                <c:pt idx="840">
                  <c:v>47865</c:v>
                </c:pt>
                <c:pt idx="841">
                  <c:v>47872</c:v>
                </c:pt>
                <c:pt idx="842">
                  <c:v>47879</c:v>
                </c:pt>
                <c:pt idx="843">
                  <c:v>47886</c:v>
                </c:pt>
                <c:pt idx="844">
                  <c:v>47893</c:v>
                </c:pt>
                <c:pt idx="845">
                  <c:v>47900</c:v>
                </c:pt>
                <c:pt idx="846">
                  <c:v>47907</c:v>
                </c:pt>
                <c:pt idx="847">
                  <c:v>47914</c:v>
                </c:pt>
                <c:pt idx="848">
                  <c:v>47921</c:v>
                </c:pt>
                <c:pt idx="849">
                  <c:v>47928</c:v>
                </c:pt>
                <c:pt idx="850">
                  <c:v>47935</c:v>
                </c:pt>
                <c:pt idx="851">
                  <c:v>47942</c:v>
                </c:pt>
                <c:pt idx="852">
                  <c:v>47949</c:v>
                </c:pt>
                <c:pt idx="853">
                  <c:v>47956</c:v>
                </c:pt>
                <c:pt idx="854">
                  <c:v>47963</c:v>
                </c:pt>
                <c:pt idx="855">
                  <c:v>47970</c:v>
                </c:pt>
                <c:pt idx="856">
                  <c:v>47977</c:v>
                </c:pt>
                <c:pt idx="857">
                  <c:v>47984</c:v>
                </c:pt>
                <c:pt idx="858">
                  <c:v>47991</c:v>
                </c:pt>
                <c:pt idx="859">
                  <c:v>47998</c:v>
                </c:pt>
                <c:pt idx="860">
                  <c:v>48005</c:v>
                </c:pt>
                <c:pt idx="861">
                  <c:v>48012</c:v>
                </c:pt>
                <c:pt idx="862">
                  <c:v>48019</c:v>
                </c:pt>
                <c:pt idx="863">
                  <c:v>48026</c:v>
                </c:pt>
                <c:pt idx="864">
                  <c:v>48033</c:v>
                </c:pt>
                <c:pt idx="865">
                  <c:v>48040</c:v>
                </c:pt>
                <c:pt idx="866">
                  <c:v>48047</c:v>
                </c:pt>
                <c:pt idx="867">
                  <c:v>48054</c:v>
                </c:pt>
                <c:pt idx="868">
                  <c:v>48061</c:v>
                </c:pt>
                <c:pt idx="869">
                  <c:v>48068</c:v>
                </c:pt>
                <c:pt idx="870">
                  <c:v>48075</c:v>
                </c:pt>
                <c:pt idx="871">
                  <c:v>48082</c:v>
                </c:pt>
                <c:pt idx="872">
                  <c:v>48089</c:v>
                </c:pt>
                <c:pt idx="873">
                  <c:v>48096</c:v>
                </c:pt>
                <c:pt idx="874">
                  <c:v>48103</c:v>
                </c:pt>
                <c:pt idx="875">
                  <c:v>48110</c:v>
                </c:pt>
                <c:pt idx="876">
                  <c:v>48117</c:v>
                </c:pt>
                <c:pt idx="877">
                  <c:v>48124</c:v>
                </c:pt>
                <c:pt idx="878">
                  <c:v>48131</c:v>
                </c:pt>
                <c:pt idx="879">
                  <c:v>48138</c:v>
                </c:pt>
                <c:pt idx="880">
                  <c:v>48145</c:v>
                </c:pt>
                <c:pt idx="881">
                  <c:v>48152</c:v>
                </c:pt>
                <c:pt idx="882">
                  <c:v>48159</c:v>
                </c:pt>
                <c:pt idx="883">
                  <c:v>48166</c:v>
                </c:pt>
                <c:pt idx="884">
                  <c:v>48173</c:v>
                </c:pt>
                <c:pt idx="885">
                  <c:v>48180</c:v>
                </c:pt>
                <c:pt idx="886">
                  <c:v>48187</c:v>
                </c:pt>
                <c:pt idx="887">
                  <c:v>48194</c:v>
                </c:pt>
                <c:pt idx="888">
                  <c:v>48201</c:v>
                </c:pt>
                <c:pt idx="889">
                  <c:v>48208</c:v>
                </c:pt>
                <c:pt idx="890">
                  <c:v>48215</c:v>
                </c:pt>
                <c:pt idx="891">
                  <c:v>48222</c:v>
                </c:pt>
                <c:pt idx="892">
                  <c:v>48229</c:v>
                </c:pt>
                <c:pt idx="893">
                  <c:v>48236</c:v>
                </c:pt>
                <c:pt idx="894">
                  <c:v>48243</c:v>
                </c:pt>
                <c:pt idx="895">
                  <c:v>48250</c:v>
                </c:pt>
                <c:pt idx="896">
                  <c:v>48257</c:v>
                </c:pt>
                <c:pt idx="897">
                  <c:v>48264</c:v>
                </c:pt>
                <c:pt idx="898">
                  <c:v>48271</c:v>
                </c:pt>
                <c:pt idx="899">
                  <c:v>48278</c:v>
                </c:pt>
                <c:pt idx="900">
                  <c:v>48285</c:v>
                </c:pt>
                <c:pt idx="901">
                  <c:v>48292</c:v>
                </c:pt>
                <c:pt idx="902">
                  <c:v>48299</c:v>
                </c:pt>
                <c:pt idx="903">
                  <c:v>48306</c:v>
                </c:pt>
                <c:pt idx="904">
                  <c:v>48313</c:v>
                </c:pt>
                <c:pt idx="905">
                  <c:v>48320</c:v>
                </c:pt>
                <c:pt idx="906">
                  <c:v>48327</c:v>
                </c:pt>
                <c:pt idx="907">
                  <c:v>48334</c:v>
                </c:pt>
                <c:pt idx="908">
                  <c:v>48341</c:v>
                </c:pt>
                <c:pt idx="909">
                  <c:v>48348</c:v>
                </c:pt>
                <c:pt idx="910">
                  <c:v>48355</c:v>
                </c:pt>
                <c:pt idx="911">
                  <c:v>48362</c:v>
                </c:pt>
                <c:pt idx="912">
                  <c:v>48369</c:v>
                </c:pt>
                <c:pt idx="913">
                  <c:v>48376</c:v>
                </c:pt>
                <c:pt idx="914">
                  <c:v>48383</c:v>
                </c:pt>
                <c:pt idx="915">
                  <c:v>48390</c:v>
                </c:pt>
                <c:pt idx="916">
                  <c:v>48397</c:v>
                </c:pt>
                <c:pt idx="917">
                  <c:v>48404</c:v>
                </c:pt>
                <c:pt idx="918">
                  <c:v>48411</c:v>
                </c:pt>
                <c:pt idx="919">
                  <c:v>48418</c:v>
                </c:pt>
                <c:pt idx="920">
                  <c:v>48425</c:v>
                </c:pt>
                <c:pt idx="921">
                  <c:v>48432</c:v>
                </c:pt>
                <c:pt idx="922">
                  <c:v>48439</c:v>
                </c:pt>
                <c:pt idx="923">
                  <c:v>48446</c:v>
                </c:pt>
                <c:pt idx="924">
                  <c:v>48453</c:v>
                </c:pt>
                <c:pt idx="925">
                  <c:v>48460</c:v>
                </c:pt>
                <c:pt idx="926">
                  <c:v>48467</c:v>
                </c:pt>
                <c:pt idx="927">
                  <c:v>48474</c:v>
                </c:pt>
                <c:pt idx="928">
                  <c:v>48481</c:v>
                </c:pt>
                <c:pt idx="929">
                  <c:v>48488</c:v>
                </c:pt>
                <c:pt idx="930">
                  <c:v>48495</c:v>
                </c:pt>
                <c:pt idx="931">
                  <c:v>48502</c:v>
                </c:pt>
                <c:pt idx="932">
                  <c:v>48509</c:v>
                </c:pt>
                <c:pt idx="933">
                  <c:v>48516</c:v>
                </c:pt>
                <c:pt idx="934">
                  <c:v>48523</c:v>
                </c:pt>
                <c:pt idx="935">
                  <c:v>48530</c:v>
                </c:pt>
                <c:pt idx="936">
                  <c:v>48537</c:v>
                </c:pt>
                <c:pt idx="937">
                  <c:v>48544</c:v>
                </c:pt>
                <c:pt idx="938">
                  <c:v>48551</c:v>
                </c:pt>
                <c:pt idx="939">
                  <c:v>48558</c:v>
                </c:pt>
                <c:pt idx="940">
                  <c:v>48565</c:v>
                </c:pt>
                <c:pt idx="941">
                  <c:v>48572</c:v>
                </c:pt>
                <c:pt idx="942">
                  <c:v>48579</c:v>
                </c:pt>
                <c:pt idx="943">
                  <c:v>48586</c:v>
                </c:pt>
                <c:pt idx="944">
                  <c:v>48593</c:v>
                </c:pt>
                <c:pt idx="945">
                  <c:v>48600</c:v>
                </c:pt>
                <c:pt idx="946">
                  <c:v>48607</c:v>
                </c:pt>
                <c:pt idx="947">
                  <c:v>48614</c:v>
                </c:pt>
                <c:pt idx="948">
                  <c:v>48621</c:v>
                </c:pt>
                <c:pt idx="949">
                  <c:v>48628</c:v>
                </c:pt>
                <c:pt idx="950">
                  <c:v>48635</c:v>
                </c:pt>
                <c:pt idx="951">
                  <c:v>48642</c:v>
                </c:pt>
                <c:pt idx="952">
                  <c:v>48649</c:v>
                </c:pt>
                <c:pt idx="953">
                  <c:v>48656</c:v>
                </c:pt>
                <c:pt idx="954">
                  <c:v>48663</c:v>
                </c:pt>
                <c:pt idx="955">
                  <c:v>48670</c:v>
                </c:pt>
                <c:pt idx="956">
                  <c:v>48677</c:v>
                </c:pt>
                <c:pt idx="957">
                  <c:v>48684</c:v>
                </c:pt>
                <c:pt idx="958">
                  <c:v>48691</c:v>
                </c:pt>
                <c:pt idx="959">
                  <c:v>48698</c:v>
                </c:pt>
                <c:pt idx="960">
                  <c:v>48705</c:v>
                </c:pt>
                <c:pt idx="961">
                  <c:v>48712</c:v>
                </c:pt>
                <c:pt idx="962">
                  <c:v>48719</c:v>
                </c:pt>
                <c:pt idx="963">
                  <c:v>48726</c:v>
                </c:pt>
                <c:pt idx="964">
                  <c:v>48733</c:v>
                </c:pt>
                <c:pt idx="965">
                  <c:v>48740</c:v>
                </c:pt>
                <c:pt idx="966">
                  <c:v>48747</c:v>
                </c:pt>
                <c:pt idx="967">
                  <c:v>48754</c:v>
                </c:pt>
                <c:pt idx="968">
                  <c:v>48761</c:v>
                </c:pt>
                <c:pt idx="969">
                  <c:v>48768</c:v>
                </c:pt>
                <c:pt idx="970">
                  <c:v>48775</c:v>
                </c:pt>
                <c:pt idx="971">
                  <c:v>48782</c:v>
                </c:pt>
                <c:pt idx="972">
                  <c:v>48789</c:v>
                </c:pt>
                <c:pt idx="973">
                  <c:v>48796</c:v>
                </c:pt>
                <c:pt idx="974">
                  <c:v>48803</c:v>
                </c:pt>
                <c:pt idx="975">
                  <c:v>48810</c:v>
                </c:pt>
                <c:pt idx="976">
                  <c:v>48817</c:v>
                </c:pt>
                <c:pt idx="977">
                  <c:v>48824</c:v>
                </c:pt>
                <c:pt idx="978">
                  <c:v>48831</c:v>
                </c:pt>
                <c:pt idx="979">
                  <c:v>48838</c:v>
                </c:pt>
                <c:pt idx="980">
                  <c:v>48845</c:v>
                </c:pt>
                <c:pt idx="981">
                  <c:v>48852</c:v>
                </c:pt>
                <c:pt idx="982">
                  <c:v>48859</c:v>
                </c:pt>
                <c:pt idx="983">
                  <c:v>48866</c:v>
                </c:pt>
                <c:pt idx="984">
                  <c:v>48873</c:v>
                </c:pt>
                <c:pt idx="985">
                  <c:v>48880</c:v>
                </c:pt>
                <c:pt idx="986">
                  <c:v>48887</c:v>
                </c:pt>
                <c:pt idx="987">
                  <c:v>48894</c:v>
                </c:pt>
                <c:pt idx="988">
                  <c:v>48901</c:v>
                </c:pt>
                <c:pt idx="989">
                  <c:v>48908</c:v>
                </c:pt>
                <c:pt idx="990">
                  <c:v>48915</c:v>
                </c:pt>
                <c:pt idx="991">
                  <c:v>48922</c:v>
                </c:pt>
                <c:pt idx="992">
                  <c:v>48929</c:v>
                </c:pt>
                <c:pt idx="993">
                  <c:v>48936</c:v>
                </c:pt>
                <c:pt idx="994">
                  <c:v>48943</c:v>
                </c:pt>
                <c:pt idx="995">
                  <c:v>48950</c:v>
                </c:pt>
                <c:pt idx="996">
                  <c:v>48957</c:v>
                </c:pt>
                <c:pt idx="997">
                  <c:v>48964</c:v>
                </c:pt>
                <c:pt idx="998">
                  <c:v>48971</c:v>
                </c:pt>
                <c:pt idx="999">
                  <c:v>48978</c:v>
                </c:pt>
                <c:pt idx="1000">
                  <c:v>48985</c:v>
                </c:pt>
                <c:pt idx="1001">
                  <c:v>48992</c:v>
                </c:pt>
                <c:pt idx="1002">
                  <c:v>48999</c:v>
                </c:pt>
                <c:pt idx="1003">
                  <c:v>49006</c:v>
                </c:pt>
                <c:pt idx="1004">
                  <c:v>49013</c:v>
                </c:pt>
                <c:pt idx="1005">
                  <c:v>49020</c:v>
                </c:pt>
                <c:pt idx="1006">
                  <c:v>49027</c:v>
                </c:pt>
                <c:pt idx="1007">
                  <c:v>49034</c:v>
                </c:pt>
                <c:pt idx="1008">
                  <c:v>49041</c:v>
                </c:pt>
                <c:pt idx="1009">
                  <c:v>49048</c:v>
                </c:pt>
                <c:pt idx="1010">
                  <c:v>49055</c:v>
                </c:pt>
                <c:pt idx="1011">
                  <c:v>49062</c:v>
                </c:pt>
                <c:pt idx="1012">
                  <c:v>49069</c:v>
                </c:pt>
                <c:pt idx="1013">
                  <c:v>49076</c:v>
                </c:pt>
                <c:pt idx="1014">
                  <c:v>49083</c:v>
                </c:pt>
                <c:pt idx="1015">
                  <c:v>49090</c:v>
                </c:pt>
                <c:pt idx="1016">
                  <c:v>49097</c:v>
                </c:pt>
                <c:pt idx="1017">
                  <c:v>49104</c:v>
                </c:pt>
                <c:pt idx="1018">
                  <c:v>49111</c:v>
                </c:pt>
                <c:pt idx="1019">
                  <c:v>49118</c:v>
                </c:pt>
                <c:pt idx="1020">
                  <c:v>49125</c:v>
                </c:pt>
                <c:pt idx="1021">
                  <c:v>49132</c:v>
                </c:pt>
                <c:pt idx="1022">
                  <c:v>49139</c:v>
                </c:pt>
                <c:pt idx="1023">
                  <c:v>49146</c:v>
                </c:pt>
                <c:pt idx="1024">
                  <c:v>49153</c:v>
                </c:pt>
                <c:pt idx="1025">
                  <c:v>49160</c:v>
                </c:pt>
                <c:pt idx="1026">
                  <c:v>49167</c:v>
                </c:pt>
                <c:pt idx="1027">
                  <c:v>49174</c:v>
                </c:pt>
                <c:pt idx="1028">
                  <c:v>49181</c:v>
                </c:pt>
                <c:pt idx="1029">
                  <c:v>49188</c:v>
                </c:pt>
                <c:pt idx="1030">
                  <c:v>49195</c:v>
                </c:pt>
                <c:pt idx="1031">
                  <c:v>49202</c:v>
                </c:pt>
                <c:pt idx="1032">
                  <c:v>49209</c:v>
                </c:pt>
                <c:pt idx="1033">
                  <c:v>49216</c:v>
                </c:pt>
                <c:pt idx="1034">
                  <c:v>49223</c:v>
                </c:pt>
                <c:pt idx="1035">
                  <c:v>49230</c:v>
                </c:pt>
                <c:pt idx="1036">
                  <c:v>49237</c:v>
                </c:pt>
                <c:pt idx="1037">
                  <c:v>49244</c:v>
                </c:pt>
                <c:pt idx="1038">
                  <c:v>49251</c:v>
                </c:pt>
                <c:pt idx="1039">
                  <c:v>49258</c:v>
                </c:pt>
                <c:pt idx="1040">
                  <c:v>49265</c:v>
                </c:pt>
                <c:pt idx="1041">
                  <c:v>49272</c:v>
                </c:pt>
                <c:pt idx="1042">
                  <c:v>49279</c:v>
                </c:pt>
                <c:pt idx="1043">
                  <c:v>49286</c:v>
                </c:pt>
                <c:pt idx="1044">
                  <c:v>49293</c:v>
                </c:pt>
                <c:pt idx="1045">
                  <c:v>49300</c:v>
                </c:pt>
                <c:pt idx="1046">
                  <c:v>49307</c:v>
                </c:pt>
                <c:pt idx="1047">
                  <c:v>49314</c:v>
                </c:pt>
                <c:pt idx="1048">
                  <c:v>49321</c:v>
                </c:pt>
                <c:pt idx="1049">
                  <c:v>49328</c:v>
                </c:pt>
                <c:pt idx="1050">
                  <c:v>49335</c:v>
                </c:pt>
                <c:pt idx="1051">
                  <c:v>49342</c:v>
                </c:pt>
                <c:pt idx="1052">
                  <c:v>49349</c:v>
                </c:pt>
                <c:pt idx="1053">
                  <c:v>49356</c:v>
                </c:pt>
                <c:pt idx="1054">
                  <c:v>49363</c:v>
                </c:pt>
                <c:pt idx="1055">
                  <c:v>49370</c:v>
                </c:pt>
                <c:pt idx="1056">
                  <c:v>49377</c:v>
                </c:pt>
                <c:pt idx="1057">
                  <c:v>49384</c:v>
                </c:pt>
                <c:pt idx="1058">
                  <c:v>49391</c:v>
                </c:pt>
                <c:pt idx="1059">
                  <c:v>49398</c:v>
                </c:pt>
                <c:pt idx="1060">
                  <c:v>49405</c:v>
                </c:pt>
                <c:pt idx="1061">
                  <c:v>49412</c:v>
                </c:pt>
                <c:pt idx="1062">
                  <c:v>49419</c:v>
                </c:pt>
                <c:pt idx="1063">
                  <c:v>49426</c:v>
                </c:pt>
                <c:pt idx="1064">
                  <c:v>49433</c:v>
                </c:pt>
                <c:pt idx="1065">
                  <c:v>49440</c:v>
                </c:pt>
                <c:pt idx="1066">
                  <c:v>49447</c:v>
                </c:pt>
                <c:pt idx="1067">
                  <c:v>49454</c:v>
                </c:pt>
                <c:pt idx="1068">
                  <c:v>49461</c:v>
                </c:pt>
                <c:pt idx="1069">
                  <c:v>49468</c:v>
                </c:pt>
                <c:pt idx="1070">
                  <c:v>49475</c:v>
                </c:pt>
                <c:pt idx="1071">
                  <c:v>49482</c:v>
                </c:pt>
                <c:pt idx="1072">
                  <c:v>49489</c:v>
                </c:pt>
                <c:pt idx="1073">
                  <c:v>49496</c:v>
                </c:pt>
                <c:pt idx="1074">
                  <c:v>49503</c:v>
                </c:pt>
                <c:pt idx="1075">
                  <c:v>49510</c:v>
                </c:pt>
                <c:pt idx="1076">
                  <c:v>49517</c:v>
                </c:pt>
                <c:pt idx="1077">
                  <c:v>49524</c:v>
                </c:pt>
                <c:pt idx="1078">
                  <c:v>49531</c:v>
                </c:pt>
                <c:pt idx="1079">
                  <c:v>49538</c:v>
                </c:pt>
                <c:pt idx="1080">
                  <c:v>49545</c:v>
                </c:pt>
                <c:pt idx="1081">
                  <c:v>49552</c:v>
                </c:pt>
                <c:pt idx="1082">
                  <c:v>49559</c:v>
                </c:pt>
                <c:pt idx="1083">
                  <c:v>49566</c:v>
                </c:pt>
                <c:pt idx="1084">
                  <c:v>49573</c:v>
                </c:pt>
                <c:pt idx="1085">
                  <c:v>49580</c:v>
                </c:pt>
                <c:pt idx="1086">
                  <c:v>49587</c:v>
                </c:pt>
                <c:pt idx="1087">
                  <c:v>49594</c:v>
                </c:pt>
                <c:pt idx="1088">
                  <c:v>49601</c:v>
                </c:pt>
                <c:pt idx="1089">
                  <c:v>49608</c:v>
                </c:pt>
                <c:pt idx="1090">
                  <c:v>49615</c:v>
                </c:pt>
                <c:pt idx="1091">
                  <c:v>49622</c:v>
                </c:pt>
                <c:pt idx="1092">
                  <c:v>49629</c:v>
                </c:pt>
                <c:pt idx="1093">
                  <c:v>49636</c:v>
                </c:pt>
                <c:pt idx="1094">
                  <c:v>49643</c:v>
                </c:pt>
                <c:pt idx="1095">
                  <c:v>49650</c:v>
                </c:pt>
                <c:pt idx="1096">
                  <c:v>49657</c:v>
                </c:pt>
                <c:pt idx="1097">
                  <c:v>49664</c:v>
                </c:pt>
                <c:pt idx="1098">
                  <c:v>49671</c:v>
                </c:pt>
                <c:pt idx="1099">
                  <c:v>49678</c:v>
                </c:pt>
                <c:pt idx="1100">
                  <c:v>49685</c:v>
                </c:pt>
                <c:pt idx="1101">
                  <c:v>49692</c:v>
                </c:pt>
                <c:pt idx="1102">
                  <c:v>49699</c:v>
                </c:pt>
                <c:pt idx="1103">
                  <c:v>49706</c:v>
                </c:pt>
                <c:pt idx="1104">
                  <c:v>49713</c:v>
                </c:pt>
                <c:pt idx="1105">
                  <c:v>49720</c:v>
                </c:pt>
                <c:pt idx="1106">
                  <c:v>49727</c:v>
                </c:pt>
                <c:pt idx="1107">
                  <c:v>49734</c:v>
                </c:pt>
                <c:pt idx="1108">
                  <c:v>49741</c:v>
                </c:pt>
                <c:pt idx="1109">
                  <c:v>49748</c:v>
                </c:pt>
                <c:pt idx="1110">
                  <c:v>49755</c:v>
                </c:pt>
                <c:pt idx="1111">
                  <c:v>49762</c:v>
                </c:pt>
                <c:pt idx="1112">
                  <c:v>49769</c:v>
                </c:pt>
                <c:pt idx="1113">
                  <c:v>49776</c:v>
                </c:pt>
                <c:pt idx="1114">
                  <c:v>49783</c:v>
                </c:pt>
                <c:pt idx="1115">
                  <c:v>49790</c:v>
                </c:pt>
                <c:pt idx="1116">
                  <c:v>49797</c:v>
                </c:pt>
                <c:pt idx="1117">
                  <c:v>49804</c:v>
                </c:pt>
                <c:pt idx="1118">
                  <c:v>49811</c:v>
                </c:pt>
                <c:pt idx="1119">
                  <c:v>49818</c:v>
                </c:pt>
                <c:pt idx="1120">
                  <c:v>49825</c:v>
                </c:pt>
                <c:pt idx="1121">
                  <c:v>49832</c:v>
                </c:pt>
                <c:pt idx="1122">
                  <c:v>49839</c:v>
                </c:pt>
                <c:pt idx="1123">
                  <c:v>49846</c:v>
                </c:pt>
                <c:pt idx="1124">
                  <c:v>49853</c:v>
                </c:pt>
                <c:pt idx="1125">
                  <c:v>49860</c:v>
                </c:pt>
                <c:pt idx="1126">
                  <c:v>49867</c:v>
                </c:pt>
                <c:pt idx="1127">
                  <c:v>49874</c:v>
                </c:pt>
                <c:pt idx="1128">
                  <c:v>49881</c:v>
                </c:pt>
                <c:pt idx="1129">
                  <c:v>49888</c:v>
                </c:pt>
                <c:pt idx="1130">
                  <c:v>49895</c:v>
                </c:pt>
                <c:pt idx="1131">
                  <c:v>49902</c:v>
                </c:pt>
                <c:pt idx="1132">
                  <c:v>49909</c:v>
                </c:pt>
                <c:pt idx="1133">
                  <c:v>49916</c:v>
                </c:pt>
                <c:pt idx="1134">
                  <c:v>49923</c:v>
                </c:pt>
                <c:pt idx="1135">
                  <c:v>49930</c:v>
                </c:pt>
                <c:pt idx="1136">
                  <c:v>49937</c:v>
                </c:pt>
                <c:pt idx="1137">
                  <c:v>49944</c:v>
                </c:pt>
                <c:pt idx="1138">
                  <c:v>49951</c:v>
                </c:pt>
                <c:pt idx="1139">
                  <c:v>49958</c:v>
                </c:pt>
                <c:pt idx="1140">
                  <c:v>49965</c:v>
                </c:pt>
                <c:pt idx="1141">
                  <c:v>49972</c:v>
                </c:pt>
                <c:pt idx="1142">
                  <c:v>49979</c:v>
                </c:pt>
                <c:pt idx="1143">
                  <c:v>49986</c:v>
                </c:pt>
                <c:pt idx="1144">
                  <c:v>49993</c:v>
                </c:pt>
                <c:pt idx="1145">
                  <c:v>50000</c:v>
                </c:pt>
                <c:pt idx="1146">
                  <c:v>50007</c:v>
                </c:pt>
                <c:pt idx="1147">
                  <c:v>50014</c:v>
                </c:pt>
                <c:pt idx="1148">
                  <c:v>50021</c:v>
                </c:pt>
                <c:pt idx="1149">
                  <c:v>50028</c:v>
                </c:pt>
                <c:pt idx="1150">
                  <c:v>50035</c:v>
                </c:pt>
                <c:pt idx="1151">
                  <c:v>50042</c:v>
                </c:pt>
                <c:pt idx="1152">
                  <c:v>50049</c:v>
                </c:pt>
                <c:pt idx="1153">
                  <c:v>50056</c:v>
                </c:pt>
                <c:pt idx="1154">
                  <c:v>50063</c:v>
                </c:pt>
                <c:pt idx="1155">
                  <c:v>50070</c:v>
                </c:pt>
                <c:pt idx="1156">
                  <c:v>50077</c:v>
                </c:pt>
                <c:pt idx="1157">
                  <c:v>50084</c:v>
                </c:pt>
                <c:pt idx="1158">
                  <c:v>50091</c:v>
                </c:pt>
                <c:pt idx="1159">
                  <c:v>50098</c:v>
                </c:pt>
                <c:pt idx="1160">
                  <c:v>50105</c:v>
                </c:pt>
                <c:pt idx="1161">
                  <c:v>50112</c:v>
                </c:pt>
                <c:pt idx="1162">
                  <c:v>50119</c:v>
                </c:pt>
                <c:pt idx="1163">
                  <c:v>50126</c:v>
                </c:pt>
                <c:pt idx="1164">
                  <c:v>50133</c:v>
                </c:pt>
                <c:pt idx="1165">
                  <c:v>50140</c:v>
                </c:pt>
                <c:pt idx="1166">
                  <c:v>50147</c:v>
                </c:pt>
                <c:pt idx="1167">
                  <c:v>50154</c:v>
                </c:pt>
                <c:pt idx="1168">
                  <c:v>50161</c:v>
                </c:pt>
                <c:pt idx="1169">
                  <c:v>50168</c:v>
                </c:pt>
                <c:pt idx="1170">
                  <c:v>50175</c:v>
                </c:pt>
                <c:pt idx="1171">
                  <c:v>50182</c:v>
                </c:pt>
                <c:pt idx="1172">
                  <c:v>50189</c:v>
                </c:pt>
                <c:pt idx="1173">
                  <c:v>50196</c:v>
                </c:pt>
                <c:pt idx="1174">
                  <c:v>50203</c:v>
                </c:pt>
                <c:pt idx="1175">
                  <c:v>50210</c:v>
                </c:pt>
                <c:pt idx="1176">
                  <c:v>50217</c:v>
                </c:pt>
                <c:pt idx="1177">
                  <c:v>50224</c:v>
                </c:pt>
                <c:pt idx="1178">
                  <c:v>50231</c:v>
                </c:pt>
                <c:pt idx="1179">
                  <c:v>50238</c:v>
                </c:pt>
                <c:pt idx="1180">
                  <c:v>50245</c:v>
                </c:pt>
                <c:pt idx="1181">
                  <c:v>50252</c:v>
                </c:pt>
                <c:pt idx="1182">
                  <c:v>50259</c:v>
                </c:pt>
                <c:pt idx="1183">
                  <c:v>50266</c:v>
                </c:pt>
                <c:pt idx="1184">
                  <c:v>50273</c:v>
                </c:pt>
                <c:pt idx="1185">
                  <c:v>50280</c:v>
                </c:pt>
                <c:pt idx="1186">
                  <c:v>50287</c:v>
                </c:pt>
                <c:pt idx="1187">
                  <c:v>50294</c:v>
                </c:pt>
                <c:pt idx="1188">
                  <c:v>50301</c:v>
                </c:pt>
                <c:pt idx="1189">
                  <c:v>50308</c:v>
                </c:pt>
                <c:pt idx="1190">
                  <c:v>50315</c:v>
                </c:pt>
                <c:pt idx="1191">
                  <c:v>50322</c:v>
                </c:pt>
                <c:pt idx="1192">
                  <c:v>50329</c:v>
                </c:pt>
                <c:pt idx="1193">
                  <c:v>50336</c:v>
                </c:pt>
                <c:pt idx="1194">
                  <c:v>50343</c:v>
                </c:pt>
                <c:pt idx="1195">
                  <c:v>50350</c:v>
                </c:pt>
                <c:pt idx="1196">
                  <c:v>50357</c:v>
                </c:pt>
                <c:pt idx="1197">
                  <c:v>50364</c:v>
                </c:pt>
                <c:pt idx="1198">
                  <c:v>50371</c:v>
                </c:pt>
                <c:pt idx="1199">
                  <c:v>50378</c:v>
                </c:pt>
                <c:pt idx="1200">
                  <c:v>50385</c:v>
                </c:pt>
                <c:pt idx="1201">
                  <c:v>50392</c:v>
                </c:pt>
                <c:pt idx="1202">
                  <c:v>50399</c:v>
                </c:pt>
                <c:pt idx="1203">
                  <c:v>50406</c:v>
                </c:pt>
                <c:pt idx="1204">
                  <c:v>50413</c:v>
                </c:pt>
                <c:pt idx="1205">
                  <c:v>50420</c:v>
                </c:pt>
                <c:pt idx="1206">
                  <c:v>50427</c:v>
                </c:pt>
                <c:pt idx="1207">
                  <c:v>50434</c:v>
                </c:pt>
                <c:pt idx="1208">
                  <c:v>50441</c:v>
                </c:pt>
                <c:pt idx="1209">
                  <c:v>50448</c:v>
                </c:pt>
                <c:pt idx="1210">
                  <c:v>50455</c:v>
                </c:pt>
                <c:pt idx="1211">
                  <c:v>50462</c:v>
                </c:pt>
                <c:pt idx="1212">
                  <c:v>50469</c:v>
                </c:pt>
                <c:pt idx="1213">
                  <c:v>50476</c:v>
                </c:pt>
                <c:pt idx="1214">
                  <c:v>50483</c:v>
                </c:pt>
                <c:pt idx="1215">
                  <c:v>50490</c:v>
                </c:pt>
                <c:pt idx="1216">
                  <c:v>50497</c:v>
                </c:pt>
                <c:pt idx="1217">
                  <c:v>50504</c:v>
                </c:pt>
                <c:pt idx="1218">
                  <c:v>50511</c:v>
                </c:pt>
                <c:pt idx="1219">
                  <c:v>50518</c:v>
                </c:pt>
                <c:pt idx="1220">
                  <c:v>50525</c:v>
                </c:pt>
                <c:pt idx="1221">
                  <c:v>50532</c:v>
                </c:pt>
                <c:pt idx="1222">
                  <c:v>50539</c:v>
                </c:pt>
                <c:pt idx="1223">
                  <c:v>50546</c:v>
                </c:pt>
                <c:pt idx="1224">
                  <c:v>50553</c:v>
                </c:pt>
                <c:pt idx="1225">
                  <c:v>50560</c:v>
                </c:pt>
                <c:pt idx="1226">
                  <c:v>50567</c:v>
                </c:pt>
                <c:pt idx="1227">
                  <c:v>50574</c:v>
                </c:pt>
                <c:pt idx="1228">
                  <c:v>50581</c:v>
                </c:pt>
                <c:pt idx="1229">
                  <c:v>50588</c:v>
                </c:pt>
                <c:pt idx="1230">
                  <c:v>50595</c:v>
                </c:pt>
                <c:pt idx="1231">
                  <c:v>50602</c:v>
                </c:pt>
                <c:pt idx="1232">
                  <c:v>50609</c:v>
                </c:pt>
                <c:pt idx="1233">
                  <c:v>50616</c:v>
                </c:pt>
                <c:pt idx="1234">
                  <c:v>50623</c:v>
                </c:pt>
                <c:pt idx="1235">
                  <c:v>50630</c:v>
                </c:pt>
                <c:pt idx="1236">
                  <c:v>50637</c:v>
                </c:pt>
                <c:pt idx="1237">
                  <c:v>50644</c:v>
                </c:pt>
                <c:pt idx="1238">
                  <c:v>50651</c:v>
                </c:pt>
                <c:pt idx="1239">
                  <c:v>50658</c:v>
                </c:pt>
                <c:pt idx="1240">
                  <c:v>50665</c:v>
                </c:pt>
                <c:pt idx="1241">
                  <c:v>50672</c:v>
                </c:pt>
                <c:pt idx="1242">
                  <c:v>50679</c:v>
                </c:pt>
                <c:pt idx="1243">
                  <c:v>50686</c:v>
                </c:pt>
                <c:pt idx="1244">
                  <c:v>50693</c:v>
                </c:pt>
                <c:pt idx="1245">
                  <c:v>50700</c:v>
                </c:pt>
                <c:pt idx="1246">
                  <c:v>50707</c:v>
                </c:pt>
                <c:pt idx="1247">
                  <c:v>50714</c:v>
                </c:pt>
                <c:pt idx="1248">
                  <c:v>50721</c:v>
                </c:pt>
                <c:pt idx="1249">
                  <c:v>50728</c:v>
                </c:pt>
                <c:pt idx="1250">
                  <c:v>50735</c:v>
                </c:pt>
                <c:pt idx="1251">
                  <c:v>50742</c:v>
                </c:pt>
                <c:pt idx="1252">
                  <c:v>50749</c:v>
                </c:pt>
                <c:pt idx="1253">
                  <c:v>50756</c:v>
                </c:pt>
                <c:pt idx="1254">
                  <c:v>50763</c:v>
                </c:pt>
                <c:pt idx="1255">
                  <c:v>50770</c:v>
                </c:pt>
                <c:pt idx="1256">
                  <c:v>50777</c:v>
                </c:pt>
                <c:pt idx="1257">
                  <c:v>50784</c:v>
                </c:pt>
                <c:pt idx="1258">
                  <c:v>50791</c:v>
                </c:pt>
                <c:pt idx="1259">
                  <c:v>50798</c:v>
                </c:pt>
                <c:pt idx="1260">
                  <c:v>50805</c:v>
                </c:pt>
                <c:pt idx="1261">
                  <c:v>50812</c:v>
                </c:pt>
                <c:pt idx="1262">
                  <c:v>50819</c:v>
                </c:pt>
                <c:pt idx="1263">
                  <c:v>50826</c:v>
                </c:pt>
                <c:pt idx="1264">
                  <c:v>50833</c:v>
                </c:pt>
                <c:pt idx="1265">
                  <c:v>50840</c:v>
                </c:pt>
                <c:pt idx="1266">
                  <c:v>50847</c:v>
                </c:pt>
                <c:pt idx="1267">
                  <c:v>50854</c:v>
                </c:pt>
                <c:pt idx="1268">
                  <c:v>50861</c:v>
                </c:pt>
                <c:pt idx="1269">
                  <c:v>50868</c:v>
                </c:pt>
                <c:pt idx="1270">
                  <c:v>50875</c:v>
                </c:pt>
                <c:pt idx="1271">
                  <c:v>50882</c:v>
                </c:pt>
                <c:pt idx="1272">
                  <c:v>50889</c:v>
                </c:pt>
                <c:pt idx="1273">
                  <c:v>50896</c:v>
                </c:pt>
                <c:pt idx="1274">
                  <c:v>50903</c:v>
                </c:pt>
                <c:pt idx="1275">
                  <c:v>50910</c:v>
                </c:pt>
                <c:pt idx="1276">
                  <c:v>50917</c:v>
                </c:pt>
                <c:pt idx="1277">
                  <c:v>50924</c:v>
                </c:pt>
                <c:pt idx="1278">
                  <c:v>50931</c:v>
                </c:pt>
                <c:pt idx="1279">
                  <c:v>50938</c:v>
                </c:pt>
                <c:pt idx="1280">
                  <c:v>50945</c:v>
                </c:pt>
                <c:pt idx="1281">
                  <c:v>50952</c:v>
                </c:pt>
                <c:pt idx="1282">
                  <c:v>50959</c:v>
                </c:pt>
                <c:pt idx="1283">
                  <c:v>50966</c:v>
                </c:pt>
                <c:pt idx="1284">
                  <c:v>50973</c:v>
                </c:pt>
                <c:pt idx="1285">
                  <c:v>50980</c:v>
                </c:pt>
                <c:pt idx="1286">
                  <c:v>50987</c:v>
                </c:pt>
                <c:pt idx="1287">
                  <c:v>50994</c:v>
                </c:pt>
                <c:pt idx="1288">
                  <c:v>51001</c:v>
                </c:pt>
                <c:pt idx="1289">
                  <c:v>51008</c:v>
                </c:pt>
                <c:pt idx="1290">
                  <c:v>51015</c:v>
                </c:pt>
                <c:pt idx="1291">
                  <c:v>51022</c:v>
                </c:pt>
                <c:pt idx="1292">
                  <c:v>51029</c:v>
                </c:pt>
                <c:pt idx="1293">
                  <c:v>51036</c:v>
                </c:pt>
                <c:pt idx="1294">
                  <c:v>51043</c:v>
                </c:pt>
                <c:pt idx="1295">
                  <c:v>51050</c:v>
                </c:pt>
                <c:pt idx="1296">
                  <c:v>51057</c:v>
                </c:pt>
                <c:pt idx="1297">
                  <c:v>51064</c:v>
                </c:pt>
                <c:pt idx="1298">
                  <c:v>51071</c:v>
                </c:pt>
                <c:pt idx="1299">
                  <c:v>51078</c:v>
                </c:pt>
                <c:pt idx="1300">
                  <c:v>51085</c:v>
                </c:pt>
                <c:pt idx="1301">
                  <c:v>51092</c:v>
                </c:pt>
                <c:pt idx="1302">
                  <c:v>51099</c:v>
                </c:pt>
                <c:pt idx="1303">
                  <c:v>51106</c:v>
                </c:pt>
                <c:pt idx="1304">
                  <c:v>51113</c:v>
                </c:pt>
                <c:pt idx="1305">
                  <c:v>51120</c:v>
                </c:pt>
                <c:pt idx="1306">
                  <c:v>51127</c:v>
                </c:pt>
                <c:pt idx="1307">
                  <c:v>51134</c:v>
                </c:pt>
                <c:pt idx="1308">
                  <c:v>51141</c:v>
                </c:pt>
                <c:pt idx="1309">
                  <c:v>51148</c:v>
                </c:pt>
                <c:pt idx="1310">
                  <c:v>51155</c:v>
                </c:pt>
                <c:pt idx="1311">
                  <c:v>51162</c:v>
                </c:pt>
                <c:pt idx="1312">
                  <c:v>51169</c:v>
                </c:pt>
                <c:pt idx="1313">
                  <c:v>51176</c:v>
                </c:pt>
                <c:pt idx="1314">
                  <c:v>51183</c:v>
                </c:pt>
                <c:pt idx="1315">
                  <c:v>51190</c:v>
                </c:pt>
                <c:pt idx="1316">
                  <c:v>51197</c:v>
                </c:pt>
                <c:pt idx="1317">
                  <c:v>51204</c:v>
                </c:pt>
                <c:pt idx="1318">
                  <c:v>51211</c:v>
                </c:pt>
                <c:pt idx="1319">
                  <c:v>51218</c:v>
                </c:pt>
                <c:pt idx="1320">
                  <c:v>51225</c:v>
                </c:pt>
                <c:pt idx="1321">
                  <c:v>51232</c:v>
                </c:pt>
                <c:pt idx="1322">
                  <c:v>51239</c:v>
                </c:pt>
                <c:pt idx="1323">
                  <c:v>51246</c:v>
                </c:pt>
                <c:pt idx="1324">
                  <c:v>51253</c:v>
                </c:pt>
                <c:pt idx="1325">
                  <c:v>51260</c:v>
                </c:pt>
                <c:pt idx="1326">
                  <c:v>51267</c:v>
                </c:pt>
                <c:pt idx="1327">
                  <c:v>51274</c:v>
                </c:pt>
                <c:pt idx="1328">
                  <c:v>51281</c:v>
                </c:pt>
                <c:pt idx="1329">
                  <c:v>51288</c:v>
                </c:pt>
                <c:pt idx="1330">
                  <c:v>51295</c:v>
                </c:pt>
                <c:pt idx="1331">
                  <c:v>51302</c:v>
                </c:pt>
                <c:pt idx="1332">
                  <c:v>51309</c:v>
                </c:pt>
                <c:pt idx="1333">
                  <c:v>51316</c:v>
                </c:pt>
                <c:pt idx="1334">
                  <c:v>51323</c:v>
                </c:pt>
                <c:pt idx="1335">
                  <c:v>51330</c:v>
                </c:pt>
                <c:pt idx="1336">
                  <c:v>51337</c:v>
                </c:pt>
                <c:pt idx="1337">
                  <c:v>51344</c:v>
                </c:pt>
                <c:pt idx="1338">
                  <c:v>51351</c:v>
                </c:pt>
                <c:pt idx="1339">
                  <c:v>51358</c:v>
                </c:pt>
                <c:pt idx="1340">
                  <c:v>51365</c:v>
                </c:pt>
                <c:pt idx="1341">
                  <c:v>51372</c:v>
                </c:pt>
                <c:pt idx="1342">
                  <c:v>51379</c:v>
                </c:pt>
                <c:pt idx="1343">
                  <c:v>51386</c:v>
                </c:pt>
                <c:pt idx="1344">
                  <c:v>51393</c:v>
                </c:pt>
                <c:pt idx="1345">
                  <c:v>51400</c:v>
                </c:pt>
                <c:pt idx="1346">
                  <c:v>51407</c:v>
                </c:pt>
                <c:pt idx="1347">
                  <c:v>51414</c:v>
                </c:pt>
                <c:pt idx="1348">
                  <c:v>51421</c:v>
                </c:pt>
                <c:pt idx="1349">
                  <c:v>51428</c:v>
                </c:pt>
                <c:pt idx="1350">
                  <c:v>51435</c:v>
                </c:pt>
                <c:pt idx="1351">
                  <c:v>51442</c:v>
                </c:pt>
                <c:pt idx="1352">
                  <c:v>51449</c:v>
                </c:pt>
                <c:pt idx="1353">
                  <c:v>51456</c:v>
                </c:pt>
                <c:pt idx="1354">
                  <c:v>51463</c:v>
                </c:pt>
                <c:pt idx="1355">
                  <c:v>51470</c:v>
                </c:pt>
                <c:pt idx="1356">
                  <c:v>51477</c:v>
                </c:pt>
                <c:pt idx="1357">
                  <c:v>51484</c:v>
                </c:pt>
                <c:pt idx="1358">
                  <c:v>51491</c:v>
                </c:pt>
                <c:pt idx="1359">
                  <c:v>51498</c:v>
                </c:pt>
                <c:pt idx="1360">
                  <c:v>51505</c:v>
                </c:pt>
                <c:pt idx="1361">
                  <c:v>51512</c:v>
                </c:pt>
                <c:pt idx="1362">
                  <c:v>51519</c:v>
                </c:pt>
                <c:pt idx="1363">
                  <c:v>51526</c:v>
                </c:pt>
                <c:pt idx="1364">
                  <c:v>51533</c:v>
                </c:pt>
                <c:pt idx="1365">
                  <c:v>51540</c:v>
                </c:pt>
                <c:pt idx="1366">
                  <c:v>51547</c:v>
                </c:pt>
                <c:pt idx="1367">
                  <c:v>51554</c:v>
                </c:pt>
                <c:pt idx="1368">
                  <c:v>51561</c:v>
                </c:pt>
                <c:pt idx="1369">
                  <c:v>51568</c:v>
                </c:pt>
                <c:pt idx="1370">
                  <c:v>51575</c:v>
                </c:pt>
                <c:pt idx="1371">
                  <c:v>51582</c:v>
                </c:pt>
                <c:pt idx="1372">
                  <c:v>51589</c:v>
                </c:pt>
                <c:pt idx="1373">
                  <c:v>51596</c:v>
                </c:pt>
                <c:pt idx="1374">
                  <c:v>51603</c:v>
                </c:pt>
                <c:pt idx="1375">
                  <c:v>51610</c:v>
                </c:pt>
                <c:pt idx="1376">
                  <c:v>51617</c:v>
                </c:pt>
                <c:pt idx="1377">
                  <c:v>51624</c:v>
                </c:pt>
                <c:pt idx="1378">
                  <c:v>51631</c:v>
                </c:pt>
                <c:pt idx="1379">
                  <c:v>51638</c:v>
                </c:pt>
                <c:pt idx="1380">
                  <c:v>51645</c:v>
                </c:pt>
                <c:pt idx="1381">
                  <c:v>51652</c:v>
                </c:pt>
                <c:pt idx="1382">
                  <c:v>51659</c:v>
                </c:pt>
                <c:pt idx="1383">
                  <c:v>51666</c:v>
                </c:pt>
                <c:pt idx="1384">
                  <c:v>51673</c:v>
                </c:pt>
                <c:pt idx="1385">
                  <c:v>51680</c:v>
                </c:pt>
                <c:pt idx="1386">
                  <c:v>51687</c:v>
                </c:pt>
                <c:pt idx="1387">
                  <c:v>51694</c:v>
                </c:pt>
                <c:pt idx="1388">
                  <c:v>51701</c:v>
                </c:pt>
                <c:pt idx="1389">
                  <c:v>51708</c:v>
                </c:pt>
                <c:pt idx="1390">
                  <c:v>51715</c:v>
                </c:pt>
                <c:pt idx="1391">
                  <c:v>51722</c:v>
                </c:pt>
                <c:pt idx="1392">
                  <c:v>51729</c:v>
                </c:pt>
                <c:pt idx="1393">
                  <c:v>51736</c:v>
                </c:pt>
                <c:pt idx="1394">
                  <c:v>51743</c:v>
                </c:pt>
                <c:pt idx="1395">
                  <c:v>51750</c:v>
                </c:pt>
                <c:pt idx="1396">
                  <c:v>51757</c:v>
                </c:pt>
                <c:pt idx="1397">
                  <c:v>51764</c:v>
                </c:pt>
                <c:pt idx="1398">
                  <c:v>51771</c:v>
                </c:pt>
                <c:pt idx="1399">
                  <c:v>51778</c:v>
                </c:pt>
                <c:pt idx="1400">
                  <c:v>51785</c:v>
                </c:pt>
                <c:pt idx="1401">
                  <c:v>51792</c:v>
                </c:pt>
                <c:pt idx="1402">
                  <c:v>51799</c:v>
                </c:pt>
                <c:pt idx="1403">
                  <c:v>51806</c:v>
                </c:pt>
                <c:pt idx="1404">
                  <c:v>51813</c:v>
                </c:pt>
                <c:pt idx="1405">
                  <c:v>51820</c:v>
                </c:pt>
                <c:pt idx="1406">
                  <c:v>51827</c:v>
                </c:pt>
                <c:pt idx="1407">
                  <c:v>51834</c:v>
                </c:pt>
                <c:pt idx="1408">
                  <c:v>51841</c:v>
                </c:pt>
                <c:pt idx="1409">
                  <c:v>51848</c:v>
                </c:pt>
                <c:pt idx="1410">
                  <c:v>51855</c:v>
                </c:pt>
                <c:pt idx="1411">
                  <c:v>51862</c:v>
                </c:pt>
                <c:pt idx="1412">
                  <c:v>51869</c:v>
                </c:pt>
                <c:pt idx="1413">
                  <c:v>51876</c:v>
                </c:pt>
                <c:pt idx="1414">
                  <c:v>51883</c:v>
                </c:pt>
                <c:pt idx="1415">
                  <c:v>51890</c:v>
                </c:pt>
                <c:pt idx="1416">
                  <c:v>51897</c:v>
                </c:pt>
                <c:pt idx="1417">
                  <c:v>51904</c:v>
                </c:pt>
                <c:pt idx="1418">
                  <c:v>51911</c:v>
                </c:pt>
                <c:pt idx="1419">
                  <c:v>51918</c:v>
                </c:pt>
                <c:pt idx="1420">
                  <c:v>51925</c:v>
                </c:pt>
                <c:pt idx="1421">
                  <c:v>51932</c:v>
                </c:pt>
                <c:pt idx="1422">
                  <c:v>51939</c:v>
                </c:pt>
                <c:pt idx="1423">
                  <c:v>51946</c:v>
                </c:pt>
                <c:pt idx="1424">
                  <c:v>51953</c:v>
                </c:pt>
                <c:pt idx="1425">
                  <c:v>51960</c:v>
                </c:pt>
                <c:pt idx="1426">
                  <c:v>51967</c:v>
                </c:pt>
                <c:pt idx="1427">
                  <c:v>51974</c:v>
                </c:pt>
                <c:pt idx="1428">
                  <c:v>51981</c:v>
                </c:pt>
                <c:pt idx="1429">
                  <c:v>51988</c:v>
                </c:pt>
                <c:pt idx="1430">
                  <c:v>51995</c:v>
                </c:pt>
                <c:pt idx="1431">
                  <c:v>52002</c:v>
                </c:pt>
                <c:pt idx="1432">
                  <c:v>52009</c:v>
                </c:pt>
                <c:pt idx="1433">
                  <c:v>52016</c:v>
                </c:pt>
                <c:pt idx="1434">
                  <c:v>52023</c:v>
                </c:pt>
                <c:pt idx="1435">
                  <c:v>52030</c:v>
                </c:pt>
                <c:pt idx="1436">
                  <c:v>52037</c:v>
                </c:pt>
                <c:pt idx="1437">
                  <c:v>52044</c:v>
                </c:pt>
                <c:pt idx="1438">
                  <c:v>52051</c:v>
                </c:pt>
                <c:pt idx="1439">
                  <c:v>52058</c:v>
                </c:pt>
                <c:pt idx="1440">
                  <c:v>52065</c:v>
                </c:pt>
                <c:pt idx="1441">
                  <c:v>52072</c:v>
                </c:pt>
                <c:pt idx="1442">
                  <c:v>52079</c:v>
                </c:pt>
                <c:pt idx="1443">
                  <c:v>52086</c:v>
                </c:pt>
                <c:pt idx="1444">
                  <c:v>52093</c:v>
                </c:pt>
                <c:pt idx="1445">
                  <c:v>52100</c:v>
                </c:pt>
                <c:pt idx="1446">
                  <c:v>52107</c:v>
                </c:pt>
                <c:pt idx="1447">
                  <c:v>52114</c:v>
                </c:pt>
                <c:pt idx="1448">
                  <c:v>52121</c:v>
                </c:pt>
                <c:pt idx="1449">
                  <c:v>52128</c:v>
                </c:pt>
                <c:pt idx="1450">
                  <c:v>52135</c:v>
                </c:pt>
                <c:pt idx="1451">
                  <c:v>52142</c:v>
                </c:pt>
                <c:pt idx="1452">
                  <c:v>52149</c:v>
                </c:pt>
                <c:pt idx="1453">
                  <c:v>52156</c:v>
                </c:pt>
                <c:pt idx="1454">
                  <c:v>52163</c:v>
                </c:pt>
                <c:pt idx="1455">
                  <c:v>52170</c:v>
                </c:pt>
                <c:pt idx="1456">
                  <c:v>52177</c:v>
                </c:pt>
                <c:pt idx="1457">
                  <c:v>52184</c:v>
                </c:pt>
                <c:pt idx="1458">
                  <c:v>52191</c:v>
                </c:pt>
                <c:pt idx="1459">
                  <c:v>52198</c:v>
                </c:pt>
                <c:pt idx="1460">
                  <c:v>52205</c:v>
                </c:pt>
                <c:pt idx="1461">
                  <c:v>52212</c:v>
                </c:pt>
                <c:pt idx="1462">
                  <c:v>52219</c:v>
                </c:pt>
                <c:pt idx="1463">
                  <c:v>52226</c:v>
                </c:pt>
                <c:pt idx="1464">
                  <c:v>52233</c:v>
                </c:pt>
                <c:pt idx="1465">
                  <c:v>52240</c:v>
                </c:pt>
                <c:pt idx="1466">
                  <c:v>52247</c:v>
                </c:pt>
                <c:pt idx="1467">
                  <c:v>52254</c:v>
                </c:pt>
                <c:pt idx="1468">
                  <c:v>52261</c:v>
                </c:pt>
                <c:pt idx="1469">
                  <c:v>52268</c:v>
                </c:pt>
                <c:pt idx="1470">
                  <c:v>52275</c:v>
                </c:pt>
                <c:pt idx="1471">
                  <c:v>52282</c:v>
                </c:pt>
                <c:pt idx="1472">
                  <c:v>52289</c:v>
                </c:pt>
                <c:pt idx="1473">
                  <c:v>52296</c:v>
                </c:pt>
                <c:pt idx="1474">
                  <c:v>52303</c:v>
                </c:pt>
                <c:pt idx="1475">
                  <c:v>52310</c:v>
                </c:pt>
                <c:pt idx="1476">
                  <c:v>52317</c:v>
                </c:pt>
                <c:pt idx="1477">
                  <c:v>52324</c:v>
                </c:pt>
                <c:pt idx="1478">
                  <c:v>52331</c:v>
                </c:pt>
                <c:pt idx="1479">
                  <c:v>52338</c:v>
                </c:pt>
                <c:pt idx="1480">
                  <c:v>52345</c:v>
                </c:pt>
                <c:pt idx="1481">
                  <c:v>52352</c:v>
                </c:pt>
                <c:pt idx="1482">
                  <c:v>52359</c:v>
                </c:pt>
                <c:pt idx="1483">
                  <c:v>52366</c:v>
                </c:pt>
                <c:pt idx="1484">
                  <c:v>52373</c:v>
                </c:pt>
                <c:pt idx="1485">
                  <c:v>52380</c:v>
                </c:pt>
                <c:pt idx="1486">
                  <c:v>52387</c:v>
                </c:pt>
                <c:pt idx="1487">
                  <c:v>52394</c:v>
                </c:pt>
                <c:pt idx="1488">
                  <c:v>52401</c:v>
                </c:pt>
                <c:pt idx="1489">
                  <c:v>52408</c:v>
                </c:pt>
                <c:pt idx="1490">
                  <c:v>52415</c:v>
                </c:pt>
                <c:pt idx="1491">
                  <c:v>52422</c:v>
                </c:pt>
                <c:pt idx="1492">
                  <c:v>52429</c:v>
                </c:pt>
                <c:pt idx="1493">
                  <c:v>52436</c:v>
                </c:pt>
                <c:pt idx="1494">
                  <c:v>52443</c:v>
                </c:pt>
                <c:pt idx="1495">
                  <c:v>52450</c:v>
                </c:pt>
                <c:pt idx="1496">
                  <c:v>52457</c:v>
                </c:pt>
                <c:pt idx="1497">
                  <c:v>52464</c:v>
                </c:pt>
                <c:pt idx="1498">
                  <c:v>52471</c:v>
                </c:pt>
                <c:pt idx="1499">
                  <c:v>52478</c:v>
                </c:pt>
                <c:pt idx="1500">
                  <c:v>52485</c:v>
                </c:pt>
                <c:pt idx="1501">
                  <c:v>52492</c:v>
                </c:pt>
                <c:pt idx="1502">
                  <c:v>52499</c:v>
                </c:pt>
                <c:pt idx="1503">
                  <c:v>52506</c:v>
                </c:pt>
                <c:pt idx="1504">
                  <c:v>52513</c:v>
                </c:pt>
                <c:pt idx="1505">
                  <c:v>52520</c:v>
                </c:pt>
                <c:pt idx="1506">
                  <c:v>52527</c:v>
                </c:pt>
                <c:pt idx="1507">
                  <c:v>52534</c:v>
                </c:pt>
                <c:pt idx="1508">
                  <c:v>52541</c:v>
                </c:pt>
                <c:pt idx="1509">
                  <c:v>52548</c:v>
                </c:pt>
                <c:pt idx="1510">
                  <c:v>52555</c:v>
                </c:pt>
                <c:pt idx="1511">
                  <c:v>52562</c:v>
                </c:pt>
                <c:pt idx="1512">
                  <c:v>52569</c:v>
                </c:pt>
                <c:pt idx="1513">
                  <c:v>52576</c:v>
                </c:pt>
                <c:pt idx="1514">
                  <c:v>52583</c:v>
                </c:pt>
                <c:pt idx="1515">
                  <c:v>52590</c:v>
                </c:pt>
                <c:pt idx="1516">
                  <c:v>52597</c:v>
                </c:pt>
                <c:pt idx="1517">
                  <c:v>52604</c:v>
                </c:pt>
                <c:pt idx="1518">
                  <c:v>52611</c:v>
                </c:pt>
                <c:pt idx="1519">
                  <c:v>52618</c:v>
                </c:pt>
                <c:pt idx="1520">
                  <c:v>52625</c:v>
                </c:pt>
                <c:pt idx="1521">
                  <c:v>52632</c:v>
                </c:pt>
                <c:pt idx="1522">
                  <c:v>52639</c:v>
                </c:pt>
                <c:pt idx="1523">
                  <c:v>52646</c:v>
                </c:pt>
                <c:pt idx="1524">
                  <c:v>52653</c:v>
                </c:pt>
                <c:pt idx="1525">
                  <c:v>52660</c:v>
                </c:pt>
                <c:pt idx="1526">
                  <c:v>52667</c:v>
                </c:pt>
                <c:pt idx="1527">
                  <c:v>52674</c:v>
                </c:pt>
                <c:pt idx="1528">
                  <c:v>52681</c:v>
                </c:pt>
                <c:pt idx="1529">
                  <c:v>52688</c:v>
                </c:pt>
                <c:pt idx="1530">
                  <c:v>52695</c:v>
                </c:pt>
                <c:pt idx="1531">
                  <c:v>52702</c:v>
                </c:pt>
                <c:pt idx="1532">
                  <c:v>52709</c:v>
                </c:pt>
                <c:pt idx="1533">
                  <c:v>52716</c:v>
                </c:pt>
                <c:pt idx="1534">
                  <c:v>52723</c:v>
                </c:pt>
                <c:pt idx="1535">
                  <c:v>52730</c:v>
                </c:pt>
                <c:pt idx="1536">
                  <c:v>52737</c:v>
                </c:pt>
                <c:pt idx="1537">
                  <c:v>52744</c:v>
                </c:pt>
                <c:pt idx="1538">
                  <c:v>52751</c:v>
                </c:pt>
                <c:pt idx="1539">
                  <c:v>52758</c:v>
                </c:pt>
                <c:pt idx="1540">
                  <c:v>52765</c:v>
                </c:pt>
                <c:pt idx="1541">
                  <c:v>52772</c:v>
                </c:pt>
                <c:pt idx="1542">
                  <c:v>52779</c:v>
                </c:pt>
                <c:pt idx="1543">
                  <c:v>52786</c:v>
                </c:pt>
                <c:pt idx="1544">
                  <c:v>52793</c:v>
                </c:pt>
                <c:pt idx="1545">
                  <c:v>52800</c:v>
                </c:pt>
                <c:pt idx="1546">
                  <c:v>52807</c:v>
                </c:pt>
                <c:pt idx="1547">
                  <c:v>52814</c:v>
                </c:pt>
                <c:pt idx="1548">
                  <c:v>52821</c:v>
                </c:pt>
                <c:pt idx="1549">
                  <c:v>52828</c:v>
                </c:pt>
                <c:pt idx="1550">
                  <c:v>52835</c:v>
                </c:pt>
                <c:pt idx="1551">
                  <c:v>52842</c:v>
                </c:pt>
                <c:pt idx="1552">
                  <c:v>52849</c:v>
                </c:pt>
                <c:pt idx="1553">
                  <c:v>52856</c:v>
                </c:pt>
                <c:pt idx="1554">
                  <c:v>52863</c:v>
                </c:pt>
                <c:pt idx="1555">
                  <c:v>52870</c:v>
                </c:pt>
                <c:pt idx="1556">
                  <c:v>52877</c:v>
                </c:pt>
                <c:pt idx="1557">
                  <c:v>52884</c:v>
                </c:pt>
                <c:pt idx="1558">
                  <c:v>52891</c:v>
                </c:pt>
                <c:pt idx="1559">
                  <c:v>52898</c:v>
                </c:pt>
                <c:pt idx="1560">
                  <c:v>52905</c:v>
                </c:pt>
                <c:pt idx="1561">
                  <c:v>52912</c:v>
                </c:pt>
                <c:pt idx="1562">
                  <c:v>52919</c:v>
                </c:pt>
                <c:pt idx="1563">
                  <c:v>52926</c:v>
                </c:pt>
                <c:pt idx="1564">
                  <c:v>52933</c:v>
                </c:pt>
                <c:pt idx="1565">
                  <c:v>52940</c:v>
                </c:pt>
                <c:pt idx="1566">
                  <c:v>52947</c:v>
                </c:pt>
                <c:pt idx="1567">
                  <c:v>52954</c:v>
                </c:pt>
                <c:pt idx="1568">
                  <c:v>52961</c:v>
                </c:pt>
                <c:pt idx="1569">
                  <c:v>52968</c:v>
                </c:pt>
                <c:pt idx="1570">
                  <c:v>52975</c:v>
                </c:pt>
                <c:pt idx="1571">
                  <c:v>52982</c:v>
                </c:pt>
                <c:pt idx="1572">
                  <c:v>52989</c:v>
                </c:pt>
                <c:pt idx="1573">
                  <c:v>52996</c:v>
                </c:pt>
                <c:pt idx="1574">
                  <c:v>53003</c:v>
                </c:pt>
                <c:pt idx="1575">
                  <c:v>53010</c:v>
                </c:pt>
                <c:pt idx="1576">
                  <c:v>53017</c:v>
                </c:pt>
                <c:pt idx="1577">
                  <c:v>53024</c:v>
                </c:pt>
                <c:pt idx="1578">
                  <c:v>53031</c:v>
                </c:pt>
                <c:pt idx="1579">
                  <c:v>53038</c:v>
                </c:pt>
                <c:pt idx="1580">
                  <c:v>53045</c:v>
                </c:pt>
                <c:pt idx="1581">
                  <c:v>53052</c:v>
                </c:pt>
                <c:pt idx="1582">
                  <c:v>53059</c:v>
                </c:pt>
                <c:pt idx="1583">
                  <c:v>53066</c:v>
                </c:pt>
                <c:pt idx="1584">
                  <c:v>53073</c:v>
                </c:pt>
                <c:pt idx="1585">
                  <c:v>53080</c:v>
                </c:pt>
                <c:pt idx="1586">
                  <c:v>53087</c:v>
                </c:pt>
                <c:pt idx="1587">
                  <c:v>53094</c:v>
                </c:pt>
                <c:pt idx="1588">
                  <c:v>53101</c:v>
                </c:pt>
                <c:pt idx="1589">
                  <c:v>53108</c:v>
                </c:pt>
                <c:pt idx="1590">
                  <c:v>53115</c:v>
                </c:pt>
                <c:pt idx="1591">
                  <c:v>53122</c:v>
                </c:pt>
                <c:pt idx="1592">
                  <c:v>53129</c:v>
                </c:pt>
                <c:pt idx="1593">
                  <c:v>53136</c:v>
                </c:pt>
                <c:pt idx="1594">
                  <c:v>53143</c:v>
                </c:pt>
                <c:pt idx="1595">
                  <c:v>53150</c:v>
                </c:pt>
                <c:pt idx="1596">
                  <c:v>53157</c:v>
                </c:pt>
                <c:pt idx="1597">
                  <c:v>53164</c:v>
                </c:pt>
                <c:pt idx="1598">
                  <c:v>53171</c:v>
                </c:pt>
                <c:pt idx="1599">
                  <c:v>53178</c:v>
                </c:pt>
                <c:pt idx="1600">
                  <c:v>53185</c:v>
                </c:pt>
                <c:pt idx="1601">
                  <c:v>53192</c:v>
                </c:pt>
                <c:pt idx="1602">
                  <c:v>53199</c:v>
                </c:pt>
                <c:pt idx="1603">
                  <c:v>53206</c:v>
                </c:pt>
                <c:pt idx="1604">
                  <c:v>53213</c:v>
                </c:pt>
                <c:pt idx="1605">
                  <c:v>53220</c:v>
                </c:pt>
                <c:pt idx="1606">
                  <c:v>53227</c:v>
                </c:pt>
                <c:pt idx="1607">
                  <c:v>53234</c:v>
                </c:pt>
                <c:pt idx="1608">
                  <c:v>53241</c:v>
                </c:pt>
                <c:pt idx="1609">
                  <c:v>53248</c:v>
                </c:pt>
                <c:pt idx="1610">
                  <c:v>53255</c:v>
                </c:pt>
                <c:pt idx="1611">
                  <c:v>53262</c:v>
                </c:pt>
                <c:pt idx="1612">
                  <c:v>53269</c:v>
                </c:pt>
                <c:pt idx="1613">
                  <c:v>53276</c:v>
                </c:pt>
                <c:pt idx="1614">
                  <c:v>53283</c:v>
                </c:pt>
                <c:pt idx="1615">
                  <c:v>53290</c:v>
                </c:pt>
                <c:pt idx="1616">
                  <c:v>53297</c:v>
                </c:pt>
                <c:pt idx="1617">
                  <c:v>53304</c:v>
                </c:pt>
                <c:pt idx="1618">
                  <c:v>53311</c:v>
                </c:pt>
                <c:pt idx="1619">
                  <c:v>53318</c:v>
                </c:pt>
                <c:pt idx="1620">
                  <c:v>53325</c:v>
                </c:pt>
                <c:pt idx="1621">
                  <c:v>53332</c:v>
                </c:pt>
                <c:pt idx="1622">
                  <c:v>53339</c:v>
                </c:pt>
                <c:pt idx="1623">
                  <c:v>53346</c:v>
                </c:pt>
                <c:pt idx="1624">
                  <c:v>53353</c:v>
                </c:pt>
                <c:pt idx="1625">
                  <c:v>53360</c:v>
                </c:pt>
                <c:pt idx="1626">
                  <c:v>53367</c:v>
                </c:pt>
                <c:pt idx="1627">
                  <c:v>53374</c:v>
                </c:pt>
                <c:pt idx="1628">
                  <c:v>53381</c:v>
                </c:pt>
                <c:pt idx="1629">
                  <c:v>53388</c:v>
                </c:pt>
                <c:pt idx="1630">
                  <c:v>53395</c:v>
                </c:pt>
                <c:pt idx="1631">
                  <c:v>53402</c:v>
                </c:pt>
                <c:pt idx="1632">
                  <c:v>53409</c:v>
                </c:pt>
                <c:pt idx="1633">
                  <c:v>53416</c:v>
                </c:pt>
                <c:pt idx="1634">
                  <c:v>53423</c:v>
                </c:pt>
                <c:pt idx="1635">
                  <c:v>53430</c:v>
                </c:pt>
                <c:pt idx="1636">
                  <c:v>53437</c:v>
                </c:pt>
                <c:pt idx="1637">
                  <c:v>53444</c:v>
                </c:pt>
                <c:pt idx="1638">
                  <c:v>53451</c:v>
                </c:pt>
                <c:pt idx="1639">
                  <c:v>53458</c:v>
                </c:pt>
                <c:pt idx="1640">
                  <c:v>53465</c:v>
                </c:pt>
                <c:pt idx="1641">
                  <c:v>53472</c:v>
                </c:pt>
                <c:pt idx="1642">
                  <c:v>53479</c:v>
                </c:pt>
                <c:pt idx="1643">
                  <c:v>53486</c:v>
                </c:pt>
                <c:pt idx="1644">
                  <c:v>53493</c:v>
                </c:pt>
                <c:pt idx="1645">
                  <c:v>53500</c:v>
                </c:pt>
                <c:pt idx="1646">
                  <c:v>53507</c:v>
                </c:pt>
                <c:pt idx="1647">
                  <c:v>53514</c:v>
                </c:pt>
                <c:pt idx="1648">
                  <c:v>53521</c:v>
                </c:pt>
                <c:pt idx="1649">
                  <c:v>53528</c:v>
                </c:pt>
                <c:pt idx="1650">
                  <c:v>53535</c:v>
                </c:pt>
                <c:pt idx="1651">
                  <c:v>53542</c:v>
                </c:pt>
                <c:pt idx="1652">
                  <c:v>53549</c:v>
                </c:pt>
                <c:pt idx="1653">
                  <c:v>53556</c:v>
                </c:pt>
                <c:pt idx="1654">
                  <c:v>53563</c:v>
                </c:pt>
                <c:pt idx="1655">
                  <c:v>53570</c:v>
                </c:pt>
                <c:pt idx="1656">
                  <c:v>53577</c:v>
                </c:pt>
                <c:pt idx="1657">
                  <c:v>53584</c:v>
                </c:pt>
                <c:pt idx="1658">
                  <c:v>53591</c:v>
                </c:pt>
                <c:pt idx="1659">
                  <c:v>53598</c:v>
                </c:pt>
                <c:pt idx="1660">
                  <c:v>53605</c:v>
                </c:pt>
                <c:pt idx="1661">
                  <c:v>53612</c:v>
                </c:pt>
                <c:pt idx="1662">
                  <c:v>53619</c:v>
                </c:pt>
                <c:pt idx="1663">
                  <c:v>53626</c:v>
                </c:pt>
                <c:pt idx="1664">
                  <c:v>53633</c:v>
                </c:pt>
                <c:pt idx="1665">
                  <c:v>53640</c:v>
                </c:pt>
                <c:pt idx="1666">
                  <c:v>53647</c:v>
                </c:pt>
                <c:pt idx="1667">
                  <c:v>53654</c:v>
                </c:pt>
                <c:pt idx="1668">
                  <c:v>53661</c:v>
                </c:pt>
                <c:pt idx="1669">
                  <c:v>53668</c:v>
                </c:pt>
                <c:pt idx="1670">
                  <c:v>53675</c:v>
                </c:pt>
                <c:pt idx="1671">
                  <c:v>53682</c:v>
                </c:pt>
                <c:pt idx="1672">
                  <c:v>53689</c:v>
                </c:pt>
                <c:pt idx="1673">
                  <c:v>53696</c:v>
                </c:pt>
                <c:pt idx="1674">
                  <c:v>53703</c:v>
                </c:pt>
                <c:pt idx="1675">
                  <c:v>53710</c:v>
                </c:pt>
                <c:pt idx="1676">
                  <c:v>53717</c:v>
                </c:pt>
                <c:pt idx="1677">
                  <c:v>53724</c:v>
                </c:pt>
                <c:pt idx="1678">
                  <c:v>53731</c:v>
                </c:pt>
                <c:pt idx="1679">
                  <c:v>53738</c:v>
                </c:pt>
                <c:pt idx="1680">
                  <c:v>53745</c:v>
                </c:pt>
                <c:pt idx="1681">
                  <c:v>53752</c:v>
                </c:pt>
                <c:pt idx="1682">
                  <c:v>53759</c:v>
                </c:pt>
                <c:pt idx="1683">
                  <c:v>53766</c:v>
                </c:pt>
                <c:pt idx="1684">
                  <c:v>53773</c:v>
                </c:pt>
                <c:pt idx="1685">
                  <c:v>53780</c:v>
                </c:pt>
                <c:pt idx="1686">
                  <c:v>53787</c:v>
                </c:pt>
                <c:pt idx="1687">
                  <c:v>53794</c:v>
                </c:pt>
                <c:pt idx="1688">
                  <c:v>53801</c:v>
                </c:pt>
                <c:pt idx="1689">
                  <c:v>53808</c:v>
                </c:pt>
                <c:pt idx="1690">
                  <c:v>53815</c:v>
                </c:pt>
                <c:pt idx="1691">
                  <c:v>53822</c:v>
                </c:pt>
                <c:pt idx="1692">
                  <c:v>53829</c:v>
                </c:pt>
                <c:pt idx="1693">
                  <c:v>53836</c:v>
                </c:pt>
                <c:pt idx="1694">
                  <c:v>53843</c:v>
                </c:pt>
                <c:pt idx="1695">
                  <c:v>53850</c:v>
                </c:pt>
                <c:pt idx="1696">
                  <c:v>53857</c:v>
                </c:pt>
                <c:pt idx="1697">
                  <c:v>53864</c:v>
                </c:pt>
                <c:pt idx="1698">
                  <c:v>53871</c:v>
                </c:pt>
                <c:pt idx="1699">
                  <c:v>53878</c:v>
                </c:pt>
                <c:pt idx="1700">
                  <c:v>53885</c:v>
                </c:pt>
                <c:pt idx="1701">
                  <c:v>53892</c:v>
                </c:pt>
                <c:pt idx="1702">
                  <c:v>53899</c:v>
                </c:pt>
                <c:pt idx="1703">
                  <c:v>53906</c:v>
                </c:pt>
                <c:pt idx="1704">
                  <c:v>53913</c:v>
                </c:pt>
                <c:pt idx="1705">
                  <c:v>53920</c:v>
                </c:pt>
                <c:pt idx="1706">
                  <c:v>53927</c:v>
                </c:pt>
                <c:pt idx="1707">
                  <c:v>53934</c:v>
                </c:pt>
                <c:pt idx="1708">
                  <c:v>53941</c:v>
                </c:pt>
                <c:pt idx="1709">
                  <c:v>53948</c:v>
                </c:pt>
                <c:pt idx="1710">
                  <c:v>53955</c:v>
                </c:pt>
                <c:pt idx="1711">
                  <c:v>53962</c:v>
                </c:pt>
                <c:pt idx="1712">
                  <c:v>53969</c:v>
                </c:pt>
                <c:pt idx="1713">
                  <c:v>53976</c:v>
                </c:pt>
                <c:pt idx="1714">
                  <c:v>53983</c:v>
                </c:pt>
                <c:pt idx="1715">
                  <c:v>53990</c:v>
                </c:pt>
                <c:pt idx="1716">
                  <c:v>53997</c:v>
                </c:pt>
                <c:pt idx="1717">
                  <c:v>54004</c:v>
                </c:pt>
                <c:pt idx="1718">
                  <c:v>54011</c:v>
                </c:pt>
                <c:pt idx="1719">
                  <c:v>54018</c:v>
                </c:pt>
                <c:pt idx="1720">
                  <c:v>54025</c:v>
                </c:pt>
                <c:pt idx="1721">
                  <c:v>54032</c:v>
                </c:pt>
                <c:pt idx="1722">
                  <c:v>54039</c:v>
                </c:pt>
                <c:pt idx="1723">
                  <c:v>54046</c:v>
                </c:pt>
                <c:pt idx="1724">
                  <c:v>54053</c:v>
                </c:pt>
                <c:pt idx="1725">
                  <c:v>54060</c:v>
                </c:pt>
                <c:pt idx="1726">
                  <c:v>54067</c:v>
                </c:pt>
                <c:pt idx="1727">
                  <c:v>54074</c:v>
                </c:pt>
                <c:pt idx="1728">
                  <c:v>54081</c:v>
                </c:pt>
                <c:pt idx="1729">
                  <c:v>54088</c:v>
                </c:pt>
                <c:pt idx="1730">
                  <c:v>54095</c:v>
                </c:pt>
                <c:pt idx="1731">
                  <c:v>54102</c:v>
                </c:pt>
                <c:pt idx="1732">
                  <c:v>54109</c:v>
                </c:pt>
                <c:pt idx="1733">
                  <c:v>54116</c:v>
                </c:pt>
                <c:pt idx="1734">
                  <c:v>54123</c:v>
                </c:pt>
                <c:pt idx="1735">
                  <c:v>54130</c:v>
                </c:pt>
                <c:pt idx="1736">
                  <c:v>54137</c:v>
                </c:pt>
                <c:pt idx="1737">
                  <c:v>54144</c:v>
                </c:pt>
                <c:pt idx="1738">
                  <c:v>54151</c:v>
                </c:pt>
                <c:pt idx="1739">
                  <c:v>54158</c:v>
                </c:pt>
                <c:pt idx="1740">
                  <c:v>54165</c:v>
                </c:pt>
                <c:pt idx="1741">
                  <c:v>54172</c:v>
                </c:pt>
                <c:pt idx="1742">
                  <c:v>54179</c:v>
                </c:pt>
                <c:pt idx="1743">
                  <c:v>54186</c:v>
                </c:pt>
                <c:pt idx="1744">
                  <c:v>54193</c:v>
                </c:pt>
                <c:pt idx="1745">
                  <c:v>54200</c:v>
                </c:pt>
                <c:pt idx="1746">
                  <c:v>54207</c:v>
                </c:pt>
                <c:pt idx="1747">
                  <c:v>54214</c:v>
                </c:pt>
                <c:pt idx="1748">
                  <c:v>54221</c:v>
                </c:pt>
                <c:pt idx="1749">
                  <c:v>54228</c:v>
                </c:pt>
                <c:pt idx="1750">
                  <c:v>54235</c:v>
                </c:pt>
                <c:pt idx="1751">
                  <c:v>54242</c:v>
                </c:pt>
                <c:pt idx="1752">
                  <c:v>54249</c:v>
                </c:pt>
                <c:pt idx="1753">
                  <c:v>54256</c:v>
                </c:pt>
                <c:pt idx="1754">
                  <c:v>54263</c:v>
                </c:pt>
                <c:pt idx="1755">
                  <c:v>54270</c:v>
                </c:pt>
                <c:pt idx="1756">
                  <c:v>54277</c:v>
                </c:pt>
                <c:pt idx="1757">
                  <c:v>54284</c:v>
                </c:pt>
                <c:pt idx="1758">
                  <c:v>54291</c:v>
                </c:pt>
                <c:pt idx="1759">
                  <c:v>54298</c:v>
                </c:pt>
                <c:pt idx="1760">
                  <c:v>54305</c:v>
                </c:pt>
                <c:pt idx="1761">
                  <c:v>54312</c:v>
                </c:pt>
                <c:pt idx="1762">
                  <c:v>54319</c:v>
                </c:pt>
                <c:pt idx="1763">
                  <c:v>54326</c:v>
                </c:pt>
                <c:pt idx="1764">
                  <c:v>54333</c:v>
                </c:pt>
                <c:pt idx="1765">
                  <c:v>54340</c:v>
                </c:pt>
                <c:pt idx="1766">
                  <c:v>54347</c:v>
                </c:pt>
                <c:pt idx="1767">
                  <c:v>54354</c:v>
                </c:pt>
                <c:pt idx="1768">
                  <c:v>54361</c:v>
                </c:pt>
                <c:pt idx="1769">
                  <c:v>54368</c:v>
                </c:pt>
                <c:pt idx="1770">
                  <c:v>54375</c:v>
                </c:pt>
                <c:pt idx="1771">
                  <c:v>54382</c:v>
                </c:pt>
                <c:pt idx="1772">
                  <c:v>54389</c:v>
                </c:pt>
                <c:pt idx="1773">
                  <c:v>54396</c:v>
                </c:pt>
                <c:pt idx="1774">
                  <c:v>54403</c:v>
                </c:pt>
                <c:pt idx="1775">
                  <c:v>54410</c:v>
                </c:pt>
                <c:pt idx="1776">
                  <c:v>54417</c:v>
                </c:pt>
                <c:pt idx="1777">
                  <c:v>54424</c:v>
                </c:pt>
                <c:pt idx="1778">
                  <c:v>54431</c:v>
                </c:pt>
                <c:pt idx="1779">
                  <c:v>54438</c:v>
                </c:pt>
                <c:pt idx="1780">
                  <c:v>54445</c:v>
                </c:pt>
                <c:pt idx="1781">
                  <c:v>54452</c:v>
                </c:pt>
                <c:pt idx="1782">
                  <c:v>54459</c:v>
                </c:pt>
                <c:pt idx="1783">
                  <c:v>54466</c:v>
                </c:pt>
                <c:pt idx="1784">
                  <c:v>54473</c:v>
                </c:pt>
                <c:pt idx="1785">
                  <c:v>54480</c:v>
                </c:pt>
                <c:pt idx="1786">
                  <c:v>54487</c:v>
                </c:pt>
                <c:pt idx="1787">
                  <c:v>54494</c:v>
                </c:pt>
                <c:pt idx="1788">
                  <c:v>54501</c:v>
                </c:pt>
                <c:pt idx="1789">
                  <c:v>54508</c:v>
                </c:pt>
                <c:pt idx="1790">
                  <c:v>54515</c:v>
                </c:pt>
                <c:pt idx="1791">
                  <c:v>54522</c:v>
                </c:pt>
                <c:pt idx="1792">
                  <c:v>54529</c:v>
                </c:pt>
                <c:pt idx="1793">
                  <c:v>54536</c:v>
                </c:pt>
                <c:pt idx="1794">
                  <c:v>54543</c:v>
                </c:pt>
                <c:pt idx="1795">
                  <c:v>54550</c:v>
                </c:pt>
                <c:pt idx="1796">
                  <c:v>54557</c:v>
                </c:pt>
                <c:pt idx="1797">
                  <c:v>54564</c:v>
                </c:pt>
                <c:pt idx="1798">
                  <c:v>54571</c:v>
                </c:pt>
                <c:pt idx="1799">
                  <c:v>54578</c:v>
                </c:pt>
                <c:pt idx="1800">
                  <c:v>54585</c:v>
                </c:pt>
                <c:pt idx="1801">
                  <c:v>54592</c:v>
                </c:pt>
                <c:pt idx="1802">
                  <c:v>54599</c:v>
                </c:pt>
                <c:pt idx="1803">
                  <c:v>54606</c:v>
                </c:pt>
                <c:pt idx="1804">
                  <c:v>54613</c:v>
                </c:pt>
                <c:pt idx="1805">
                  <c:v>54620</c:v>
                </c:pt>
                <c:pt idx="1806">
                  <c:v>54627</c:v>
                </c:pt>
                <c:pt idx="1807">
                  <c:v>54634</c:v>
                </c:pt>
                <c:pt idx="1808">
                  <c:v>54641</c:v>
                </c:pt>
                <c:pt idx="1809">
                  <c:v>54648</c:v>
                </c:pt>
                <c:pt idx="1810">
                  <c:v>54655</c:v>
                </c:pt>
                <c:pt idx="1811">
                  <c:v>54662</c:v>
                </c:pt>
                <c:pt idx="1812">
                  <c:v>54669</c:v>
                </c:pt>
                <c:pt idx="1813">
                  <c:v>54676</c:v>
                </c:pt>
                <c:pt idx="1814">
                  <c:v>54683</c:v>
                </c:pt>
                <c:pt idx="1815">
                  <c:v>54690</c:v>
                </c:pt>
                <c:pt idx="1816">
                  <c:v>54697</c:v>
                </c:pt>
                <c:pt idx="1817">
                  <c:v>54704</c:v>
                </c:pt>
                <c:pt idx="1818">
                  <c:v>54711</c:v>
                </c:pt>
                <c:pt idx="1819">
                  <c:v>54718</c:v>
                </c:pt>
                <c:pt idx="1820">
                  <c:v>54725</c:v>
                </c:pt>
                <c:pt idx="1821">
                  <c:v>54732</c:v>
                </c:pt>
                <c:pt idx="1822">
                  <c:v>54739</c:v>
                </c:pt>
                <c:pt idx="1823">
                  <c:v>54746</c:v>
                </c:pt>
                <c:pt idx="1824">
                  <c:v>54753</c:v>
                </c:pt>
                <c:pt idx="1825">
                  <c:v>54760</c:v>
                </c:pt>
                <c:pt idx="1826">
                  <c:v>54767</c:v>
                </c:pt>
                <c:pt idx="1827">
                  <c:v>54774</c:v>
                </c:pt>
                <c:pt idx="1828">
                  <c:v>54781</c:v>
                </c:pt>
                <c:pt idx="1829">
                  <c:v>54788</c:v>
                </c:pt>
                <c:pt idx="1830">
                  <c:v>54795</c:v>
                </c:pt>
                <c:pt idx="1831">
                  <c:v>54802</c:v>
                </c:pt>
                <c:pt idx="1832">
                  <c:v>54809</c:v>
                </c:pt>
                <c:pt idx="1833">
                  <c:v>54816</c:v>
                </c:pt>
                <c:pt idx="1834">
                  <c:v>54823</c:v>
                </c:pt>
                <c:pt idx="1835">
                  <c:v>54830</c:v>
                </c:pt>
                <c:pt idx="1836">
                  <c:v>54837</c:v>
                </c:pt>
                <c:pt idx="1837">
                  <c:v>54844</c:v>
                </c:pt>
                <c:pt idx="1838">
                  <c:v>54851</c:v>
                </c:pt>
                <c:pt idx="1839">
                  <c:v>54858</c:v>
                </c:pt>
                <c:pt idx="1840">
                  <c:v>54865</c:v>
                </c:pt>
                <c:pt idx="1841">
                  <c:v>54872</c:v>
                </c:pt>
                <c:pt idx="1842">
                  <c:v>54879</c:v>
                </c:pt>
                <c:pt idx="1843">
                  <c:v>54886</c:v>
                </c:pt>
                <c:pt idx="1844">
                  <c:v>54893</c:v>
                </c:pt>
                <c:pt idx="1845">
                  <c:v>54900</c:v>
                </c:pt>
                <c:pt idx="1846">
                  <c:v>54907</c:v>
                </c:pt>
                <c:pt idx="1847">
                  <c:v>54914</c:v>
                </c:pt>
                <c:pt idx="1848">
                  <c:v>54921</c:v>
                </c:pt>
                <c:pt idx="1849">
                  <c:v>54928</c:v>
                </c:pt>
                <c:pt idx="1850">
                  <c:v>54935</c:v>
                </c:pt>
                <c:pt idx="1851">
                  <c:v>54942</c:v>
                </c:pt>
                <c:pt idx="1852">
                  <c:v>54949</c:v>
                </c:pt>
                <c:pt idx="1853">
                  <c:v>54956</c:v>
                </c:pt>
                <c:pt idx="1854">
                  <c:v>54963</c:v>
                </c:pt>
                <c:pt idx="1855">
                  <c:v>54970</c:v>
                </c:pt>
                <c:pt idx="1856">
                  <c:v>54977</c:v>
                </c:pt>
                <c:pt idx="1857">
                  <c:v>54984</c:v>
                </c:pt>
                <c:pt idx="1858">
                  <c:v>54991</c:v>
                </c:pt>
                <c:pt idx="1859">
                  <c:v>54998</c:v>
                </c:pt>
                <c:pt idx="1860">
                  <c:v>55005</c:v>
                </c:pt>
                <c:pt idx="1861">
                  <c:v>55012</c:v>
                </c:pt>
                <c:pt idx="1862">
                  <c:v>55019</c:v>
                </c:pt>
                <c:pt idx="1863">
                  <c:v>55026</c:v>
                </c:pt>
                <c:pt idx="1864">
                  <c:v>55033</c:v>
                </c:pt>
                <c:pt idx="1865">
                  <c:v>55040</c:v>
                </c:pt>
                <c:pt idx="1866">
                  <c:v>55047</c:v>
                </c:pt>
                <c:pt idx="1867">
                  <c:v>55054</c:v>
                </c:pt>
                <c:pt idx="1868">
                  <c:v>55061</c:v>
                </c:pt>
                <c:pt idx="1869">
                  <c:v>55068</c:v>
                </c:pt>
                <c:pt idx="1870">
                  <c:v>55075</c:v>
                </c:pt>
                <c:pt idx="1871">
                  <c:v>55082</c:v>
                </c:pt>
                <c:pt idx="1872">
                  <c:v>55089</c:v>
                </c:pt>
                <c:pt idx="1873">
                  <c:v>55096</c:v>
                </c:pt>
                <c:pt idx="1874">
                  <c:v>55103</c:v>
                </c:pt>
                <c:pt idx="1875">
                  <c:v>55110</c:v>
                </c:pt>
                <c:pt idx="1876">
                  <c:v>55117</c:v>
                </c:pt>
                <c:pt idx="1877">
                  <c:v>55124</c:v>
                </c:pt>
                <c:pt idx="1878">
                  <c:v>55131</c:v>
                </c:pt>
                <c:pt idx="1879">
                  <c:v>55138</c:v>
                </c:pt>
                <c:pt idx="1880">
                  <c:v>55145</c:v>
                </c:pt>
                <c:pt idx="1881">
                  <c:v>55152</c:v>
                </c:pt>
                <c:pt idx="1882">
                  <c:v>55159</c:v>
                </c:pt>
                <c:pt idx="1883">
                  <c:v>55166</c:v>
                </c:pt>
                <c:pt idx="1884">
                  <c:v>55173</c:v>
                </c:pt>
                <c:pt idx="1885">
                  <c:v>55180</c:v>
                </c:pt>
                <c:pt idx="1886">
                  <c:v>55187</c:v>
                </c:pt>
                <c:pt idx="1887">
                  <c:v>55194</c:v>
                </c:pt>
                <c:pt idx="1888">
                  <c:v>55201</c:v>
                </c:pt>
                <c:pt idx="1889">
                  <c:v>55208</c:v>
                </c:pt>
                <c:pt idx="1890">
                  <c:v>55215</c:v>
                </c:pt>
                <c:pt idx="1891">
                  <c:v>55222</c:v>
                </c:pt>
                <c:pt idx="1892">
                  <c:v>55229</c:v>
                </c:pt>
                <c:pt idx="1893">
                  <c:v>55236</c:v>
                </c:pt>
                <c:pt idx="1894">
                  <c:v>55243</c:v>
                </c:pt>
                <c:pt idx="1895">
                  <c:v>55250</c:v>
                </c:pt>
                <c:pt idx="1896">
                  <c:v>55257</c:v>
                </c:pt>
                <c:pt idx="1897">
                  <c:v>55264</c:v>
                </c:pt>
                <c:pt idx="1898">
                  <c:v>55271</c:v>
                </c:pt>
                <c:pt idx="1899">
                  <c:v>55278</c:v>
                </c:pt>
                <c:pt idx="1900">
                  <c:v>55285</c:v>
                </c:pt>
                <c:pt idx="1901">
                  <c:v>55292</c:v>
                </c:pt>
                <c:pt idx="1902">
                  <c:v>55299</c:v>
                </c:pt>
                <c:pt idx="1903">
                  <c:v>55306</c:v>
                </c:pt>
                <c:pt idx="1904">
                  <c:v>55313</c:v>
                </c:pt>
                <c:pt idx="1905">
                  <c:v>55320</c:v>
                </c:pt>
                <c:pt idx="1906">
                  <c:v>55327</c:v>
                </c:pt>
                <c:pt idx="1907">
                  <c:v>55334</c:v>
                </c:pt>
                <c:pt idx="1908">
                  <c:v>55341</c:v>
                </c:pt>
                <c:pt idx="1909">
                  <c:v>55348</c:v>
                </c:pt>
                <c:pt idx="1910">
                  <c:v>55355</c:v>
                </c:pt>
                <c:pt idx="1911">
                  <c:v>55362</c:v>
                </c:pt>
                <c:pt idx="1912">
                  <c:v>55369</c:v>
                </c:pt>
                <c:pt idx="1913">
                  <c:v>55376</c:v>
                </c:pt>
                <c:pt idx="1914">
                  <c:v>55383</c:v>
                </c:pt>
                <c:pt idx="1915">
                  <c:v>55390</c:v>
                </c:pt>
                <c:pt idx="1916">
                  <c:v>55397</c:v>
                </c:pt>
                <c:pt idx="1917">
                  <c:v>55404</c:v>
                </c:pt>
                <c:pt idx="1918">
                  <c:v>55411</c:v>
                </c:pt>
                <c:pt idx="1919">
                  <c:v>55418</c:v>
                </c:pt>
                <c:pt idx="1920">
                  <c:v>55425</c:v>
                </c:pt>
                <c:pt idx="1921">
                  <c:v>55432</c:v>
                </c:pt>
                <c:pt idx="1922">
                  <c:v>55439</c:v>
                </c:pt>
                <c:pt idx="1923">
                  <c:v>55446</c:v>
                </c:pt>
                <c:pt idx="1924">
                  <c:v>55453</c:v>
                </c:pt>
                <c:pt idx="1925">
                  <c:v>55460</c:v>
                </c:pt>
                <c:pt idx="1926">
                  <c:v>55467</c:v>
                </c:pt>
                <c:pt idx="1927">
                  <c:v>55474</c:v>
                </c:pt>
                <c:pt idx="1928">
                  <c:v>55481</c:v>
                </c:pt>
                <c:pt idx="1929">
                  <c:v>55488</c:v>
                </c:pt>
                <c:pt idx="1930">
                  <c:v>55495</c:v>
                </c:pt>
                <c:pt idx="1931">
                  <c:v>55502</c:v>
                </c:pt>
                <c:pt idx="1932">
                  <c:v>55509</c:v>
                </c:pt>
                <c:pt idx="1933">
                  <c:v>55516</c:v>
                </c:pt>
                <c:pt idx="1934">
                  <c:v>55523</c:v>
                </c:pt>
                <c:pt idx="1935">
                  <c:v>55530</c:v>
                </c:pt>
                <c:pt idx="1936">
                  <c:v>55537</c:v>
                </c:pt>
                <c:pt idx="1937">
                  <c:v>55544</c:v>
                </c:pt>
                <c:pt idx="1938">
                  <c:v>55551</c:v>
                </c:pt>
                <c:pt idx="1939">
                  <c:v>55558</c:v>
                </c:pt>
                <c:pt idx="1940">
                  <c:v>55565</c:v>
                </c:pt>
                <c:pt idx="1941">
                  <c:v>55572</c:v>
                </c:pt>
                <c:pt idx="1942">
                  <c:v>55579</c:v>
                </c:pt>
                <c:pt idx="1943">
                  <c:v>55586</c:v>
                </c:pt>
                <c:pt idx="1944">
                  <c:v>55593</c:v>
                </c:pt>
                <c:pt idx="1945">
                  <c:v>55600</c:v>
                </c:pt>
                <c:pt idx="1946">
                  <c:v>55607</c:v>
                </c:pt>
                <c:pt idx="1947">
                  <c:v>55614</c:v>
                </c:pt>
                <c:pt idx="1948">
                  <c:v>55621</c:v>
                </c:pt>
                <c:pt idx="1949">
                  <c:v>55628</c:v>
                </c:pt>
                <c:pt idx="1950">
                  <c:v>55635</c:v>
                </c:pt>
                <c:pt idx="1951">
                  <c:v>55642</c:v>
                </c:pt>
                <c:pt idx="1952">
                  <c:v>55649</c:v>
                </c:pt>
                <c:pt idx="1953">
                  <c:v>55656</c:v>
                </c:pt>
                <c:pt idx="1954">
                  <c:v>55663</c:v>
                </c:pt>
                <c:pt idx="1955">
                  <c:v>55670</c:v>
                </c:pt>
                <c:pt idx="1956">
                  <c:v>55677</c:v>
                </c:pt>
                <c:pt idx="1957">
                  <c:v>55684</c:v>
                </c:pt>
                <c:pt idx="1958">
                  <c:v>55691</c:v>
                </c:pt>
                <c:pt idx="1959">
                  <c:v>55698</c:v>
                </c:pt>
                <c:pt idx="1960">
                  <c:v>55705</c:v>
                </c:pt>
                <c:pt idx="1961">
                  <c:v>55712</c:v>
                </c:pt>
                <c:pt idx="1962">
                  <c:v>55719</c:v>
                </c:pt>
                <c:pt idx="1963">
                  <c:v>55726</c:v>
                </c:pt>
                <c:pt idx="1964">
                  <c:v>55733</c:v>
                </c:pt>
                <c:pt idx="1965">
                  <c:v>55740</c:v>
                </c:pt>
                <c:pt idx="1966">
                  <c:v>55747</c:v>
                </c:pt>
                <c:pt idx="1967">
                  <c:v>55754</c:v>
                </c:pt>
                <c:pt idx="1968">
                  <c:v>55761</c:v>
                </c:pt>
                <c:pt idx="1969">
                  <c:v>55768</c:v>
                </c:pt>
                <c:pt idx="1970">
                  <c:v>55775</c:v>
                </c:pt>
                <c:pt idx="1971">
                  <c:v>55782</c:v>
                </c:pt>
                <c:pt idx="1972">
                  <c:v>55789</c:v>
                </c:pt>
                <c:pt idx="1973">
                  <c:v>55796</c:v>
                </c:pt>
                <c:pt idx="1974">
                  <c:v>55803</c:v>
                </c:pt>
                <c:pt idx="1975">
                  <c:v>55810</c:v>
                </c:pt>
                <c:pt idx="1976">
                  <c:v>55817</c:v>
                </c:pt>
                <c:pt idx="1977">
                  <c:v>55824</c:v>
                </c:pt>
                <c:pt idx="1978">
                  <c:v>55831</c:v>
                </c:pt>
                <c:pt idx="1979">
                  <c:v>55838</c:v>
                </c:pt>
                <c:pt idx="1980">
                  <c:v>55845</c:v>
                </c:pt>
                <c:pt idx="1981">
                  <c:v>55852</c:v>
                </c:pt>
                <c:pt idx="1982">
                  <c:v>55859</c:v>
                </c:pt>
                <c:pt idx="1983">
                  <c:v>55866</c:v>
                </c:pt>
                <c:pt idx="1984">
                  <c:v>55873</c:v>
                </c:pt>
                <c:pt idx="1985">
                  <c:v>55880</c:v>
                </c:pt>
                <c:pt idx="1986">
                  <c:v>55887</c:v>
                </c:pt>
                <c:pt idx="1987">
                  <c:v>55894</c:v>
                </c:pt>
                <c:pt idx="1988">
                  <c:v>55901</c:v>
                </c:pt>
                <c:pt idx="1989">
                  <c:v>55908</c:v>
                </c:pt>
                <c:pt idx="1990">
                  <c:v>55915</c:v>
                </c:pt>
                <c:pt idx="1991">
                  <c:v>55922</c:v>
                </c:pt>
                <c:pt idx="1992">
                  <c:v>55929</c:v>
                </c:pt>
                <c:pt idx="1993">
                  <c:v>55936</c:v>
                </c:pt>
                <c:pt idx="1994">
                  <c:v>55943</c:v>
                </c:pt>
                <c:pt idx="1995">
                  <c:v>55950</c:v>
                </c:pt>
                <c:pt idx="1996">
                  <c:v>55957</c:v>
                </c:pt>
                <c:pt idx="1997">
                  <c:v>55964</c:v>
                </c:pt>
                <c:pt idx="1998">
                  <c:v>55971</c:v>
                </c:pt>
                <c:pt idx="1999">
                  <c:v>55978</c:v>
                </c:pt>
                <c:pt idx="2000">
                  <c:v>55985</c:v>
                </c:pt>
                <c:pt idx="2001">
                  <c:v>55992</c:v>
                </c:pt>
                <c:pt idx="2002">
                  <c:v>55999</c:v>
                </c:pt>
                <c:pt idx="2003">
                  <c:v>56006</c:v>
                </c:pt>
                <c:pt idx="2004">
                  <c:v>56013</c:v>
                </c:pt>
                <c:pt idx="2005">
                  <c:v>56020</c:v>
                </c:pt>
                <c:pt idx="2006">
                  <c:v>56027</c:v>
                </c:pt>
                <c:pt idx="2007">
                  <c:v>56034</c:v>
                </c:pt>
                <c:pt idx="2008">
                  <c:v>56041</c:v>
                </c:pt>
                <c:pt idx="2009">
                  <c:v>56048</c:v>
                </c:pt>
                <c:pt idx="2010">
                  <c:v>56055</c:v>
                </c:pt>
                <c:pt idx="2011">
                  <c:v>56062</c:v>
                </c:pt>
                <c:pt idx="2012">
                  <c:v>56069</c:v>
                </c:pt>
                <c:pt idx="2013">
                  <c:v>56076</c:v>
                </c:pt>
                <c:pt idx="2014">
                  <c:v>56083</c:v>
                </c:pt>
                <c:pt idx="2015">
                  <c:v>56090</c:v>
                </c:pt>
                <c:pt idx="2016">
                  <c:v>56097</c:v>
                </c:pt>
                <c:pt idx="2017">
                  <c:v>56104</c:v>
                </c:pt>
                <c:pt idx="2018">
                  <c:v>56111</c:v>
                </c:pt>
                <c:pt idx="2019">
                  <c:v>56118</c:v>
                </c:pt>
                <c:pt idx="2020">
                  <c:v>56125</c:v>
                </c:pt>
                <c:pt idx="2021">
                  <c:v>56132</c:v>
                </c:pt>
                <c:pt idx="2022">
                  <c:v>56139</c:v>
                </c:pt>
                <c:pt idx="2023">
                  <c:v>56146</c:v>
                </c:pt>
                <c:pt idx="2024">
                  <c:v>56153</c:v>
                </c:pt>
                <c:pt idx="2025">
                  <c:v>56160</c:v>
                </c:pt>
                <c:pt idx="2026">
                  <c:v>56167</c:v>
                </c:pt>
                <c:pt idx="2027">
                  <c:v>56174</c:v>
                </c:pt>
                <c:pt idx="2028">
                  <c:v>56181</c:v>
                </c:pt>
                <c:pt idx="2029">
                  <c:v>56188</c:v>
                </c:pt>
                <c:pt idx="2030">
                  <c:v>56195</c:v>
                </c:pt>
                <c:pt idx="2031">
                  <c:v>56202</c:v>
                </c:pt>
                <c:pt idx="2032">
                  <c:v>56209</c:v>
                </c:pt>
                <c:pt idx="2033">
                  <c:v>56216</c:v>
                </c:pt>
                <c:pt idx="2034">
                  <c:v>56223</c:v>
                </c:pt>
                <c:pt idx="2035">
                  <c:v>56230</c:v>
                </c:pt>
                <c:pt idx="2036">
                  <c:v>56237</c:v>
                </c:pt>
                <c:pt idx="2037">
                  <c:v>56244</c:v>
                </c:pt>
                <c:pt idx="2038">
                  <c:v>56251</c:v>
                </c:pt>
                <c:pt idx="2039">
                  <c:v>56258</c:v>
                </c:pt>
                <c:pt idx="2040">
                  <c:v>56265</c:v>
                </c:pt>
                <c:pt idx="2041">
                  <c:v>56272</c:v>
                </c:pt>
                <c:pt idx="2042">
                  <c:v>56279</c:v>
                </c:pt>
                <c:pt idx="2043">
                  <c:v>56286</c:v>
                </c:pt>
                <c:pt idx="2044">
                  <c:v>56293</c:v>
                </c:pt>
                <c:pt idx="2045">
                  <c:v>56300</c:v>
                </c:pt>
                <c:pt idx="2046">
                  <c:v>56307</c:v>
                </c:pt>
                <c:pt idx="2047">
                  <c:v>56314</c:v>
                </c:pt>
                <c:pt idx="2048">
                  <c:v>56321</c:v>
                </c:pt>
                <c:pt idx="2049">
                  <c:v>56328</c:v>
                </c:pt>
                <c:pt idx="2050">
                  <c:v>56335</c:v>
                </c:pt>
                <c:pt idx="2051">
                  <c:v>56342</c:v>
                </c:pt>
                <c:pt idx="2052">
                  <c:v>56349</c:v>
                </c:pt>
                <c:pt idx="2053">
                  <c:v>56356</c:v>
                </c:pt>
                <c:pt idx="2054">
                  <c:v>56363</c:v>
                </c:pt>
                <c:pt idx="2055">
                  <c:v>56370</c:v>
                </c:pt>
                <c:pt idx="2056">
                  <c:v>56377</c:v>
                </c:pt>
                <c:pt idx="2057">
                  <c:v>56384</c:v>
                </c:pt>
                <c:pt idx="2058">
                  <c:v>56391</c:v>
                </c:pt>
                <c:pt idx="2059">
                  <c:v>56398</c:v>
                </c:pt>
                <c:pt idx="2060">
                  <c:v>56405</c:v>
                </c:pt>
                <c:pt idx="2061">
                  <c:v>56412</c:v>
                </c:pt>
                <c:pt idx="2062">
                  <c:v>56419</c:v>
                </c:pt>
                <c:pt idx="2063">
                  <c:v>56426</c:v>
                </c:pt>
                <c:pt idx="2064">
                  <c:v>56433</c:v>
                </c:pt>
                <c:pt idx="2065">
                  <c:v>56440</c:v>
                </c:pt>
                <c:pt idx="2066">
                  <c:v>56447</c:v>
                </c:pt>
                <c:pt idx="2067">
                  <c:v>56454</c:v>
                </c:pt>
                <c:pt idx="2068">
                  <c:v>56461</c:v>
                </c:pt>
                <c:pt idx="2069">
                  <c:v>56468</c:v>
                </c:pt>
                <c:pt idx="2070">
                  <c:v>56475</c:v>
                </c:pt>
                <c:pt idx="2071">
                  <c:v>56482</c:v>
                </c:pt>
                <c:pt idx="2072">
                  <c:v>56489</c:v>
                </c:pt>
                <c:pt idx="2073">
                  <c:v>56496</c:v>
                </c:pt>
                <c:pt idx="2074">
                  <c:v>56503</c:v>
                </c:pt>
                <c:pt idx="2075">
                  <c:v>56510</c:v>
                </c:pt>
                <c:pt idx="2076">
                  <c:v>56517</c:v>
                </c:pt>
                <c:pt idx="2077">
                  <c:v>56524</c:v>
                </c:pt>
                <c:pt idx="2078">
                  <c:v>56531</c:v>
                </c:pt>
                <c:pt idx="2079">
                  <c:v>56538</c:v>
                </c:pt>
                <c:pt idx="2080">
                  <c:v>56545</c:v>
                </c:pt>
                <c:pt idx="2081">
                  <c:v>56552</c:v>
                </c:pt>
                <c:pt idx="2082">
                  <c:v>56559</c:v>
                </c:pt>
                <c:pt idx="2083">
                  <c:v>56566</c:v>
                </c:pt>
                <c:pt idx="2084">
                  <c:v>56573</c:v>
                </c:pt>
                <c:pt idx="2085">
                  <c:v>56580</c:v>
                </c:pt>
                <c:pt idx="2086">
                  <c:v>56587</c:v>
                </c:pt>
                <c:pt idx="2087">
                  <c:v>56594</c:v>
                </c:pt>
                <c:pt idx="2088">
                  <c:v>56601</c:v>
                </c:pt>
                <c:pt idx="2089">
                  <c:v>56608</c:v>
                </c:pt>
                <c:pt idx="2090">
                  <c:v>56615</c:v>
                </c:pt>
                <c:pt idx="2091">
                  <c:v>56622</c:v>
                </c:pt>
                <c:pt idx="2092">
                  <c:v>56629</c:v>
                </c:pt>
                <c:pt idx="2093">
                  <c:v>56636</c:v>
                </c:pt>
                <c:pt idx="2094">
                  <c:v>56643</c:v>
                </c:pt>
                <c:pt idx="2095">
                  <c:v>56650</c:v>
                </c:pt>
                <c:pt idx="2096">
                  <c:v>56657</c:v>
                </c:pt>
                <c:pt idx="2097">
                  <c:v>56664</c:v>
                </c:pt>
                <c:pt idx="2098">
                  <c:v>56671</c:v>
                </c:pt>
                <c:pt idx="2099">
                  <c:v>56678</c:v>
                </c:pt>
                <c:pt idx="2100">
                  <c:v>56685</c:v>
                </c:pt>
                <c:pt idx="2101">
                  <c:v>56692</c:v>
                </c:pt>
                <c:pt idx="2102">
                  <c:v>56699</c:v>
                </c:pt>
                <c:pt idx="2103">
                  <c:v>56706</c:v>
                </c:pt>
                <c:pt idx="2104">
                  <c:v>56713</c:v>
                </c:pt>
                <c:pt idx="2105">
                  <c:v>56720</c:v>
                </c:pt>
                <c:pt idx="2106">
                  <c:v>56727</c:v>
                </c:pt>
                <c:pt idx="2107">
                  <c:v>56734</c:v>
                </c:pt>
                <c:pt idx="2108">
                  <c:v>56741</c:v>
                </c:pt>
                <c:pt idx="2109">
                  <c:v>56748</c:v>
                </c:pt>
                <c:pt idx="2110">
                  <c:v>56755</c:v>
                </c:pt>
                <c:pt idx="2111">
                  <c:v>56762</c:v>
                </c:pt>
                <c:pt idx="2112">
                  <c:v>56769</c:v>
                </c:pt>
                <c:pt idx="2113">
                  <c:v>56776</c:v>
                </c:pt>
                <c:pt idx="2114">
                  <c:v>56783</c:v>
                </c:pt>
                <c:pt idx="2115">
                  <c:v>56790</c:v>
                </c:pt>
                <c:pt idx="2116">
                  <c:v>56797</c:v>
                </c:pt>
                <c:pt idx="2117">
                  <c:v>56804</c:v>
                </c:pt>
                <c:pt idx="2118">
                  <c:v>56811</c:v>
                </c:pt>
                <c:pt idx="2119">
                  <c:v>56818</c:v>
                </c:pt>
                <c:pt idx="2120">
                  <c:v>56825</c:v>
                </c:pt>
                <c:pt idx="2121">
                  <c:v>56832</c:v>
                </c:pt>
                <c:pt idx="2122">
                  <c:v>56839</c:v>
                </c:pt>
                <c:pt idx="2123">
                  <c:v>56846</c:v>
                </c:pt>
                <c:pt idx="2124">
                  <c:v>56853</c:v>
                </c:pt>
                <c:pt idx="2125">
                  <c:v>56860</c:v>
                </c:pt>
                <c:pt idx="2126">
                  <c:v>56867</c:v>
                </c:pt>
                <c:pt idx="2127">
                  <c:v>56874</c:v>
                </c:pt>
                <c:pt idx="2128">
                  <c:v>56881</c:v>
                </c:pt>
                <c:pt idx="2129">
                  <c:v>56888</c:v>
                </c:pt>
                <c:pt idx="2130">
                  <c:v>56895</c:v>
                </c:pt>
                <c:pt idx="2131">
                  <c:v>56902</c:v>
                </c:pt>
                <c:pt idx="2132">
                  <c:v>56909</c:v>
                </c:pt>
                <c:pt idx="2133">
                  <c:v>56916</c:v>
                </c:pt>
                <c:pt idx="2134">
                  <c:v>56923</c:v>
                </c:pt>
                <c:pt idx="2135">
                  <c:v>56930</c:v>
                </c:pt>
                <c:pt idx="2136">
                  <c:v>56937</c:v>
                </c:pt>
                <c:pt idx="2137">
                  <c:v>56944</c:v>
                </c:pt>
                <c:pt idx="2138">
                  <c:v>56951</c:v>
                </c:pt>
                <c:pt idx="2139">
                  <c:v>56958</c:v>
                </c:pt>
                <c:pt idx="2140">
                  <c:v>56965</c:v>
                </c:pt>
                <c:pt idx="2141">
                  <c:v>56972</c:v>
                </c:pt>
                <c:pt idx="2142">
                  <c:v>56979</c:v>
                </c:pt>
                <c:pt idx="2143">
                  <c:v>56986</c:v>
                </c:pt>
                <c:pt idx="2144">
                  <c:v>56993</c:v>
                </c:pt>
                <c:pt idx="2145">
                  <c:v>57000</c:v>
                </c:pt>
                <c:pt idx="2146">
                  <c:v>57007</c:v>
                </c:pt>
                <c:pt idx="2147">
                  <c:v>57014</c:v>
                </c:pt>
                <c:pt idx="2148">
                  <c:v>57021</c:v>
                </c:pt>
                <c:pt idx="2149">
                  <c:v>57028</c:v>
                </c:pt>
                <c:pt idx="2150">
                  <c:v>57035</c:v>
                </c:pt>
                <c:pt idx="2151">
                  <c:v>57042</c:v>
                </c:pt>
                <c:pt idx="2152">
                  <c:v>57049</c:v>
                </c:pt>
                <c:pt idx="2153">
                  <c:v>57056</c:v>
                </c:pt>
                <c:pt idx="2154">
                  <c:v>57063</c:v>
                </c:pt>
                <c:pt idx="2155">
                  <c:v>57070</c:v>
                </c:pt>
                <c:pt idx="2156">
                  <c:v>57077</c:v>
                </c:pt>
                <c:pt idx="2157">
                  <c:v>57084</c:v>
                </c:pt>
                <c:pt idx="2158">
                  <c:v>57091</c:v>
                </c:pt>
                <c:pt idx="2159">
                  <c:v>57098</c:v>
                </c:pt>
                <c:pt idx="2160">
                  <c:v>57105</c:v>
                </c:pt>
                <c:pt idx="2161">
                  <c:v>57112</c:v>
                </c:pt>
                <c:pt idx="2162">
                  <c:v>57119</c:v>
                </c:pt>
                <c:pt idx="2163">
                  <c:v>57126</c:v>
                </c:pt>
                <c:pt idx="2164">
                  <c:v>57133</c:v>
                </c:pt>
                <c:pt idx="2165">
                  <c:v>57140</c:v>
                </c:pt>
                <c:pt idx="2166">
                  <c:v>57147</c:v>
                </c:pt>
                <c:pt idx="2167">
                  <c:v>57154</c:v>
                </c:pt>
                <c:pt idx="2168">
                  <c:v>57161</c:v>
                </c:pt>
                <c:pt idx="2169">
                  <c:v>57168</c:v>
                </c:pt>
                <c:pt idx="2170">
                  <c:v>57175</c:v>
                </c:pt>
                <c:pt idx="2171">
                  <c:v>57182</c:v>
                </c:pt>
                <c:pt idx="2172">
                  <c:v>57189</c:v>
                </c:pt>
                <c:pt idx="2173">
                  <c:v>57196</c:v>
                </c:pt>
                <c:pt idx="2174">
                  <c:v>57203</c:v>
                </c:pt>
                <c:pt idx="2175">
                  <c:v>57210</c:v>
                </c:pt>
                <c:pt idx="2176">
                  <c:v>57217</c:v>
                </c:pt>
                <c:pt idx="2177">
                  <c:v>57224</c:v>
                </c:pt>
                <c:pt idx="2178">
                  <c:v>57231</c:v>
                </c:pt>
                <c:pt idx="2179">
                  <c:v>57238</c:v>
                </c:pt>
                <c:pt idx="2180">
                  <c:v>57245</c:v>
                </c:pt>
                <c:pt idx="2181">
                  <c:v>57252</c:v>
                </c:pt>
                <c:pt idx="2182">
                  <c:v>57259</c:v>
                </c:pt>
                <c:pt idx="2183">
                  <c:v>57266</c:v>
                </c:pt>
                <c:pt idx="2184">
                  <c:v>57273</c:v>
                </c:pt>
                <c:pt idx="2185">
                  <c:v>57280</c:v>
                </c:pt>
                <c:pt idx="2186">
                  <c:v>57287</c:v>
                </c:pt>
                <c:pt idx="2187">
                  <c:v>57294</c:v>
                </c:pt>
                <c:pt idx="2188">
                  <c:v>57301</c:v>
                </c:pt>
                <c:pt idx="2189">
                  <c:v>57308</c:v>
                </c:pt>
                <c:pt idx="2190">
                  <c:v>57315</c:v>
                </c:pt>
                <c:pt idx="2191">
                  <c:v>57322</c:v>
                </c:pt>
                <c:pt idx="2192">
                  <c:v>57329</c:v>
                </c:pt>
                <c:pt idx="2193">
                  <c:v>57336</c:v>
                </c:pt>
                <c:pt idx="2194">
                  <c:v>57343</c:v>
                </c:pt>
                <c:pt idx="2195">
                  <c:v>57350</c:v>
                </c:pt>
                <c:pt idx="2196">
                  <c:v>57357</c:v>
                </c:pt>
                <c:pt idx="2197">
                  <c:v>57364</c:v>
                </c:pt>
                <c:pt idx="2198">
                  <c:v>57371</c:v>
                </c:pt>
                <c:pt idx="2199">
                  <c:v>57378</c:v>
                </c:pt>
                <c:pt idx="2200">
                  <c:v>57385</c:v>
                </c:pt>
                <c:pt idx="2201">
                  <c:v>57392</c:v>
                </c:pt>
                <c:pt idx="2202">
                  <c:v>57399</c:v>
                </c:pt>
                <c:pt idx="2203">
                  <c:v>57406</c:v>
                </c:pt>
                <c:pt idx="2204">
                  <c:v>57413</c:v>
                </c:pt>
                <c:pt idx="2205">
                  <c:v>57420</c:v>
                </c:pt>
                <c:pt idx="2206">
                  <c:v>57427</c:v>
                </c:pt>
                <c:pt idx="2207">
                  <c:v>57434</c:v>
                </c:pt>
                <c:pt idx="2208">
                  <c:v>57441</c:v>
                </c:pt>
                <c:pt idx="2209">
                  <c:v>57448</c:v>
                </c:pt>
                <c:pt idx="2210">
                  <c:v>57455</c:v>
                </c:pt>
                <c:pt idx="2211">
                  <c:v>57462</c:v>
                </c:pt>
                <c:pt idx="2212">
                  <c:v>57469</c:v>
                </c:pt>
                <c:pt idx="2213">
                  <c:v>57476</c:v>
                </c:pt>
                <c:pt idx="2214">
                  <c:v>57483</c:v>
                </c:pt>
                <c:pt idx="2215">
                  <c:v>57490</c:v>
                </c:pt>
                <c:pt idx="2216">
                  <c:v>57497</c:v>
                </c:pt>
                <c:pt idx="2217">
                  <c:v>57504</c:v>
                </c:pt>
                <c:pt idx="2218">
                  <c:v>57511</c:v>
                </c:pt>
                <c:pt idx="2219">
                  <c:v>57518</c:v>
                </c:pt>
                <c:pt idx="2220">
                  <c:v>57525</c:v>
                </c:pt>
                <c:pt idx="2221">
                  <c:v>57532</c:v>
                </c:pt>
                <c:pt idx="2222">
                  <c:v>57539</c:v>
                </c:pt>
                <c:pt idx="2223">
                  <c:v>57546</c:v>
                </c:pt>
                <c:pt idx="2224">
                  <c:v>57553</c:v>
                </c:pt>
                <c:pt idx="2225">
                  <c:v>57560</c:v>
                </c:pt>
                <c:pt idx="2226">
                  <c:v>57567</c:v>
                </c:pt>
                <c:pt idx="2227">
                  <c:v>57574</c:v>
                </c:pt>
                <c:pt idx="2228">
                  <c:v>57581</c:v>
                </c:pt>
                <c:pt idx="2229">
                  <c:v>57588</c:v>
                </c:pt>
                <c:pt idx="2230">
                  <c:v>57595</c:v>
                </c:pt>
                <c:pt idx="2231">
                  <c:v>57602</c:v>
                </c:pt>
                <c:pt idx="2232">
                  <c:v>57609</c:v>
                </c:pt>
                <c:pt idx="2233">
                  <c:v>57616</c:v>
                </c:pt>
                <c:pt idx="2234">
                  <c:v>57623</c:v>
                </c:pt>
                <c:pt idx="2235">
                  <c:v>57630</c:v>
                </c:pt>
                <c:pt idx="2236">
                  <c:v>57637</c:v>
                </c:pt>
                <c:pt idx="2237">
                  <c:v>57644</c:v>
                </c:pt>
                <c:pt idx="2238">
                  <c:v>57651</c:v>
                </c:pt>
                <c:pt idx="2239">
                  <c:v>57658</c:v>
                </c:pt>
                <c:pt idx="2240">
                  <c:v>57665</c:v>
                </c:pt>
                <c:pt idx="2241">
                  <c:v>57672</c:v>
                </c:pt>
                <c:pt idx="2242">
                  <c:v>57679</c:v>
                </c:pt>
                <c:pt idx="2243">
                  <c:v>57686</c:v>
                </c:pt>
                <c:pt idx="2244">
                  <c:v>57693</c:v>
                </c:pt>
                <c:pt idx="2245">
                  <c:v>57700</c:v>
                </c:pt>
                <c:pt idx="2246">
                  <c:v>57707</c:v>
                </c:pt>
                <c:pt idx="2247">
                  <c:v>57714</c:v>
                </c:pt>
                <c:pt idx="2248">
                  <c:v>57721</c:v>
                </c:pt>
                <c:pt idx="2249">
                  <c:v>57728</c:v>
                </c:pt>
                <c:pt idx="2250">
                  <c:v>57735</c:v>
                </c:pt>
                <c:pt idx="2251">
                  <c:v>57742</c:v>
                </c:pt>
                <c:pt idx="2252">
                  <c:v>57749</c:v>
                </c:pt>
                <c:pt idx="2253">
                  <c:v>57756</c:v>
                </c:pt>
                <c:pt idx="2254">
                  <c:v>57763</c:v>
                </c:pt>
                <c:pt idx="2255">
                  <c:v>57770</c:v>
                </c:pt>
                <c:pt idx="2256">
                  <c:v>57777</c:v>
                </c:pt>
                <c:pt idx="2257">
                  <c:v>57784</c:v>
                </c:pt>
                <c:pt idx="2258">
                  <c:v>57791</c:v>
                </c:pt>
                <c:pt idx="2259">
                  <c:v>57798</c:v>
                </c:pt>
                <c:pt idx="2260">
                  <c:v>57805</c:v>
                </c:pt>
                <c:pt idx="2261">
                  <c:v>57812</c:v>
                </c:pt>
                <c:pt idx="2262">
                  <c:v>57819</c:v>
                </c:pt>
                <c:pt idx="2263">
                  <c:v>57826</c:v>
                </c:pt>
                <c:pt idx="2264">
                  <c:v>57833</c:v>
                </c:pt>
                <c:pt idx="2265">
                  <c:v>57840</c:v>
                </c:pt>
                <c:pt idx="2266">
                  <c:v>57847</c:v>
                </c:pt>
                <c:pt idx="2267">
                  <c:v>57854</c:v>
                </c:pt>
                <c:pt idx="2268">
                  <c:v>57861</c:v>
                </c:pt>
                <c:pt idx="2269">
                  <c:v>57868</c:v>
                </c:pt>
                <c:pt idx="2270">
                  <c:v>57875</c:v>
                </c:pt>
                <c:pt idx="2271">
                  <c:v>57882</c:v>
                </c:pt>
                <c:pt idx="2272">
                  <c:v>57889</c:v>
                </c:pt>
                <c:pt idx="2273">
                  <c:v>57896</c:v>
                </c:pt>
                <c:pt idx="2274">
                  <c:v>57903</c:v>
                </c:pt>
                <c:pt idx="2275">
                  <c:v>57910</c:v>
                </c:pt>
                <c:pt idx="2276">
                  <c:v>57917</c:v>
                </c:pt>
                <c:pt idx="2277">
                  <c:v>57924</c:v>
                </c:pt>
                <c:pt idx="2278">
                  <c:v>57931</c:v>
                </c:pt>
                <c:pt idx="2279">
                  <c:v>57938</c:v>
                </c:pt>
                <c:pt idx="2280">
                  <c:v>57945</c:v>
                </c:pt>
                <c:pt idx="2281">
                  <c:v>57952</c:v>
                </c:pt>
                <c:pt idx="2282">
                  <c:v>57959</c:v>
                </c:pt>
                <c:pt idx="2283">
                  <c:v>57966</c:v>
                </c:pt>
                <c:pt idx="2284">
                  <c:v>57973</c:v>
                </c:pt>
                <c:pt idx="2285">
                  <c:v>57980</c:v>
                </c:pt>
                <c:pt idx="2286">
                  <c:v>57987</c:v>
                </c:pt>
                <c:pt idx="2287">
                  <c:v>57994</c:v>
                </c:pt>
                <c:pt idx="2288">
                  <c:v>58001</c:v>
                </c:pt>
                <c:pt idx="2289">
                  <c:v>58008</c:v>
                </c:pt>
                <c:pt idx="2290">
                  <c:v>58015</c:v>
                </c:pt>
                <c:pt idx="2291">
                  <c:v>58022</c:v>
                </c:pt>
                <c:pt idx="2292">
                  <c:v>58029</c:v>
                </c:pt>
                <c:pt idx="2293">
                  <c:v>58036</c:v>
                </c:pt>
                <c:pt idx="2294">
                  <c:v>58043</c:v>
                </c:pt>
                <c:pt idx="2295">
                  <c:v>58050</c:v>
                </c:pt>
                <c:pt idx="2296">
                  <c:v>58057</c:v>
                </c:pt>
                <c:pt idx="2297">
                  <c:v>58064</c:v>
                </c:pt>
                <c:pt idx="2298">
                  <c:v>58071</c:v>
                </c:pt>
                <c:pt idx="2299">
                  <c:v>58078</c:v>
                </c:pt>
                <c:pt idx="2300">
                  <c:v>58085</c:v>
                </c:pt>
                <c:pt idx="2301">
                  <c:v>58092</c:v>
                </c:pt>
                <c:pt idx="2302">
                  <c:v>58099</c:v>
                </c:pt>
                <c:pt idx="2303">
                  <c:v>58106</c:v>
                </c:pt>
                <c:pt idx="2304">
                  <c:v>58113</c:v>
                </c:pt>
                <c:pt idx="2305">
                  <c:v>58120</c:v>
                </c:pt>
                <c:pt idx="2306">
                  <c:v>58127</c:v>
                </c:pt>
                <c:pt idx="2307">
                  <c:v>58134</c:v>
                </c:pt>
                <c:pt idx="2308">
                  <c:v>58141</c:v>
                </c:pt>
                <c:pt idx="2309">
                  <c:v>58148</c:v>
                </c:pt>
                <c:pt idx="2310">
                  <c:v>58155</c:v>
                </c:pt>
                <c:pt idx="2311">
                  <c:v>58162</c:v>
                </c:pt>
                <c:pt idx="2312">
                  <c:v>58169</c:v>
                </c:pt>
                <c:pt idx="2313">
                  <c:v>58176</c:v>
                </c:pt>
                <c:pt idx="2314">
                  <c:v>58183</c:v>
                </c:pt>
                <c:pt idx="2315">
                  <c:v>58190</c:v>
                </c:pt>
                <c:pt idx="2316">
                  <c:v>58197</c:v>
                </c:pt>
                <c:pt idx="2317">
                  <c:v>58204</c:v>
                </c:pt>
                <c:pt idx="2318">
                  <c:v>58211</c:v>
                </c:pt>
                <c:pt idx="2319">
                  <c:v>58218</c:v>
                </c:pt>
                <c:pt idx="2320">
                  <c:v>58225</c:v>
                </c:pt>
                <c:pt idx="2321">
                  <c:v>58232</c:v>
                </c:pt>
                <c:pt idx="2322">
                  <c:v>58239</c:v>
                </c:pt>
                <c:pt idx="2323">
                  <c:v>58246</c:v>
                </c:pt>
                <c:pt idx="2324">
                  <c:v>58253</c:v>
                </c:pt>
                <c:pt idx="2325">
                  <c:v>58260</c:v>
                </c:pt>
                <c:pt idx="2326">
                  <c:v>58267</c:v>
                </c:pt>
                <c:pt idx="2327">
                  <c:v>58274</c:v>
                </c:pt>
                <c:pt idx="2328">
                  <c:v>58281</c:v>
                </c:pt>
                <c:pt idx="2329">
                  <c:v>58288</c:v>
                </c:pt>
                <c:pt idx="2330">
                  <c:v>58295</c:v>
                </c:pt>
                <c:pt idx="2331">
                  <c:v>58302</c:v>
                </c:pt>
                <c:pt idx="2332">
                  <c:v>58309</c:v>
                </c:pt>
                <c:pt idx="2333">
                  <c:v>58316</c:v>
                </c:pt>
                <c:pt idx="2334">
                  <c:v>58323</c:v>
                </c:pt>
                <c:pt idx="2335">
                  <c:v>58330</c:v>
                </c:pt>
                <c:pt idx="2336">
                  <c:v>58337</c:v>
                </c:pt>
                <c:pt idx="2337">
                  <c:v>58344</c:v>
                </c:pt>
                <c:pt idx="2338">
                  <c:v>58351</c:v>
                </c:pt>
                <c:pt idx="2339">
                  <c:v>58358</c:v>
                </c:pt>
                <c:pt idx="2340">
                  <c:v>58365</c:v>
                </c:pt>
                <c:pt idx="2341">
                  <c:v>58372</c:v>
                </c:pt>
                <c:pt idx="2342">
                  <c:v>58379</c:v>
                </c:pt>
                <c:pt idx="2343">
                  <c:v>58386</c:v>
                </c:pt>
                <c:pt idx="2344">
                  <c:v>58393</c:v>
                </c:pt>
                <c:pt idx="2345">
                  <c:v>58400</c:v>
                </c:pt>
                <c:pt idx="2346">
                  <c:v>58407</c:v>
                </c:pt>
                <c:pt idx="2347">
                  <c:v>58414</c:v>
                </c:pt>
                <c:pt idx="2348">
                  <c:v>58421</c:v>
                </c:pt>
                <c:pt idx="2349">
                  <c:v>58428</c:v>
                </c:pt>
                <c:pt idx="2350">
                  <c:v>58435</c:v>
                </c:pt>
                <c:pt idx="2351">
                  <c:v>58442</c:v>
                </c:pt>
                <c:pt idx="2352">
                  <c:v>58449</c:v>
                </c:pt>
                <c:pt idx="2353">
                  <c:v>58456</c:v>
                </c:pt>
                <c:pt idx="2354">
                  <c:v>58463</c:v>
                </c:pt>
                <c:pt idx="2355">
                  <c:v>58470</c:v>
                </c:pt>
                <c:pt idx="2356">
                  <c:v>58477</c:v>
                </c:pt>
                <c:pt idx="2357">
                  <c:v>58484</c:v>
                </c:pt>
                <c:pt idx="2358">
                  <c:v>58491</c:v>
                </c:pt>
                <c:pt idx="2359">
                  <c:v>58498</c:v>
                </c:pt>
                <c:pt idx="2360">
                  <c:v>58505</c:v>
                </c:pt>
                <c:pt idx="2361">
                  <c:v>58512</c:v>
                </c:pt>
                <c:pt idx="2362">
                  <c:v>58519</c:v>
                </c:pt>
                <c:pt idx="2363">
                  <c:v>58526</c:v>
                </c:pt>
                <c:pt idx="2364">
                  <c:v>58533</c:v>
                </c:pt>
                <c:pt idx="2365">
                  <c:v>58540</c:v>
                </c:pt>
                <c:pt idx="2366">
                  <c:v>58547</c:v>
                </c:pt>
                <c:pt idx="2367">
                  <c:v>58554</c:v>
                </c:pt>
                <c:pt idx="2368">
                  <c:v>58561</c:v>
                </c:pt>
                <c:pt idx="2369">
                  <c:v>58568</c:v>
                </c:pt>
                <c:pt idx="2370">
                  <c:v>58575</c:v>
                </c:pt>
                <c:pt idx="2371">
                  <c:v>58582</c:v>
                </c:pt>
                <c:pt idx="2372">
                  <c:v>58589</c:v>
                </c:pt>
                <c:pt idx="2373">
                  <c:v>58596</c:v>
                </c:pt>
                <c:pt idx="2374">
                  <c:v>58603</c:v>
                </c:pt>
                <c:pt idx="2375">
                  <c:v>58610</c:v>
                </c:pt>
                <c:pt idx="2376">
                  <c:v>58617</c:v>
                </c:pt>
                <c:pt idx="2377">
                  <c:v>58624</c:v>
                </c:pt>
                <c:pt idx="2378">
                  <c:v>58631</c:v>
                </c:pt>
                <c:pt idx="2379">
                  <c:v>58638</c:v>
                </c:pt>
                <c:pt idx="2380">
                  <c:v>58645</c:v>
                </c:pt>
                <c:pt idx="2381">
                  <c:v>58652</c:v>
                </c:pt>
                <c:pt idx="2382">
                  <c:v>58659</c:v>
                </c:pt>
                <c:pt idx="2383">
                  <c:v>58666</c:v>
                </c:pt>
                <c:pt idx="2384">
                  <c:v>58673</c:v>
                </c:pt>
                <c:pt idx="2385">
                  <c:v>58680</c:v>
                </c:pt>
                <c:pt idx="2386">
                  <c:v>58687</c:v>
                </c:pt>
                <c:pt idx="2387">
                  <c:v>58694</c:v>
                </c:pt>
                <c:pt idx="2388">
                  <c:v>58701</c:v>
                </c:pt>
                <c:pt idx="2389">
                  <c:v>58708</c:v>
                </c:pt>
                <c:pt idx="2390">
                  <c:v>58715</c:v>
                </c:pt>
                <c:pt idx="2391">
                  <c:v>58722</c:v>
                </c:pt>
                <c:pt idx="2392">
                  <c:v>58729</c:v>
                </c:pt>
                <c:pt idx="2393">
                  <c:v>58736</c:v>
                </c:pt>
                <c:pt idx="2394">
                  <c:v>58743</c:v>
                </c:pt>
                <c:pt idx="2395">
                  <c:v>58750</c:v>
                </c:pt>
                <c:pt idx="2396">
                  <c:v>58757</c:v>
                </c:pt>
                <c:pt idx="2397">
                  <c:v>58764</c:v>
                </c:pt>
                <c:pt idx="2398">
                  <c:v>58771</c:v>
                </c:pt>
                <c:pt idx="2399">
                  <c:v>58778</c:v>
                </c:pt>
                <c:pt idx="2400">
                  <c:v>58785</c:v>
                </c:pt>
                <c:pt idx="2401">
                  <c:v>58792</c:v>
                </c:pt>
                <c:pt idx="2402">
                  <c:v>58799</c:v>
                </c:pt>
                <c:pt idx="2403">
                  <c:v>58806</c:v>
                </c:pt>
                <c:pt idx="2404">
                  <c:v>58813</c:v>
                </c:pt>
                <c:pt idx="2405">
                  <c:v>58820</c:v>
                </c:pt>
                <c:pt idx="2406">
                  <c:v>58827</c:v>
                </c:pt>
                <c:pt idx="2407">
                  <c:v>58834</c:v>
                </c:pt>
                <c:pt idx="2408">
                  <c:v>58841</c:v>
                </c:pt>
                <c:pt idx="2409">
                  <c:v>58848</c:v>
                </c:pt>
                <c:pt idx="2410">
                  <c:v>58855</c:v>
                </c:pt>
                <c:pt idx="2411">
                  <c:v>58862</c:v>
                </c:pt>
                <c:pt idx="2412">
                  <c:v>58869</c:v>
                </c:pt>
                <c:pt idx="2413">
                  <c:v>58876</c:v>
                </c:pt>
                <c:pt idx="2414">
                  <c:v>58883</c:v>
                </c:pt>
                <c:pt idx="2415">
                  <c:v>58890</c:v>
                </c:pt>
                <c:pt idx="2416">
                  <c:v>58897</c:v>
                </c:pt>
                <c:pt idx="2417">
                  <c:v>58904</c:v>
                </c:pt>
                <c:pt idx="2418">
                  <c:v>58911</c:v>
                </c:pt>
                <c:pt idx="2419">
                  <c:v>58918</c:v>
                </c:pt>
                <c:pt idx="2420">
                  <c:v>58925</c:v>
                </c:pt>
                <c:pt idx="2421">
                  <c:v>58932</c:v>
                </c:pt>
                <c:pt idx="2422">
                  <c:v>58939</c:v>
                </c:pt>
                <c:pt idx="2423">
                  <c:v>58946</c:v>
                </c:pt>
                <c:pt idx="2424">
                  <c:v>58953</c:v>
                </c:pt>
                <c:pt idx="2425">
                  <c:v>58960</c:v>
                </c:pt>
                <c:pt idx="2426">
                  <c:v>58967</c:v>
                </c:pt>
                <c:pt idx="2427">
                  <c:v>58974</c:v>
                </c:pt>
                <c:pt idx="2428">
                  <c:v>58981</c:v>
                </c:pt>
                <c:pt idx="2429">
                  <c:v>58988</c:v>
                </c:pt>
                <c:pt idx="2430">
                  <c:v>58995</c:v>
                </c:pt>
                <c:pt idx="2431">
                  <c:v>59002</c:v>
                </c:pt>
                <c:pt idx="2432">
                  <c:v>59009</c:v>
                </c:pt>
                <c:pt idx="2433">
                  <c:v>59016</c:v>
                </c:pt>
                <c:pt idx="2434">
                  <c:v>59023</c:v>
                </c:pt>
                <c:pt idx="2435">
                  <c:v>59030</c:v>
                </c:pt>
                <c:pt idx="2436">
                  <c:v>59037</c:v>
                </c:pt>
                <c:pt idx="2437">
                  <c:v>59044</c:v>
                </c:pt>
                <c:pt idx="2438">
                  <c:v>59051</c:v>
                </c:pt>
                <c:pt idx="2439">
                  <c:v>59058</c:v>
                </c:pt>
                <c:pt idx="2440">
                  <c:v>59065</c:v>
                </c:pt>
                <c:pt idx="2441">
                  <c:v>59072</c:v>
                </c:pt>
                <c:pt idx="2442">
                  <c:v>59079</c:v>
                </c:pt>
                <c:pt idx="2443">
                  <c:v>59086</c:v>
                </c:pt>
                <c:pt idx="2444">
                  <c:v>59093</c:v>
                </c:pt>
                <c:pt idx="2445">
                  <c:v>59100</c:v>
                </c:pt>
                <c:pt idx="2446">
                  <c:v>59107</c:v>
                </c:pt>
                <c:pt idx="2447">
                  <c:v>59114</c:v>
                </c:pt>
                <c:pt idx="2448">
                  <c:v>59121</c:v>
                </c:pt>
                <c:pt idx="2449">
                  <c:v>59128</c:v>
                </c:pt>
                <c:pt idx="2450">
                  <c:v>59135</c:v>
                </c:pt>
                <c:pt idx="2451">
                  <c:v>59142</c:v>
                </c:pt>
                <c:pt idx="2452">
                  <c:v>59149</c:v>
                </c:pt>
                <c:pt idx="2453">
                  <c:v>59156</c:v>
                </c:pt>
                <c:pt idx="2454">
                  <c:v>59163</c:v>
                </c:pt>
                <c:pt idx="2455">
                  <c:v>59170</c:v>
                </c:pt>
                <c:pt idx="2456">
                  <c:v>59177</c:v>
                </c:pt>
                <c:pt idx="2457">
                  <c:v>59184</c:v>
                </c:pt>
                <c:pt idx="2458">
                  <c:v>59191</c:v>
                </c:pt>
                <c:pt idx="2459">
                  <c:v>59198</c:v>
                </c:pt>
                <c:pt idx="2460">
                  <c:v>59205</c:v>
                </c:pt>
                <c:pt idx="2461">
                  <c:v>59212</c:v>
                </c:pt>
                <c:pt idx="2462">
                  <c:v>59219</c:v>
                </c:pt>
                <c:pt idx="2463">
                  <c:v>59226</c:v>
                </c:pt>
                <c:pt idx="2464">
                  <c:v>59233</c:v>
                </c:pt>
                <c:pt idx="2465">
                  <c:v>59240</c:v>
                </c:pt>
                <c:pt idx="2466">
                  <c:v>59247</c:v>
                </c:pt>
                <c:pt idx="2467">
                  <c:v>59254</c:v>
                </c:pt>
                <c:pt idx="2468">
                  <c:v>59261</c:v>
                </c:pt>
                <c:pt idx="2469">
                  <c:v>59268</c:v>
                </c:pt>
                <c:pt idx="2470">
                  <c:v>59275</c:v>
                </c:pt>
                <c:pt idx="2471">
                  <c:v>59282</c:v>
                </c:pt>
                <c:pt idx="2472">
                  <c:v>59289</c:v>
                </c:pt>
                <c:pt idx="2473">
                  <c:v>59296</c:v>
                </c:pt>
                <c:pt idx="2474">
                  <c:v>59303</c:v>
                </c:pt>
                <c:pt idx="2475">
                  <c:v>59310</c:v>
                </c:pt>
                <c:pt idx="2476">
                  <c:v>59317</c:v>
                </c:pt>
                <c:pt idx="2477">
                  <c:v>59324</c:v>
                </c:pt>
                <c:pt idx="2478">
                  <c:v>59331</c:v>
                </c:pt>
                <c:pt idx="2479">
                  <c:v>59338</c:v>
                </c:pt>
                <c:pt idx="2480">
                  <c:v>59345</c:v>
                </c:pt>
                <c:pt idx="2481">
                  <c:v>59352</c:v>
                </c:pt>
                <c:pt idx="2482">
                  <c:v>59359</c:v>
                </c:pt>
                <c:pt idx="2483">
                  <c:v>59366</c:v>
                </c:pt>
                <c:pt idx="2484">
                  <c:v>59373</c:v>
                </c:pt>
                <c:pt idx="2485">
                  <c:v>59380</c:v>
                </c:pt>
                <c:pt idx="2486">
                  <c:v>59387</c:v>
                </c:pt>
                <c:pt idx="2487">
                  <c:v>59394</c:v>
                </c:pt>
                <c:pt idx="2488">
                  <c:v>59401</c:v>
                </c:pt>
                <c:pt idx="2489">
                  <c:v>59408</c:v>
                </c:pt>
                <c:pt idx="2490">
                  <c:v>59415</c:v>
                </c:pt>
                <c:pt idx="2491">
                  <c:v>59422</c:v>
                </c:pt>
                <c:pt idx="2492">
                  <c:v>59429</c:v>
                </c:pt>
                <c:pt idx="2493">
                  <c:v>59436</c:v>
                </c:pt>
                <c:pt idx="2494">
                  <c:v>59443</c:v>
                </c:pt>
                <c:pt idx="2495">
                  <c:v>59450</c:v>
                </c:pt>
                <c:pt idx="2496">
                  <c:v>59457</c:v>
                </c:pt>
                <c:pt idx="2497">
                  <c:v>59464</c:v>
                </c:pt>
                <c:pt idx="2498">
                  <c:v>59471</c:v>
                </c:pt>
                <c:pt idx="2499">
                  <c:v>59478</c:v>
                </c:pt>
                <c:pt idx="2500">
                  <c:v>59485</c:v>
                </c:pt>
                <c:pt idx="2501">
                  <c:v>59492</c:v>
                </c:pt>
                <c:pt idx="2502">
                  <c:v>59499</c:v>
                </c:pt>
                <c:pt idx="2503">
                  <c:v>59506</c:v>
                </c:pt>
                <c:pt idx="2504">
                  <c:v>59513</c:v>
                </c:pt>
                <c:pt idx="2505">
                  <c:v>59520</c:v>
                </c:pt>
                <c:pt idx="2506">
                  <c:v>59527</c:v>
                </c:pt>
                <c:pt idx="2507">
                  <c:v>59534</c:v>
                </c:pt>
                <c:pt idx="2508">
                  <c:v>59541</c:v>
                </c:pt>
                <c:pt idx="2509">
                  <c:v>59548</c:v>
                </c:pt>
                <c:pt idx="2510">
                  <c:v>59555</c:v>
                </c:pt>
                <c:pt idx="2511">
                  <c:v>59562</c:v>
                </c:pt>
                <c:pt idx="2512">
                  <c:v>59569</c:v>
                </c:pt>
                <c:pt idx="2513">
                  <c:v>59576</c:v>
                </c:pt>
                <c:pt idx="2514">
                  <c:v>59583</c:v>
                </c:pt>
                <c:pt idx="2515">
                  <c:v>59590</c:v>
                </c:pt>
                <c:pt idx="2516">
                  <c:v>59597</c:v>
                </c:pt>
                <c:pt idx="2517">
                  <c:v>59604</c:v>
                </c:pt>
                <c:pt idx="2518">
                  <c:v>59611</c:v>
                </c:pt>
                <c:pt idx="2519">
                  <c:v>59618</c:v>
                </c:pt>
                <c:pt idx="2520">
                  <c:v>59625</c:v>
                </c:pt>
                <c:pt idx="2521">
                  <c:v>59632</c:v>
                </c:pt>
                <c:pt idx="2522">
                  <c:v>59639</c:v>
                </c:pt>
                <c:pt idx="2523">
                  <c:v>59646</c:v>
                </c:pt>
                <c:pt idx="2524">
                  <c:v>59653</c:v>
                </c:pt>
                <c:pt idx="2525">
                  <c:v>59660</c:v>
                </c:pt>
                <c:pt idx="2526">
                  <c:v>59667</c:v>
                </c:pt>
                <c:pt idx="2527">
                  <c:v>59674</c:v>
                </c:pt>
                <c:pt idx="2528">
                  <c:v>59681</c:v>
                </c:pt>
                <c:pt idx="2529">
                  <c:v>59688</c:v>
                </c:pt>
                <c:pt idx="2530">
                  <c:v>59695</c:v>
                </c:pt>
                <c:pt idx="2531">
                  <c:v>59702</c:v>
                </c:pt>
                <c:pt idx="2532">
                  <c:v>59709</c:v>
                </c:pt>
                <c:pt idx="2533">
                  <c:v>59716</c:v>
                </c:pt>
                <c:pt idx="2534">
                  <c:v>59723</c:v>
                </c:pt>
                <c:pt idx="2535">
                  <c:v>59730</c:v>
                </c:pt>
                <c:pt idx="2536">
                  <c:v>59737</c:v>
                </c:pt>
                <c:pt idx="2537">
                  <c:v>59744</c:v>
                </c:pt>
                <c:pt idx="2538">
                  <c:v>59751</c:v>
                </c:pt>
                <c:pt idx="2539">
                  <c:v>59758</c:v>
                </c:pt>
                <c:pt idx="2540">
                  <c:v>59765</c:v>
                </c:pt>
                <c:pt idx="2541">
                  <c:v>59772</c:v>
                </c:pt>
                <c:pt idx="2542">
                  <c:v>59779</c:v>
                </c:pt>
                <c:pt idx="2543">
                  <c:v>59786</c:v>
                </c:pt>
                <c:pt idx="2544">
                  <c:v>59793</c:v>
                </c:pt>
                <c:pt idx="2545">
                  <c:v>59800</c:v>
                </c:pt>
                <c:pt idx="2546">
                  <c:v>59807</c:v>
                </c:pt>
                <c:pt idx="2547">
                  <c:v>59814</c:v>
                </c:pt>
                <c:pt idx="2548">
                  <c:v>59821</c:v>
                </c:pt>
                <c:pt idx="2549">
                  <c:v>59828</c:v>
                </c:pt>
                <c:pt idx="2550">
                  <c:v>59835</c:v>
                </c:pt>
                <c:pt idx="2551">
                  <c:v>59842</c:v>
                </c:pt>
                <c:pt idx="2552">
                  <c:v>59849</c:v>
                </c:pt>
                <c:pt idx="2553">
                  <c:v>59856</c:v>
                </c:pt>
                <c:pt idx="2554">
                  <c:v>59863</c:v>
                </c:pt>
                <c:pt idx="2555">
                  <c:v>59870</c:v>
                </c:pt>
                <c:pt idx="2556">
                  <c:v>59877</c:v>
                </c:pt>
                <c:pt idx="2557">
                  <c:v>59884</c:v>
                </c:pt>
                <c:pt idx="2558">
                  <c:v>59891</c:v>
                </c:pt>
                <c:pt idx="2559">
                  <c:v>59898</c:v>
                </c:pt>
                <c:pt idx="2560">
                  <c:v>59905</c:v>
                </c:pt>
                <c:pt idx="2561">
                  <c:v>59912</c:v>
                </c:pt>
                <c:pt idx="2562">
                  <c:v>59919</c:v>
                </c:pt>
                <c:pt idx="2563">
                  <c:v>59926</c:v>
                </c:pt>
                <c:pt idx="2564">
                  <c:v>59933</c:v>
                </c:pt>
                <c:pt idx="2565">
                  <c:v>59940</c:v>
                </c:pt>
                <c:pt idx="2566">
                  <c:v>59947</c:v>
                </c:pt>
                <c:pt idx="2567">
                  <c:v>59954</c:v>
                </c:pt>
                <c:pt idx="2568">
                  <c:v>59961</c:v>
                </c:pt>
                <c:pt idx="2569">
                  <c:v>59968</c:v>
                </c:pt>
                <c:pt idx="2570">
                  <c:v>59975</c:v>
                </c:pt>
                <c:pt idx="2571">
                  <c:v>59982</c:v>
                </c:pt>
                <c:pt idx="2572">
                  <c:v>59989</c:v>
                </c:pt>
                <c:pt idx="2573">
                  <c:v>59996</c:v>
                </c:pt>
                <c:pt idx="2574">
                  <c:v>60003</c:v>
                </c:pt>
                <c:pt idx="2575">
                  <c:v>60010</c:v>
                </c:pt>
                <c:pt idx="2576">
                  <c:v>60017</c:v>
                </c:pt>
                <c:pt idx="2577">
                  <c:v>60024</c:v>
                </c:pt>
                <c:pt idx="2578">
                  <c:v>60031</c:v>
                </c:pt>
                <c:pt idx="2579">
                  <c:v>60038</c:v>
                </c:pt>
                <c:pt idx="2580">
                  <c:v>60045</c:v>
                </c:pt>
                <c:pt idx="2581">
                  <c:v>60052</c:v>
                </c:pt>
                <c:pt idx="2582">
                  <c:v>60059</c:v>
                </c:pt>
                <c:pt idx="2583">
                  <c:v>60066</c:v>
                </c:pt>
                <c:pt idx="2584">
                  <c:v>60073</c:v>
                </c:pt>
                <c:pt idx="2585">
                  <c:v>60080</c:v>
                </c:pt>
                <c:pt idx="2586">
                  <c:v>60087</c:v>
                </c:pt>
                <c:pt idx="2587">
                  <c:v>60094</c:v>
                </c:pt>
                <c:pt idx="2588">
                  <c:v>60101</c:v>
                </c:pt>
                <c:pt idx="2589">
                  <c:v>60108</c:v>
                </c:pt>
                <c:pt idx="2590">
                  <c:v>60115</c:v>
                </c:pt>
                <c:pt idx="2591">
                  <c:v>60122</c:v>
                </c:pt>
                <c:pt idx="2592">
                  <c:v>60129</c:v>
                </c:pt>
                <c:pt idx="2593">
                  <c:v>60136</c:v>
                </c:pt>
                <c:pt idx="2594">
                  <c:v>60143</c:v>
                </c:pt>
                <c:pt idx="2595">
                  <c:v>60150</c:v>
                </c:pt>
                <c:pt idx="2596">
                  <c:v>60157</c:v>
                </c:pt>
                <c:pt idx="2597">
                  <c:v>60164</c:v>
                </c:pt>
                <c:pt idx="2598">
                  <c:v>60171</c:v>
                </c:pt>
                <c:pt idx="2599">
                  <c:v>60178</c:v>
                </c:pt>
                <c:pt idx="2600">
                  <c:v>60185</c:v>
                </c:pt>
                <c:pt idx="2601">
                  <c:v>60192</c:v>
                </c:pt>
                <c:pt idx="2602">
                  <c:v>60199</c:v>
                </c:pt>
                <c:pt idx="2603">
                  <c:v>60206</c:v>
                </c:pt>
                <c:pt idx="2604">
                  <c:v>60213</c:v>
                </c:pt>
                <c:pt idx="2605">
                  <c:v>60220</c:v>
                </c:pt>
                <c:pt idx="2606">
                  <c:v>60227</c:v>
                </c:pt>
                <c:pt idx="2607">
                  <c:v>60234</c:v>
                </c:pt>
                <c:pt idx="2608">
                  <c:v>60241</c:v>
                </c:pt>
                <c:pt idx="2609">
                  <c:v>60248</c:v>
                </c:pt>
              </c:numCache>
            </c:numRef>
          </c:xVal>
          <c:yVal>
            <c:numRef>
              <c:f>Autofit!$AF$3:$AF$2612</c:f>
              <c:numCache>
                <c:formatCode>General</c:formatCode>
                <c:ptCount val="2610"/>
                <c:pt idx="0">
                  <c:v>0.13799400797645164</c:v>
                </c:pt>
                <c:pt idx="1">
                  <c:v>0.14375215091990287</c:v>
                </c:pt>
                <c:pt idx="2">
                  <c:v>0.14965105880696236</c:v>
                </c:pt>
                <c:pt idx="3">
                  <c:v>0.15566881147911793</c:v>
                </c:pt>
                <c:pt idx="4">
                  <c:v>0.16178195126058803</c:v>
                </c:pt>
                <c:pt idx="5">
                  <c:v>0.1679661994410358</c:v>
                </c:pt>
                <c:pt idx="6">
                  <c:v>0.17419717114268354</c:v>
                </c:pt>
                <c:pt idx="7">
                  <c:v>0.18045104768808731</c:v>
                </c:pt>
                <c:pt idx="8">
                  <c:v>0.18670517226959768</c:v>
                </c:pt>
                <c:pt idx="9">
                  <c:v>0.19293854391903745</c:v>
                </c:pt>
                <c:pt idx="10">
                  <c:v>0.19913219510906577</c:v>
                </c:pt>
                <c:pt idx="11">
                  <c:v>0.20526944846066469</c:v>
                </c:pt>
                <c:pt idx="12">
                  <c:v>0.21133605691309834</c:v>
                </c:pt>
                <c:pt idx="13">
                  <c:v>0.21732023863250674</c:v>
                </c:pt>
                <c:pt idx="14">
                  <c:v>0.2232126225864475</c:v>
                </c:pt>
                <c:pt idx="15">
                  <c:v>0.22900612313285923</c:v>
                </c:pt>
                <c:pt idx="16">
                  <c:v>0.23469576245335649</c:v>
                </c:pt>
                <c:pt idx="17">
                  <c:v>0.24027845863664574</c:v>
                </c:pt>
                <c:pt idx="18">
                  <c:v>0.24575279516821896</c:v>
                </c:pt>
                <c:pt idx="19">
                  <c:v>0.25111878495886586</c:v>
                </c:pt>
                <c:pt idx="20">
                  <c:v>0.25637763922382989</c:v>
                </c:pt>
                <c:pt idx="21">
                  <c:v>0.26153154878846657</c:v>
                </c:pt>
                <c:pt idx="22">
                  <c:v>0.26658348293129119</c:v>
                </c:pt>
                <c:pt idx="23">
                  <c:v>0.27153700878382853</c:v>
                </c:pt>
                <c:pt idx="24">
                  <c:v>0.27639613262547219</c:v>
                </c:pt>
                <c:pt idx="25">
                  <c:v>0.28116516313083934</c:v>
                </c:pt>
                <c:pt idx="26">
                  <c:v>0.28584859570793203</c:v>
                </c:pt>
                <c:pt idx="27">
                  <c:v>0.29047022776082609</c:v>
                </c:pt>
                <c:pt idx="28">
                  <c:v>0.29505883564527513</c:v>
                </c:pt>
                <c:pt idx="29">
                  <c:v>0.29960443653855556</c:v>
                </c:pt>
                <c:pt idx="30">
                  <c:v>0.30409574524585731</c:v>
                </c:pt>
                <c:pt idx="31">
                  <c:v>0.30852101572482626</c:v>
                </c:pt>
                <c:pt idx="32">
                  <c:v>0.31286838243862924</c:v>
                </c:pt>
                <c:pt idx="33">
                  <c:v>0.31712627704136498</c:v>
                </c:pt>
                <c:pt idx="34">
                  <c:v>0.3212839046762776</c:v>
                </c:pt>
                <c:pt idx="35">
                  <c:v>0.32533175389114405</c:v>
                </c:pt>
                <c:pt idx="36">
                  <c:v>0.32926210478518053</c:v>
                </c:pt>
                <c:pt idx="37">
                  <c:v>0.33306949339719893</c:v>
                </c:pt>
                <c:pt idx="38">
                  <c:v>0.33675108836815609</c:v>
                </c:pt>
                <c:pt idx="39">
                  <c:v>0.3403069398524271</c:v>
                </c:pt>
                <c:pt idx="40">
                  <c:v>0.3437400707781853</c:v>
                </c:pt>
                <c:pt idx="41">
                  <c:v>0.34705639584444908</c:v>
                </c:pt>
                <c:pt idx="42">
                  <c:v>0.35026447184929516</c:v>
                </c:pt>
                <c:pt idx="43">
                  <c:v>0.35337510105846404</c:v>
                </c:pt>
                <c:pt idx="44">
                  <c:v>0.3564008242729565</c:v>
                </c:pt>
                <c:pt idx="45">
                  <c:v>0.35935534965291083</c:v>
                </c:pt>
                <c:pt idx="46">
                  <c:v>0.36225296604840518</c:v>
                </c:pt>
                <c:pt idx="47">
                  <c:v>0.36510798582333598</c:v>
                </c:pt>
                <c:pt idx="48">
                  <c:v>0.36793425336581737</c:v>
                </c:pt>
                <c:pt idx="49">
                  <c:v>0.37074474377593802</c:v>
                </c:pt>
                <c:pt idx="50">
                  <c:v>0.37355126384020093</c:v>
                </c:pt>
                <c:pt idx="51">
                  <c:v>0.37636425620607933</c:v>
                </c:pt>
                <c:pt idx="52">
                  <c:v>0.37919269888148766</c:v>
                </c:pt>
                <c:pt idx="53">
                  <c:v>0.38199698370430984</c:v>
                </c:pt>
                <c:pt idx="54">
                  <c:v>0.38469933234471904</c:v>
                </c:pt>
                <c:pt idx="55">
                  <c:v>0.38729732458171745</c:v>
                </c:pt>
                <c:pt idx="56">
                  <c:v>0.38979022794587348</c:v>
                </c:pt>
                <c:pt idx="57">
                  <c:v>0.39217776056347764</c:v>
                </c:pt>
                <c:pt idx="58">
                  <c:v>0.39446013521207013</c:v>
                </c:pt>
                <c:pt idx="59">
                  <c:v>0.39663810210212974</c:v>
                </c:pt>
                <c:pt idx="60">
                  <c:v>0.39871298946613559</c:v>
                </c:pt>
                <c:pt idx="61">
                  <c:v>0.40068674095526058</c:v>
                </c:pt>
                <c:pt idx="62">
                  <c:v>0.40256194878109436</c:v>
                </c:pt>
                <c:pt idx="63">
                  <c:v>0.40434188150070915</c:v>
                </c:pt>
                <c:pt idx="64">
                  <c:v>0.40603050533371932</c:v>
                </c:pt>
                <c:pt idx="65">
                  <c:v>0.40763249792497386</c:v>
                </c:pt>
                <c:pt idx="66">
                  <c:v>0.40915325353057042</c:v>
                </c:pt>
                <c:pt idx="67">
                  <c:v>0.41059887871120732</c:v>
                </c:pt>
                <c:pt idx="68">
                  <c:v>0.41197617776700834</c:v>
                </c:pt>
                <c:pt idx="69">
                  <c:v>0.41329262734141131</c:v>
                </c:pt>
                <c:pt idx="70">
                  <c:v>0.41455633985568574</c:v>
                </c:pt>
                <c:pt idx="71">
                  <c:v>0.41577601570482692</c:v>
                </c:pt>
                <c:pt idx="72">
                  <c:v>0.41696088444215273</c:v>
                </c:pt>
                <c:pt idx="73">
                  <c:v>0.4181206354937177</c:v>
                </c:pt>
                <c:pt idx="74">
                  <c:v>0.41926533926252729</c:v>
                </c:pt>
                <c:pt idx="75">
                  <c:v>0.42040535979291682</c:v>
                </c:pt>
                <c:pt idx="76">
                  <c:v>0.42155126045312147</c:v>
                </c:pt>
                <c:pt idx="77">
                  <c:v>0.42271370434499195</c:v>
                </c:pt>
                <c:pt idx="78">
                  <c:v>0.42390335135103652</c:v>
                </c:pt>
                <c:pt idx="79">
                  <c:v>0.42513075386961074</c:v>
                </c:pt>
                <c:pt idx="80">
                  <c:v>0.4264062533609968</c:v>
                </c:pt>
                <c:pt idx="81">
                  <c:v>0.42773987982568118</c:v>
                </c:pt>
                <c:pt idx="82">
                  <c:v>0.42914125626049821</c:v>
                </c:pt>
                <c:pt idx="83">
                  <c:v>0.43061950999159709</c:v>
                </c:pt>
                <c:pt idx="84">
                  <c:v>0.43218319257225291</c:v>
                </c:pt>
                <c:pt idx="85">
                  <c:v>0.43384020966856246</c:v>
                </c:pt>
                <c:pt idx="86">
                  <c:v>0.43559776204976003</c:v>
                </c:pt>
                <c:pt idx="87">
                  <c:v>0.43746229846673412</c:v>
                </c:pt>
                <c:pt idx="88">
                  <c:v>0.43943948085751611</c:v>
                </c:pt>
                <c:pt idx="89">
                  <c:v>0.44153416197702999</c:v>
                </c:pt>
                <c:pt idx="90">
                  <c:v>0.4437503752241293</c:v>
                </c:pt>
                <c:pt idx="91">
                  <c:v>0.4460913361438858</c:v>
                </c:pt>
                <c:pt idx="92">
                  <c:v>0.44855945482686804</c:v>
                </c:pt>
                <c:pt idx="93">
                  <c:v>0.45115635821658001</c:v>
                </c:pt>
                <c:pt idx="94">
                  <c:v>0.45388292117530354</c:v>
                </c:pt>
                <c:pt idx="95">
                  <c:v>0.45673930504854104</c:v>
                </c:pt>
                <c:pt idx="96">
                  <c:v>0.45972500240774505</c:v>
                </c:pt>
                <c:pt idx="97">
                  <c:v>0.46283888663668132</c:v>
                </c:pt>
                <c:pt idx="98">
                  <c:v>0.46607926505349273</c:v>
                </c:pt>
                <c:pt idx="99">
                  <c:v>0.46944393432216125</c:v>
                </c:pt>
                <c:pt idx="100">
                  <c:v>0.47293023699671799</c:v>
                </c:pt>
                <c:pt idx="101">
                  <c:v>0.47653511815221905</c:v>
                </c:pt>
                <c:pt idx="102">
                  <c:v>0.4802551811813392</c:v>
                </c:pt>
                <c:pt idx="103">
                  <c:v>0.48408674196810797</c:v>
                </c:pt>
                <c:pt idx="104">
                  <c:v>0.48802588078520504</c:v>
                </c:pt>
                <c:pt idx="105">
                  <c:v>0.49206889509171681</c:v>
                </c:pt>
                <c:pt idx="106">
                  <c:v>0.49621676773042295</c:v>
                </c:pt>
                <c:pt idx="107">
                  <c:v>0.50047350597927365</c:v>
                </c:pt>
                <c:pt idx="108">
                  <c:v>0.50484297162021829</c:v>
                </c:pt>
                <c:pt idx="109">
                  <c:v>0.5093287752787643</c:v>
                </c:pt>
                <c:pt idx="110">
                  <c:v>0.5139342236420793</c:v>
                </c:pt>
                <c:pt idx="111">
                  <c:v>0.51866226457015474</c:v>
                </c:pt>
                <c:pt idx="112">
                  <c:v>0.52351543079601137</c:v>
                </c:pt>
                <c:pt idx="113">
                  <c:v>0.52849578304638223</c:v>
                </c:pt>
                <c:pt idx="114">
                  <c:v>0.5336048535459742</c:v>
                </c:pt>
                <c:pt idx="115">
                  <c:v>0.53884359099037826</c:v>
                </c:pt>
                <c:pt idx="116">
                  <c:v>0.54421230817845789</c:v>
                </c:pt>
                <c:pt idx="117">
                  <c:v>0.54971063357759087</c:v>
                </c:pt>
                <c:pt idx="118">
                  <c:v>0.55533746814740614</c:v>
                </c:pt>
                <c:pt idx="119">
                  <c:v>0.56109094876292342</c:v>
                </c:pt>
                <c:pt idx="120">
                  <c:v>0.56696841955027244</c:v>
                </c:pt>
                <c:pt idx="121">
                  <c:v>0.5729664123728293</c:v>
                </c:pt>
                <c:pt idx="122">
                  <c:v>0.57908063757977268</c:v>
                </c:pt>
                <c:pt idx="123">
                  <c:v>0.58530598595215366</c:v>
                </c:pt>
                <c:pt idx="124">
                  <c:v>0.59163654255563325</c:v>
                </c:pt>
                <c:pt idx="125">
                  <c:v>0.59806561293891303</c:v>
                </c:pt>
                <c:pt idx="126">
                  <c:v>0.60458576181033175</c:v>
                </c:pt>
                <c:pt idx="127">
                  <c:v>0.61118886399255512</c:v>
                </c:pt>
                <c:pt idx="128">
                  <c:v>0.6178661671094724</c:v>
                </c:pt>
                <c:pt idx="129">
                  <c:v>0.62460836511471296</c:v>
                </c:pt>
                <c:pt idx="130">
                  <c:v>0.6314056814428739</c:v>
                </c:pt>
                <c:pt idx="131">
                  <c:v>0.63824796026777719</c:v>
                </c:pt>
                <c:pt idx="132">
                  <c:v>0.64512476410098518</c:v>
                </c:pt>
                <c:pt idx="133">
                  <c:v>0.65202547577051073</c:v>
                </c:pt>
                <c:pt idx="134">
                  <c:v>0.65893940269346685</c:v>
                </c:pt>
                <c:pt idx="135">
                  <c:v>0.66585588130306839</c:v>
                </c:pt>
                <c:pt idx="136">
                  <c:v>0.67276437951189882</c:v>
                </c:pt>
                <c:pt idx="137">
                  <c:v>0.67965459518759819</c:v>
                </c:pt>
                <c:pt idx="138">
                  <c:v>0.68651654877834012</c:v>
                </c:pt>
                <c:pt idx="139">
                  <c:v>0.69334066844451703</c:v>
                </c:pt>
                <c:pt idx="140">
                  <c:v>0.70011786631823192</c:v>
                </c:pt>
                <c:pt idx="141">
                  <c:v>0.70683960481005392</c:v>
                </c:pt>
                <c:pt idx="142">
                  <c:v>0.71349795219872669</c:v>
                </c:pt>
                <c:pt idx="143">
                  <c:v>0.72008562705992563</c:v>
                </c:pt>
                <c:pt idx="144">
                  <c:v>0.726596031401473</c:v>
                </c:pt>
                <c:pt idx="145">
                  <c:v>0.73302327266296763</c:v>
                </c:pt>
                <c:pt idx="146">
                  <c:v>0.73936217499804269</c:v>
                </c:pt>
                <c:pt idx="147">
                  <c:v>0.74560828048034244</c:v>
                </c:pt>
                <c:pt idx="148">
                  <c:v>0.75175784105525545</c:v>
                </c:pt>
                <c:pt idx="149">
                  <c:v>0.75780780219640509</c:v>
                </c:pt>
                <c:pt idx="150">
                  <c:v>0.76375577931907668</c:v>
                </c:pt>
                <c:pt idx="151">
                  <c:v>0.76960002805425942</c:v>
                </c:pt>
                <c:pt idx="152">
                  <c:v>0.77533940950048552</c:v>
                </c:pt>
                <c:pt idx="153">
                  <c:v>0.78097335155088377</c:v>
                </c:pt>
                <c:pt idx="154">
                  <c:v>0.78650180734529218</c:v>
                </c:pt>
                <c:pt idx="155">
                  <c:v>0.79192521182760045</c:v>
                </c:pt>
                <c:pt idx="156">
                  <c:v>0.79724443730244954</c:v>
                </c:pt>
                <c:pt idx="157">
                  <c:v>0.80247232285346526</c:v>
                </c:pt>
                <c:pt idx="158">
                  <c:v>0.80769009830153127</c:v>
                </c:pt>
                <c:pt idx="159">
                  <c:v>0.81291284125544294</c:v>
                </c:pt>
                <c:pt idx="160">
                  <c:v>0.81814010073448939</c:v>
                </c:pt>
                <c:pt idx="161">
                  <c:v>0.82337140339589332</c:v>
                </c:pt>
                <c:pt idx="162">
                  <c:v>0.828606253386167</c:v>
                </c:pt>
                <c:pt idx="163">
                  <c:v>0.833844132249833</c:v>
                </c:pt>
                <c:pt idx="164">
                  <c:v>0.83908449889969372</c:v>
                </c:pt>
                <c:pt idx="165">
                  <c:v>0.84432678965281671</c:v>
                </c:pt>
                <c:pt idx="166">
                  <c:v>0.84957041833632752</c:v>
                </c:pt>
                <c:pt idx="167">
                  <c:v>0.85481477646703774</c:v>
                </c:pt>
                <c:pt idx="168">
                  <c:v>0.86005923350877567</c:v>
                </c:pt>
                <c:pt idx="169">
                  <c:v>0.86530313721114505</c:v>
                </c:pt>
                <c:pt idx="170">
                  <c:v>0.87054581403321685</c:v>
                </c:pt>
                <c:pt idx="171">
                  <c:v>0.87578656965540358</c:v>
                </c:pt>
                <c:pt idx="172">
                  <c:v>0.88102468958248015</c:v>
                </c:pt>
                <c:pt idx="173">
                  <c:v>0.8862594398403657</c:v>
                </c:pt>
                <c:pt idx="174">
                  <c:v>0.89149006776889506</c:v>
                </c:pt>
                <c:pt idx="175">
                  <c:v>0.89671580291237796</c:v>
                </c:pt>
                <c:pt idx="176">
                  <c:v>0.90193585800926013</c:v>
                </c:pt>
                <c:pt idx="177">
                  <c:v>0.90714943008169147</c:v>
                </c:pt>
                <c:pt idx="178">
                  <c:v>0.91235570162521429</c:v>
                </c:pt>
                <c:pt idx="179">
                  <c:v>0.91755384189821121</c:v>
                </c:pt>
                <c:pt idx="180">
                  <c:v>0.92274300831008305</c:v>
                </c:pt>
                <c:pt idx="181">
                  <c:v>0.92792234790646433</c:v>
                </c:pt>
                <c:pt idx="182">
                  <c:v>0.93309099894907499</c:v>
                </c:pt>
                <c:pt idx="183">
                  <c:v>0.93824809258707442</c:v>
                </c:pt>
                <c:pt idx="184">
                  <c:v>0.94339275461604033</c:v>
                </c:pt>
                <c:pt idx="185">
                  <c:v>0.94852410731993431</c:v>
                </c:pt>
                <c:pt idx="186">
                  <c:v>0.95364127139065202</c:v>
                </c:pt>
                <c:pt idx="187">
                  <c:v>0.95874336791899817</c:v>
                </c:pt>
                <c:pt idx="188">
                  <c:v>0.96382952045016779</c:v>
                </c:pt>
                <c:pt idx="189">
                  <c:v>0.9688988570961109</c:v>
                </c:pt>
                <c:pt idx="190">
                  <c:v>0.97395051269642141</c:v>
                </c:pt>
                <c:pt idx="191">
                  <c:v>0.9789836310187664</c:v>
                </c:pt>
                <c:pt idx="192">
                  <c:v>0.98399736698922957</c:v>
                </c:pt>
                <c:pt idx="193">
                  <c:v>0.98899088894239651</c:v>
                </c:pt>
                <c:pt idx="194">
                  <c:v>0.99396338088051106</c:v>
                </c:pt>
                <c:pt idx="195">
                  <c:v>0.99891404473060663</c:v>
                </c:pt>
                <c:pt idx="196">
                  <c:v>1.0038421025881814</c:v>
                </c:pt>
                <c:pt idx="197">
                  <c:v>1.0087467989357155</c:v>
                </c:pt>
                <c:pt idx="198">
                  <c:v>1.0136274028241905</c:v>
                </c:pt>
                <c:pt idx="199">
                  <c:v>1.0184832100056767</c:v>
                </c:pt>
                <c:pt idx="200">
                  <c:v>1.0233135450051227</c:v>
                </c:pt>
                <c:pt idx="201">
                  <c:v>1.028117763119603</c:v>
                </c:pt>
                <c:pt idx="202">
                  <c:v>1.0328952523335344</c:v>
                </c:pt>
                <c:pt idx="203">
                  <c:v>1.0376454351387419</c:v>
                </c:pt>
                <c:pt idx="204">
                  <c:v>1.0423677702486864</c:v>
                </c:pt>
                <c:pt idx="205">
                  <c:v>1.0470617541967671</c:v>
                </c:pt>
                <c:pt idx="206">
                  <c:v>1.0517269228092379</c:v>
                </c:pt>
                <c:pt idx="207">
                  <c:v>1.0563628525440554</c:v>
                </c:pt>
                <c:pt idx="208">
                  <c:v>1.0609691616878043</c:v>
                </c:pt>
                <c:pt idx="209">
                  <c:v>1.0655455114037602</c:v>
                </c:pt>
                <c:pt idx="210">
                  <c:v>1.0700916066251405</c:v>
                </c:pt>
                <c:pt idx="211">
                  <c:v>1.0746071967886308</c:v>
                </c:pt>
                <c:pt idx="212">
                  <c:v>1.0790920764043581</c:v>
                </c:pt>
                <c:pt idx="213">
                  <c:v>1.0835460854596115</c:v>
                </c:pt>
                <c:pt idx="214">
                  <c:v>1.087969109654741</c:v>
                </c:pt>
                <c:pt idx="215">
                  <c:v>1.0923610804708355</c:v>
                </c:pt>
                <c:pt idx="216">
                  <c:v>1.0967219750699055</c:v>
                </c:pt>
                <c:pt idx="217">
                  <c:v>1.1010518160294565</c:v>
                </c:pt>
                <c:pt idx="218">
                  <c:v>1.1053506709144145</c:v>
                </c:pt>
                <c:pt idx="219">
                  <c:v>1.1096186516904551</c:v>
                </c:pt>
                <c:pt idx="220">
                  <c:v>1.113855913983788</c:v>
                </c:pt>
                <c:pt idx="221">
                  <c:v>1.118062656193398</c:v>
                </c:pt>
                <c:pt idx="222">
                  <c:v>1.1222391184626428</c:v>
                </c:pt>
                <c:pt idx="223">
                  <c:v>1.1263855815178974</c:v>
                </c:pt>
                <c:pt idx="224">
                  <c:v>1.1305023653826647</c:v>
                </c:pt>
                <c:pt idx="225">
                  <c:v>1.1345898279761994</c:v>
                </c:pt>
                <c:pt idx="226">
                  <c:v>1.1386483636062255</c:v>
                </c:pt>
                <c:pt idx="227">
                  <c:v>1.1426784013657809</c:v>
                </c:pt>
                <c:pt idx="228">
                  <c:v>1.1466804034445461</c:v>
                </c:pt>
                <c:pt idx="229">
                  <c:v>1.1506548633652691</c:v>
                </c:pt>
                <c:pt idx="230">
                  <c:v>1.1546023041560436</c:v>
                </c:pt>
                <c:pt idx="231">
                  <c:v>1.1585232764692466</c:v>
                </c:pt>
                <c:pt idx="232">
                  <c:v>1.1624183566578974</c:v>
                </c:pt>
                <c:pt idx="233">
                  <c:v>1.1662881448200892</c:v>
                </c:pt>
                <c:pt idx="234">
                  <c:v>1.1701332628219134</c:v>
                </c:pt>
                <c:pt idx="235">
                  <c:v>1.1739543523090281</c:v>
                </c:pt>
                <c:pt idx="236">
                  <c:v>1.1777520727166719</c:v>
                </c:pt>
                <c:pt idx="237">
                  <c:v>1.1815270992874942</c:v>
                </c:pt>
                <c:pt idx="238">
                  <c:v>1.1852801211061164</c:v>
                </c:pt>
                <c:pt idx="239">
                  <c:v>1.189011839158824</c:v>
                </c:pt>
                <c:pt idx="240">
                  <c:v>1.1927229644262238</c:v>
                </c:pt>
                <c:pt idx="241">
                  <c:v>1.196414216016126</c:v>
                </c:pt>
                <c:pt idx="242">
                  <c:v>1.2000863193432931</c:v>
                </c:pt>
                <c:pt idx="243">
                  <c:v>1.2037400043620838</c:v>
                </c:pt>
                <c:pt idx="244">
                  <c:v>1.2073760038573649</c:v>
                </c:pt>
                <c:pt idx="245">
                  <c:v>1.2109950517984527</c:v>
                </c:pt>
                <c:pt idx="246">
                  <c:v>1.2145978817601895</c:v>
                </c:pt>
                <c:pt idx="247">
                  <c:v>1.2181852254146455</c:v>
                </c:pt>
                <c:pt idx="248">
                  <c:v>1.2217578110963319</c:v>
                </c:pt>
                <c:pt idx="249">
                  <c:v>1.2253163624432049</c:v>
                </c:pt>
                <c:pt idx="250">
                  <c:v>1.2288615971151882</c:v>
                </c:pt>
                <c:pt idx="251">
                  <c:v>1.2323942255913871</c:v>
                </c:pt>
                <c:pt idx="252">
                  <c:v>1.2359149500466657</c:v>
                </c:pt>
                <c:pt idx="253">
                  <c:v>1.2394244633077607</c:v>
                </c:pt>
                <c:pt idx="254">
                  <c:v>1.2429234478886864</c:v>
                </c:pt>
                <c:pt idx="255">
                  <c:v>1.246412575104735</c:v>
                </c:pt>
                <c:pt idx="256">
                  <c:v>1.2498925042640303</c:v>
                </c:pt>
                <c:pt idx="257">
                  <c:v>1.2533638819352331</c:v>
                </c:pt>
                <c:pt idx="258">
                  <c:v>1.2568273412896951</c:v>
                </c:pt>
                <c:pt idx="259">
                  <c:v>1.2602835015160865</c:v>
                </c:pt>
                <c:pt idx="260">
                  <c:v>1.2637329673052791</c:v>
                </c:pt>
                <c:pt idx="261">
                  <c:v>1.267176260817821</c:v>
                </c:pt>
                <c:pt idx="262">
                  <c:v>1.2706067112248527</c:v>
                </c:pt>
                <c:pt idx="263">
                  <c:v>1.2740192067739278</c:v>
                </c:pt>
                <c:pt idx="264">
                  <c:v>1.2774131761388685</c:v>
                </c:pt>
                <c:pt idx="265">
                  <c:v>1.2807880473691111</c:v>
                </c:pt>
                <c:pt idx="266">
                  <c:v>1.2841432489615472</c:v>
                </c:pt>
                <c:pt idx="267">
                  <c:v>1.2874782109923961</c:v>
                </c:pt>
                <c:pt idx="268">
                  <c:v>1.290792366308446</c:v>
                </c:pt>
                <c:pt idx="269">
                  <c:v>1.2940851517766361</c:v>
                </c:pt>
                <c:pt idx="270">
                  <c:v>1.2973560095905243</c:v>
                </c:pt>
                <c:pt idx="271">
                  <c:v>1.3006043886317815</c:v>
                </c:pt>
                <c:pt idx="272">
                  <c:v>1.3038297458843933</c:v>
                </c:pt>
                <c:pt idx="273">
                  <c:v>1.3070315478987742</c:v>
                </c:pt>
                <c:pt idx="274">
                  <c:v>1.3102092723025296</c:v>
                </c:pt>
                <c:pt idx="275">
                  <c:v>1.3133624093540843</c:v>
                </c:pt>
                <c:pt idx="276">
                  <c:v>1.316490463534892</c:v>
                </c:pt>
                <c:pt idx="277">
                  <c:v>1.3195929551754215</c:v>
                </c:pt>
                <c:pt idx="278">
                  <c:v>1.3226694221095932</c:v>
                </c:pt>
                <c:pt idx="279">
                  <c:v>1.3257194213518217</c:v>
                </c:pt>
                <c:pt idx="280">
                  <c:v>1.3287425307903131</c:v>
                </c:pt>
                <c:pt idx="281">
                  <c:v>1.3317383508897498</c:v>
                </c:pt>
                <c:pt idx="282">
                  <c:v>1.3347065063960506</c:v>
                </c:pt>
                <c:pt idx="283">
                  <c:v>1.337646648035407</c:v>
                </c:pt>
                <c:pt idx="284">
                  <c:v>1.3405584541993905</c:v>
                </c:pt>
                <c:pt idx="285">
                  <c:v>1.3434416326075456</c:v>
                </c:pt>
                <c:pt idx="286">
                  <c:v>1.3462959219385384</c:v>
                </c:pt>
                <c:pt idx="287">
                  <c:v>1.3491210934206439</c:v>
                </c:pt>
                <c:pt idx="288">
                  <c:v>1.3519169523721313</c:v>
                </c:pt>
                <c:pt idx="289">
                  <c:v>1.3546833396819409</c:v>
                </c:pt>
                <c:pt idx="290">
                  <c:v>1.3574201332209486</c:v>
                </c:pt>
                <c:pt idx="291">
                  <c:v>1.3601272491741005</c:v>
                </c:pt>
                <c:pt idx="292">
                  <c:v>1.3628046432837611</c:v>
                </c:pt>
                <c:pt idx="293">
                  <c:v>1.365452311994761</c:v>
                </c:pt>
                <c:pt idx="294">
                  <c:v>1.3680702934918638</c:v>
                </c:pt>
                <c:pt idx="295">
                  <c:v>1.3706586686207085</c:v>
                </c:pt>
                <c:pt idx="296">
                  <c:v>1.3732175616836757</c:v>
                </c:pt>
                <c:pt idx="297">
                  <c:v>1.3757471411026445</c:v>
                </c:pt>
                <c:pt idx="298">
                  <c:v>1.3782476199412135</c:v>
                </c:pt>
                <c:pt idx="299">
                  <c:v>1.3807192562796193</c:v>
                </c:pt>
                <c:pt idx="300">
                  <c:v>1.3831623534363657</c:v>
                </c:pt>
                <c:pt idx="301">
                  <c:v>1.3855772600314376</c:v>
                </c:pt>
                <c:pt idx="302">
                  <c:v>1.3879643698868653</c:v>
                </c:pt>
                <c:pt idx="303">
                  <c:v>1.3903241217614177</c:v>
                </c:pt>
                <c:pt idx="304">
                  <c:v>1.3926569989172297</c:v>
                </c:pt>
                <c:pt idx="305">
                  <c:v>1.394963528517273</c:v>
                </c:pt>
                <c:pt idx="306">
                  <c:v>1.3972442808537018</c:v>
                </c:pt>
                <c:pt idx="307">
                  <c:v>1.3994998684082594</c:v>
                </c:pt>
                <c:pt idx="308">
                  <c:v>1.4017309447471009</c:v>
                </c:pt>
                <c:pt idx="309">
                  <c:v>1.4039382032535686</c:v>
                </c:pt>
                <c:pt idx="310">
                  <c:v>1.406122375703591</c:v>
                </c:pt>
                <c:pt idx="311">
                  <c:v>1.4082842306895373</c:v>
                </c:pt>
                <c:pt idx="312">
                  <c:v>1.4104245718994395</c:v>
                </c:pt>
                <c:pt idx="313">
                  <c:v>1.4125442362595397</c:v>
                </c:pt>
                <c:pt idx="314">
                  <c:v>1.4146440919491241</c:v>
                </c:pt>
                <c:pt idx="315">
                  <c:v>1.4167250362974855</c:v>
                </c:pt>
                <c:pt idx="316">
                  <c:v>1.4187879935737184</c:v>
                </c:pt>
                <c:pt idx="317">
                  <c:v>1.4208339126807559</c:v>
                </c:pt>
                <c:pt idx="318">
                  <c:v>1.4228637647657154</c:v>
                </c:pt>
                <c:pt idx="319">
                  <c:v>1.4248785407591249</c:v>
                </c:pt>
                <c:pt idx="320">
                  <c:v>1.4268792488560382</c:v>
                </c:pt>
                <c:pt idx="321">
                  <c:v>1.4288669119523107</c:v>
                </c:pt>
                <c:pt idx="322">
                  <c:v>1.430842565049528</c:v>
                </c:pt>
                <c:pt idx="323">
                  <c:v>1.4328072526420947</c:v>
                </c:pt>
                <c:pt idx="324">
                  <c:v>1.4347620260999614</c:v>
                </c:pt>
                <c:pt idx="325">
                  <c:v>1.4367079410602697</c:v>
                </c:pt>
                <c:pt idx="326">
                  <c:v>1.4386460548409299</c:v>
                </c:pt>
                <c:pt idx="327">
                  <c:v>1.4405774238887263</c:v>
                </c:pt>
                <c:pt idx="328">
                  <c:v>1.4425031012740783</c:v>
                </c:pt>
                <c:pt idx="329">
                  <c:v>1.4444241342439741</c:v>
                </c:pt>
                <c:pt idx="330">
                  <c:v>1.4463415618439521</c:v>
                </c:pt>
                <c:pt idx="331">
                  <c:v>1.448256412619247</c:v>
                </c:pt>
                <c:pt idx="332">
                  <c:v>1.4501697024044145</c:v>
                </c:pt>
                <c:pt idx="333">
                  <c:v>1.4520824322099077</c:v>
                </c:pt>
                <c:pt idx="334">
                  <c:v>1.4539955862131644</c:v>
                </c:pt>
                <c:pt idx="335">
                  <c:v>1.455910129860841</c:v>
                </c:pt>
                <c:pt idx="336">
                  <c:v>1.4578270080878919</c:v>
                </c:pt>
                <c:pt idx="337">
                  <c:v>1.4597471436582221</c:v>
                </c:pt>
                <c:pt idx="338">
                  <c:v>1.4616714356306957</c:v>
                </c:pt>
                <c:pt idx="339">
                  <c:v>1.4636007579533319</c:v>
                </c:pt>
                <c:pt idx="340">
                  <c:v>1.4655359581876104</c:v>
                </c:pt>
                <c:pt idx="341">
                  <c:v>1.4674778563638864</c:v>
                </c:pt>
                <c:pt idx="342">
                  <c:v>1.4694272439680791</c:v>
                </c:pt>
                <c:pt idx="343">
                  <c:v>1.4713848830589753</c:v>
                </c:pt>
                <c:pt idx="344">
                  <c:v>1.4733515055146984</c:v>
                </c:pt>
                <c:pt idx="345">
                  <c:v>1.4753278124062101</c:v>
                </c:pt>
                <c:pt idx="346">
                  <c:v>1.4773144734950177</c:v>
                </c:pt>
                <c:pt idx="347">
                  <c:v>1.4793121268516842</c:v>
                </c:pt>
                <c:pt idx="348">
                  <c:v>1.4813213785911741</c:v>
                </c:pt>
                <c:pt idx="349">
                  <c:v>1.4833428027206155</c:v>
                </c:pt>
                <c:pt idx="350">
                  <c:v>1.4853769410946174</c:v>
                </c:pt>
                <c:pt idx="351">
                  <c:v>1.4874243034729493</c:v>
                </c:pt>
                <c:pt idx="352">
                  <c:v>1.489485367675087</c:v>
                </c:pt>
                <c:pt idx="353">
                  <c:v>1.4915605798258973</c:v>
                </c:pt>
                <c:pt idx="354">
                  <c:v>1.4936503546865623</c:v>
                </c:pt>
                <c:pt idx="355">
                  <c:v>1.4957550760647282</c:v>
                </c:pt>
                <c:pt idx="356">
                  <c:v>1.4978750972977792</c:v>
                </c:pt>
                <c:pt idx="357">
                  <c:v>1.5000107418031352</c:v>
                </c:pt>
                <c:pt idx="358">
                  <c:v>1.5021623036894867</c:v>
                </c:pt>
                <c:pt idx="359">
                  <c:v>1.5043300484229438</c:v>
                </c:pt>
                <c:pt idx="360">
                  <c:v>1.506514213542187</c:v>
                </c:pt>
                <c:pt idx="361">
                  <c:v>1.5087150094168307</c:v>
                </c:pt>
                <c:pt idx="362">
                  <c:v>1.510932620043387</c:v>
                </c:pt>
                <c:pt idx="363">
                  <c:v>1.513167203873399</c:v>
                </c:pt>
                <c:pt idx="364">
                  <c:v>1.5154188946685256</c:v>
                </c:pt>
                <c:pt idx="365">
                  <c:v>1.5176878023775957</c:v>
                </c:pt>
                <c:pt idx="366">
                  <c:v>1.5199698955069283</c:v>
                </c:pt>
                <c:pt idx="367">
                  <c:v>1.5222551258776031</c:v>
                </c:pt>
                <c:pt idx="368">
                  <c:v>1.5245430029624694</c:v>
                </c:pt>
                <c:pt idx="369">
                  <c:v>1.5268334906199053</c:v>
                </c:pt>
                <c:pt idx="370">
                  <c:v>1.5291265504729601</c:v>
                </c:pt>
                <c:pt idx="371">
                  <c:v>1.5314221418708831</c:v>
                </c:pt>
                <c:pt idx="372">
                  <c:v>1.533720221852088</c:v>
                </c:pt>
                <c:pt idx="373">
                  <c:v>1.5360207451086918</c:v>
                </c:pt>
                <c:pt idx="374">
                  <c:v>1.5383236639527538</c:v>
                </c:pt>
                <c:pt idx="375">
                  <c:v>1.5406289282843504</c:v>
                </c:pt>
                <c:pt idx="376">
                  <c:v>1.542936485561635</c:v>
                </c:pt>
                <c:pt idx="377">
                  <c:v>1.5452462807730067</c:v>
                </c:pt>
                <c:pt idx="378">
                  <c:v>1.5475582564115451</c:v>
                </c:pt>
                <c:pt idx="379">
                  <c:v>1.5498723524518412</c:v>
                </c:pt>
                <c:pt idx="380">
                  <c:v>1.5521885063293799</c:v>
                </c:pt>
                <c:pt idx="381">
                  <c:v>1.5545066529226068</c:v>
                </c:pt>
                <c:pt idx="382">
                  <c:v>1.5568267245378373</c:v>
                </c:pt>
                <c:pt idx="383">
                  <c:v>1.5591486508971366</c:v>
                </c:pt>
                <c:pt idx="384">
                  <c:v>1.5614723591293316</c:v>
                </c:pt>
                <c:pt idx="385">
                  <c:v>1.5637977737642774</c:v>
                </c:pt>
                <c:pt idx="386">
                  <c:v>1.5661248167305308</c:v>
                </c:pt>
                <c:pt idx="387">
                  <c:v>1.5684534073565677</c:v>
                </c:pt>
                <c:pt idx="388">
                  <c:v>1.5707834623756687</c:v>
                </c:pt>
                <c:pt idx="389">
                  <c:v>1.5731148959346177</c:v>
                </c:pt>
                <c:pt idx="390">
                  <c:v>1.5754476196063218</c:v>
                </c:pt>
                <c:pt idx="391">
                  <c:v>1.5777815424064883</c:v>
                </c:pt>
                <c:pt idx="392">
                  <c:v>1.5801165708144673</c:v>
                </c:pt>
                <c:pt idx="393">
                  <c:v>1.5824526087983675</c:v>
                </c:pt>
                <c:pt idx="394">
                  <c:v>1.5847895578445523</c:v>
                </c:pt>
                <c:pt idx="395">
                  <c:v>1.5871273169916016</c:v>
                </c:pt>
                <c:pt idx="396">
                  <c:v>1.5894657828688341</c:v>
                </c:pt>
                <c:pt idx="397">
                  <c:v>1.5918048497394628</c:v>
                </c:pt>
                <c:pt idx="398">
                  <c:v>1.5941444095484461</c:v>
                </c:pt>
                <c:pt idx="399">
                  <c:v>1.5964843519750975</c:v>
                </c:pt>
                <c:pt idx="400">
                  <c:v>1.5988245644905015</c:v>
                </c:pt>
                <c:pt idx="401">
                  <c:v>1.6011649324197543</c:v>
                </c:pt>
                <c:pt idx="402">
                  <c:v>1.6035053390090739</c:v>
                </c:pt>
                <c:pt idx="403">
                  <c:v>1.605845665497766</c:v>
                </c:pt>
                <c:pt idx="404">
                  <c:v>1.6081857911950586</c:v>
                </c:pt>
                <c:pt idx="405">
                  <c:v>1.6105255935617715</c:v>
                </c:pt>
                <c:pt idx="406">
                  <c:v>1.6128649482968038</c:v>
                </c:pt>
                <c:pt idx="407">
                  <c:v>1.6152037294283779</c:v>
                </c:pt>
                <c:pt idx="408">
                  <c:v>1.6175418094099843</c:v>
                </c:pt>
                <c:pt idx="409">
                  <c:v>1.6198790592209491</c:v>
                </c:pt>
                <c:pt idx="410">
                  <c:v>1.6222153484715289</c:v>
                </c:pt>
                <c:pt idx="411">
                  <c:v>1.6245505455124247</c:v>
                </c:pt>
                <c:pt idx="412">
                  <c:v>1.6268845175485831</c:v>
                </c:pt>
                <c:pt idx="413">
                  <c:v>1.6292171307571557</c:v>
                </c:pt>
                <c:pt idx="414">
                  <c:v>1.6315482504094467</c:v>
                </c:pt>
                <c:pt idx="415">
                  <c:v>1.6338777409966807</c:v>
                </c:pt>
                <c:pt idx="416">
                  <c:v>1.6362054663594017</c:v>
                </c:pt>
                <c:pt idx="417">
                  <c:v>1.6385312898202968</c:v>
                </c:pt>
                <c:pt idx="418">
                  <c:v>1.640855074320225</c:v>
                </c:pt>
                <c:pt idx="419">
                  <c:v>1.6431766825572152</c:v>
                </c:pt>
                <c:pt idx="420">
                  <c:v>1.6454959771281874</c:v>
                </c:pt>
                <c:pt idx="421">
                  <c:v>1.6478128206731311</c:v>
                </c:pt>
                <c:pt idx="422">
                  <c:v>1.6501270760214684</c:v>
                </c:pt>
                <c:pt idx="423">
                  <c:v>1.6524386063403098</c:v>
                </c:pt>
                <c:pt idx="424">
                  <c:v>1.6547472752843071</c:v>
                </c:pt>
                <c:pt idx="425">
                  <c:v>1.6570529471467912</c:v>
                </c:pt>
                <c:pt idx="426">
                  <c:v>1.6593554870118759</c:v>
                </c:pt>
                <c:pt idx="427">
                  <c:v>1.6616547609072014</c:v>
                </c:pt>
                <c:pt idx="428">
                  <c:v>1.663950635956978</c:v>
                </c:pt>
                <c:pt idx="429">
                  <c:v>1.6662429805349943</c:v>
                </c:pt>
                <c:pt idx="430">
                  <c:v>1.6685316644172337</c:v>
                </c:pt>
                <c:pt idx="431">
                  <c:v>1.6708165589337636</c:v>
                </c:pt>
                <c:pt idx="432">
                  <c:v>1.6730975371195251</c:v>
                </c:pt>
                <c:pt idx="433">
                  <c:v>1.6753744738636882</c:v>
                </c:pt>
                <c:pt idx="434">
                  <c:v>1.6776472460572045</c:v>
                </c:pt>
                <c:pt idx="435">
                  <c:v>1.6799157327382122</c:v>
                </c:pt>
                <c:pt idx="436">
                  <c:v>1.6821798152349401</c:v>
                </c:pt>
                <c:pt idx="437">
                  <c:v>1.6844393773057746</c:v>
                </c:pt>
                <c:pt idx="438">
                  <c:v>1.6866943052761321</c:v>
                </c:pt>
                <c:pt idx="439">
                  <c:v>1.688944488171831</c:v>
                </c:pt>
                <c:pt idx="440">
                  <c:v>1.6911898178486136</c:v>
                </c:pt>
                <c:pt idx="441">
                  <c:v>1.6934301891175219</c:v>
                </c:pt>
                <c:pt idx="442">
                  <c:v>1.69566549986582</c:v>
                </c:pt>
                <c:pt idx="443">
                  <c:v>1.6978956511731729</c:v>
                </c:pt>
                <c:pt idx="444">
                  <c:v>1.7001205474228014</c:v>
                </c:pt>
                <c:pt idx="445">
                  <c:v>1.7023400964073558</c:v>
                </c:pt>
                <c:pt idx="446">
                  <c:v>1.7045542094292687</c:v>
                </c:pt>
                <c:pt idx="447">
                  <c:v>1.7067628013953378</c:v>
                </c:pt>
                <c:pt idx="448">
                  <c:v>1.7089657909053531</c:v>
                </c:pt>
                <c:pt idx="449">
                  <c:v>1.7111631003345538</c:v>
                </c:pt>
                <c:pt idx="450">
                  <c:v>1.7133546559097481</c:v>
                </c:pt>
                <c:pt idx="451">
                  <c:v>1.7155403877789501</c:v>
                </c:pt>
                <c:pt idx="452">
                  <c:v>1.7177202300743863</c:v>
                </c:pt>
                <c:pt idx="453">
                  <c:v>1.7198941209687639</c:v>
                </c:pt>
                <c:pt idx="454">
                  <c:v>1.7220620027247142</c:v>
                </c:pt>
                <c:pt idx="455">
                  <c:v>1.7242238217373311</c:v>
                </c:pt>
                <c:pt idx="456">
                  <c:v>1.7263795285697596</c:v>
                </c:pt>
                <c:pt idx="457">
                  <c:v>1.7285290779818083</c:v>
                </c:pt>
                <c:pt idx="458">
                  <c:v>1.7306724289515738</c:v>
                </c:pt>
                <c:pt idx="459">
                  <c:v>1.7328095446900924</c:v>
                </c:pt>
                <c:pt idx="460">
                  <c:v>1.7349403926490616</c:v>
                </c:pt>
                <c:pt idx="461">
                  <c:v>1.7370649445216728</c:v>
                </c:pt>
                <c:pt idx="462">
                  <c:v>1.7391831762366439</c:v>
                </c:pt>
                <c:pt idx="463">
                  <c:v>1.7412950679455366</c:v>
                </c:pt>
                <c:pt idx="464">
                  <c:v>1.7434006040034791</c:v>
                </c:pt>
                <c:pt idx="465">
                  <c:v>1.7454997729434178</c:v>
                </c:pt>
                <c:pt idx="466">
                  <c:v>1.7475925674440584</c:v>
                </c:pt>
                <c:pt idx="467">
                  <c:v>1.7496789842916385</c:v>
                </c:pt>
                <c:pt idx="468">
                  <c:v>1.7517590243357415</c:v>
                </c:pt>
                <c:pt idx="469">
                  <c:v>1.7538326924393193</c:v>
                </c:pt>
                <c:pt idx="470">
                  <c:v>1.7558999974231499</c:v>
                </c:pt>
                <c:pt idx="471">
                  <c:v>1.7579609520049368</c:v>
                </c:pt>
                <c:pt idx="472">
                  <c:v>1.7600155727332885</c:v>
                </c:pt>
                <c:pt idx="473">
                  <c:v>1.7620638799168142</c:v>
                </c:pt>
                <c:pt idx="474">
                  <c:v>1.7641058975485964</c:v>
                </c:pt>
                <c:pt idx="475">
                  <c:v>1.7661416532262788</c:v>
                </c:pt>
                <c:pt idx="476">
                  <c:v>1.7681711780680487</c:v>
                </c:pt>
                <c:pt idx="477">
                  <c:v>1.7701945066247842</c:v>
                </c:pt>
                <c:pt idx="478">
                  <c:v>1.7722116767886231</c:v>
                </c:pt>
                <c:pt idx="479">
                  <c:v>1.7742227296982551</c:v>
                </c:pt>
                <c:pt idx="480">
                  <c:v>1.7762277096411918</c:v>
                </c:pt>
                <c:pt idx="481">
                  <c:v>1.7782266639533111</c:v>
                </c:pt>
                <c:pt idx="482">
                  <c:v>1.7802196429159534</c:v>
                </c:pt>
                <c:pt idx="483">
                  <c:v>1.7822066996508363</c:v>
                </c:pt>
                <c:pt idx="484">
                  <c:v>1.7841878900130816</c:v>
                </c:pt>
                <c:pt idx="485">
                  <c:v>1.786163272482616</c:v>
                </c:pt>
                <c:pt idx="486">
                  <c:v>1.7881329080542225</c:v>
                </c:pt>
                <c:pt idx="487">
                  <c:v>1.7900968601264995</c:v>
                </c:pt>
                <c:pt idx="488">
                  <c:v>1.7920551943899998</c:v>
                </c:pt>
                <c:pt idx="489">
                  <c:v>1.7940079787147896</c:v>
                </c:pt>
                <c:pt idx="490">
                  <c:v>1.7959552830376853</c:v>
                </c:pt>
                <c:pt idx="491">
                  <c:v>1.7978971792493963</c:v>
                </c:pt>
                <c:pt idx="492">
                  <c:v>1.7998337410818179</c:v>
                </c:pt>
                <c:pt idx="493">
                  <c:v>1.8017650439956892</c:v>
                </c:pt>
                <c:pt idx="494">
                  <c:v>1.8036911650688272</c:v>
                </c:pt>
                <c:pt idx="495">
                  <c:v>1.8056121828851512</c:v>
                </c:pt>
                <c:pt idx="496">
                  <c:v>1.8075281774246852</c:v>
                </c:pt>
                <c:pt idx="497">
                  <c:v>1.8094392299547264</c:v>
                </c:pt>
                <c:pt idx="498">
                  <c:v>1.8113454229223502</c:v>
                </c:pt>
                <c:pt idx="499">
                  <c:v>1.8132468398484298</c:v>
                </c:pt>
                <c:pt idx="500">
                  <c:v>1.815143565223307</c:v>
                </c:pt>
                <c:pt idx="501">
                  <c:v>1.8170356844042719</c:v>
                </c:pt>
                <c:pt idx="502">
                  <c:v>1.8189232835149804</c:v>
                </c:pt>
                <c:pt idx="503">
                  <c:v>1.8208064493469314</c:v>
                </c:pt>
                <c:pt idx="504">
                  <c:v>1.8226852692631215</c:v>
                </c:pt>
                <c:pt idx="505">
                  <c:v>1.8245598311039757</c:v>
                </c:pt>
                <c:pt idx="506">
                  <c:v>1.8264302230956497</c:v>
                </c:pt>
                <c:pt idx="507">
                  <c:v>1.8282965337607857</c:v>
                </c:pt>
                <c:pt idx="508">
                  <c:v>1.8301588518317931</c:v>
                </c:pt>
                <c:pt idx="509">
                  <c:v>1.8320172661667249</c:v>
                </c:pt>
                <c:pt idx="510">
                  <c:v>1.8338718656677944</c:v>
                </c:pt>
                <c:pt idx="511">
                  <c:v>1.8357227392025885</c:v>
                </c:pt>
                <c:pt idx="512">
                  <c:v>1.8375699755280064</c:v>
                </c:pt>
                <c:pt idx="513">
                  <c:v>1.8394136632169589</c:v>
                </c:pt>
                <c:pt idx="514">
                  <c:v>1.8412538905878426</c:v>
                </c:pt>
                <c:pt idx="515">
                  <c:v>1.8430907456368135</c:v>
                </c:pt>
                <c:pt idx="516">
                  <c:v>1.8449243159728537</c:v>
                </c:pt>
                <c:pt idx="517">
                  <c:v>1.8467546887556365</c:v>
                </c:pt>
                <c:pt idx="518">
                  <c:v>1.8485819506361876</c:v>
                </c:pt>
                <c:pt idx="519">
                  <c:v>1.8504061877003175</c:v>
                </c:pt>
                <c:pt idx="520">
                  <c:v>1.8522274854148169</c:v>
                </c:pt>
                <c:pt idx="521">
                  <c:v>1.8540459285763862</c:v>
                </c:pt>
                <c:pt idx="522">
                  <c:v>1.8558615001393275</c:v>
                </c:pt>
                <c:pt idx="523">
                  <c:v>1.8576712733586216</c:v>
                </c:pt>
                <c:pt idx="524">
                  <c:v>1.8594737301328905</c:v>
                </c:pt>
                <c:pt idx="525">
                  <c:v>1.8612686852283975</c:v>
                </c:pt>
                <c:pt idx="526">
                  <c:v>1.863055954937866</c:v>
                </c:pt>
                <c:pt idx="527">
                  <c:v>1.864835357507455</c:v>
                </c:pt>
                <c:pt idx="528">
                  <c:v>1.8666067135824354</c:v>
                </c:pt>
                <c:pt idx="529">
                  <c:v>1.8683698466709784</c:v>
                </c:pt>
                <c:pt idx="530">
                  <c:v>1.8701245836253177</c:v>
                </c:pt>
                <c:pt idx="531">
                  <c:v>1.8718707551393978</c:v>
                </c:pt>
                <c:pt idx="532">
                  <c:v>1.8736081962619573</c:v>
                </c:pt>
                <c:pt idx="533">
                  <c:v>1.8753367469238353</c:v>
                </c:pt>
                <c:pt idx="534">
                  <c:v>1.8770562524781211</c:v>
                </c:pt>
                <c:pt idx="535">
                  <c:v>1.8787665642515898</c:v>
                </c:pt>
                <c:pt idx="536">
                  <c:v>1.8804675401057043</c:v>
                </c:pt>
                <c:pt idx="537">
                  <c:v>1.8821590450052625</c:v>
                </c:pt>
                <c:pt idx="538">
                  <c:v>1.8838409515926344</c:v>
                </c:pt>
                <c:pt idx="539">
                  <c:v>1.8855131407653232</c:v>
                </c:pt>
                <c:pt idx="540">
                  <c:v>1.8871755022544447</c:v>
                </c:pt>
                <c:pt idx="541">
                  <c:v>1.8888279352015471</c:v>
                </c:pt>
                <c:pt idx="542">
                  <c:v>1.8904703487310499</c:v>
                </c:pt>
                <c:pt idx="543">
                  <c:v>1.8921026625154216</c:v>
                </c:pt>
                <c:pt idx="544">
                  <c:v>1.8937248073301245</c:v>
                </c:pt>
                <c:pt idx="545">
                  <c:v>1.8953367255952034</c:v>
                </c:pt>
                <c:pt idx="546">
                  <c:v>1.8969383719003292</c:v>
                </c:pt>
                <c:pt idx="547">
                  <c:v>1.8985297135100225</c:v>
                </c:pt>
                <c:pt idx="548">
                  <c:v>1.9001107308457315</c:v>
                </c:pt>
                <c:pt idx="549">
                  <c:v>1.9016814179414137</c:v>
                </c:pt>
                <c:pt idx="550">
                  <c:v>1.9032417828692649</c:v>
                </c:pt>
                <c:pt idx="551">
                  <c:v>1.9047918481322725</c:v>
                </c:pt>
                <c:pt idx="552">
                  <c:v>1.9063316510203088</c:v>
                </c:pt>
                <c:pt idx="553">
                  <c:v>1.9078612439265916</c:v>
                </c:pt>
                <c:pt idx="554">
                  <c:v>1.9093806946214276</c:v>
                </c:pt>
                <c:pt idx="555">
                  <c:v>1.9108900864803169</c:v>
                </c:pt>
                <c:pt idx="556">
                  <c:v>1.9123895186636828</c:v>
                </c:pt>
                <c:pt idx="557">
                  <c:v>1.9138791062456866</c:v>
                </c:pt>
                <c:pt idx="558">
                  <c:v>1.9153589802898436</c:v>
                </c:pt>
                <c:pt idx="559">
                  <c:v>1.9168292878694191</c:v>
                </c:pt>
                <c:pt idx="560">
                  <c:v>1.9182901920308844</c:v>
                </c:pt>
                <c:pt idx="561">
                  <c:v>1.9197418716990551</c:v>
                </c:pt>
                <c:pt idx="562">
                  <c:v>1.9211845215228622</c:v>
                </c:pt>
                <c:pt idx="563">
                  <c:v>1.9226183516610802</c:v>
                </c:pt>
                <c:pt idx="564">
                  <c:v>1.9240435875077515</c:v>
                </c:pt>
                <c:pt idx="565">
                  <c:v>1.9254604693574124</c:v>
                </c:pt>
                <c:pt idx="566">
                  <c:v>1.9268692520106587</c:v>
                </c:pt>
                <c:pt idx="567">
                  <c:v>1.9282702043210125</c:v>
                </c:pt>
                <c:pt idx="568">
                  <c:v>1.9296636086844481</c:v>
                </c:pt>
                <c:pt idx="569">
                  <c:v>1.9310497604733747</c:v>
                </c:pt>
                <c:pt idx="570">
                  <c:v>1.9324289674172712</c:v>
                </c:pt>
                <c:pt idx="571">
                  <c:v>1.9338015489325548</c:v>
                </c:pt>
                <c:pt idx="572">
                  <c:v>1.9351678354046635</c:v>
                </c:pt>
                <c:pt idx="573">
                  <c:v>1.9365281674256756</c:v>
                </c:pt>
                <c:pt idx="574">
                  <c:v>1.9378828949911149</c:v>
                </c:pt>
                <c:pt idx="575">
                  <c:v>1.9392323766599078</c:v>
                </c:pt>
                <c:pt idx="576">
                  <c:v>1.9405769786817131</c:v>
                </c:pt>
                <c:pt idx="577">
                  <c:v>1.9419170740960827</c:v>
                </c:pt>
                <c:pt idx="578">
                  <c:v>1.9432530418080991</c:v>
                </c:pt>
                <c:pt idx="579">
                  <c:v>1.9445852656452929</c:v>
                </c:pt>
                <c:pt idx="580">
                  <c:v>1.9459141334007488</c:v>
                </c:pt>
                <c:pt idx="581">
                  <c:v>1.9472400358673723</c:v>
                </c:pt>
                <c:pt idx="582">
                  <c:v>1.9485633658683117</c:v>
                </c:pt>
                <c:pt idx="583">
                  <c:v>1.9498845172885164</c:v>
                </c:pt>
                <c:pt idx="584">
                  <c:v>1.951203884112322</c:v>
                </c:pt>
                <c:pt idx="585">
                  <c:v>1.9525218594718781</c:v>
                </c:pt>
                <c:pt idx="586">
                  <c:v>1.9538388347110602</c:v>
                </c:pt>
                <c:pt idx="587">
                  <c:v>1.9551551984693405</c:v>
                </c:pt>
                <c:pt idx="588">
                  <c:v>1.9564713357898549</c:v>
                </c:pt>
                <c:pt idx="589">
                  <c:v>1.9577876272556762</c:v>
                </c:pt>
                <c:pt idx="590">
                  <c:v>1.9591044481580058</c:v>
                </c:pt>
                <c:pt idx="591">
                  <c:v>1.9604221676996945</c:v>
                </c:pt>
                <c:pt idx="592">
                  <c:v>1.9617411482371974</c:v>
                </c:pt>
                <c:pt idx="593">
                  <c:v>1.9630617445636971</c:v>
                </c:pt>
                <c:pt idx="594">
                  <c:v>1.9643843032358195</c:v>
                </c:pt>
                <c:pt idx="595">
                  <c:v>1.9657091619459617</c:v>
                </c:pt>
                <c:pt idx="596">
                  <c:v>1.9670366489419191</c:v>
                </c:pt>
                <c:pt idx="597">
                  <c:v>1.968367082495138</c:v>
                </c:pt>
                <c:pt idx="598">
                  <c:v>1.9697007704185261</c:v>
                </c:pt>
                <c:pt idx="599">
                  <c:v>1.9710380096344466</c:v>
                </c:pt>
                <c:pt idx="600">
                  <c:v>1.9723790857931411</c:v>
                </c:pt>
                <c:pt idx="601">
                  <c:v>1.9737242729415265</c:v>
                </c:pt>
                <c:pt idx="602">
                  <c:v>1.9750738332419784</c:v>
                </c:pt>
                <c:pt idx="603">
                  <c:v>1.9764280167404331</c:v>
                </c:pt>
                <c:pt idx="604">
                  <c:v>1.9777870611828661</c:v>
                </c:pt>
                <c:pt idx="605">
                  <c:v>1.9791511918789337</c:v>
                </c:pt>
                <c:pt idx="606">
                  <c:v>1.9805206216113718</c:v>
                </c:pt>
                <c:pt idx="607">
                  <c:v>1.9818955505895028</c:v>
                </c:pt>
                <c:pt idx="608">
                  <c:v>1.9832761664450458</c:v>
                </c:pt>
                <c:pt idx="609">
                  <c:v>1.9846626442682611</c:v>
                </c:pt>
                <c:pt idx="610">
                  <c:v>1.9860551466823262</c:v>
                </c:pt>
                <c:pt idx="611">
                  <c:v>1.9874538239537298</c:v>
                </c:pt>
                <c:pt idx="612">
                  <c:v>1.988858814136403</c:v>
                </c:pt>
                <c:pt idx="613">
                  <c:v>1.9902702432472135</c:v>
                </c:pt>
                <c:pt idx="614">
                  <c:v>1.9916882254704447</c:v>
                </c:pt>
                <c:pt idx="615">
                  <c:v>1.9931128633888293</c:v>
                </c:pt>
                <c:pt idx="616">
                  <c:v>1.9945442482387181</c:v>
                </c:pt>
                <c:pt idx="617">
                  <c:v>1.9959824601869991</c:v>
                </c:pt>
                <c:pt idx="618">
                  <c:v>1.9974275686273637</c:v>
                </c:pt>
                <c:pt idx="619">
                  <c:v>1.9988796324936302</c:v>
                </c:pt>
                <c:pt idx="620">
                  <c:v>2.000338700587831</c:v>
                </c:pt>
                <c:pt idx="621">
                  <c:v>2.0018048119208829</c:v>
                </c:pt>
                <c:pt idx="622">
                  <c:v>2.0032779960637286</c:v>
                </c:pt>
                <c:pt idx="623">
                  <c:v>2.0047582735069054</c:v>
                </c:pt>
                <c:pt idx="624">
                  <c:v>2.0062456560266333</c:v>
                </c:pt>
                <c:pt idx="625">
                  <c:v>2.0077401470555793</c:v>
                </c:pt>
                <c:pt idx="626">
                  <c:v>2.0092417420565702</c:v>
                </c:pt>
                <c:pt idx="627">
                  <c:v>2.0107489960088185</c:v>
                </c:pt>
                <c:pt idx="628">
                  <c:v>2.0122594778032972</c:v>
                </c:pt>
                <c:pt idx="629">
                  <c:v>2.0137731531386773</c:v>
                </c:pt>
                <c:pt idx="630">
                  <c:v>2.0152900261427722</c:v>
                </c:pt>
                <c:pt idx="631">
                  <c:v>2.0168100994336418</c:v>
                </c:pt>
                <c:pt idx="632">
                  <c:v>2.0183333740695035</c:v>
                </c:pt>
                <c:pt idx="633">
                  <c:v>2.019859849498717</c:v>
                </c:pt>
                <c:pt idx="634">
                  <c:v>2.0213895235099608</c:v>
                </c:pt>
                <c:pt idx="635">
                  <c:v>2.0229223921826862</c:v>
                </c:pt>
                <c:pt idx="636">
                  <c:v>2.0244584498379488</c:v>
                </c:pt>
                <c:pt idx="637">
                  <c:v>2.0259976889897366</c:v>
                </c:pt>
                <c:pt idx="638">
                  <c:v>2.0275401002968931</c:v>
                </c:pt>
                <c:pt idx="639">
                  <c:v>2.0290856725157571</c:v>
                </c:pt>
                <c:pt idx="640">
                  <c:v>2.0306343924536323</c:v>
                </c:pt>
                <c:pt idx="641">
                  <c:v>2.032186244923218</c:v>
                </c:pt>
                <c:pt idx="642">
                  <c:v>2.033741212698112</c:v>
                </c:pt>
                <c:pt idx="643">
                  <c:v>2.0352992764695323</c:v>
                </c:pt>
                <c:pt idx="644">
                  <c:v>2.0368604148043703</c:v>
                </c:pt>
                <c:pt idx="645">
                  <c:v>2.0384246041047254</c:v>
                </c:pt>
                <c:pt idx="646">
                  <c:v>2.0399918185690513</c:v>
                </c:pt>
                <c:pt idx="647">
                  <c:v>2.0415620301550486</c:v>
                </c:pt>
                <c:pt idx="648">
                  <c:v>2.0431352085444532</c:v>
                </c:pt>
                <c:pt idx="649">
                  <c:v>2.0447113211098538</c:v>
                </c:pt>
                <c:pt idx="650">
                  <c:v>2.0462903328836881</c:v>
                </c:pt>
                <c:pt idx="651">
                  <c:v>2.0478722065295538</c:v>
                </c:pt>
                <c:pt idx="652">
                  <c:v>2.0494569023159817</c:v>
                </c:pt>
                <c:pt idx="653">
                  <c:v>2.0510443780928127</c:v>
                </c:pt>
                <c:pt idx="654">
                  <c:v>2.0526345892703248</c:v>
                </c:pt>
                <c:pt idx="655">
                  <c:v>2.0542274888012315</c:v>
                </c:pt>
                <c:pt idx="656">
                  <c:v>2.0558230271657161</c:v>
                </c:pt>
                <c:pt idx="657">
                  <c:v>2.0574211523596189</c:v>
                </c:pt>
                <c:pt idx="658">
                  <c:v>2.0590218098859085</c:v>
                </c:pt>
                <c:pt idx="659">
                  <c:v>2.0606249427495751</c:v>
                </c:pt>
                <c:pt idx="660">
                  <c:v>2.0622304914560661</c:v>
                </c:pt>
                <c:pt idx="661">
                  <c:v>2.0638383940133664</c:v>
                </c:pt>
                <c:pt idx="662">
                  <c:v>2.0654485859378666</c:v>
                </c:pt>
                <c:pt idx="663">
                  <c:v>2.0670610002640926</c:v>
                </c:pt>
                <c:pt idx="664">
                  <c:v>2.0686755675584143</c:v>
                </c:pt>
                <c:pt idx="665">
                  <c:v>2.0702922159368224</c:v>
                </c:pt>
                <c:pt idx="666">
                  <c:v>2.071910871086851</c:v>
                </c:pt>
                <c:pt idx="667">
                  <c:v>2.0735314562937135</c:v>
                </c:pt>
                <c:pt idx="668">
                  <c:v>2.0751538924707411</c:v>
                </c:pt>
                <c:pt idx="669">
                  <c:v>2.0767780981941408</c:v>
                </c:pt>
                <c:pt idx="670">
                  <c:v>2.078403989742152</c:v>
                </c:pt>
                <c:pt idx="671">
                  <c:v>2.080031481138604</c:v>
                </c:pt>
                <c:pt idx="672">
                  <c:v>2.0816604842009188</c:v>
                </c:pt>
                <c:pt idx="673">
                  <c:v>2.0832909085925455</c:v>
                </c:pt>
                <c:pt idx="674">
                  <c:v>2.0849226618798395</c:v>
                </c:pt>
                <c:pt idx="675">
                  <c:v>2.0865556495933557</c:v>
                </c:pt>
                <c:pt idx="676">
                  <c:v>2.0881897752935332</c:v>
                </c:pt>
                <c:pt idx="677">
                  <c:v>2.0898249406407192</c:v>
                </c:pt>
                <c:pt idx="678">
                  <c:v>2.0914610454694791</c:v>
                </c:pt>
                <c:pt idx="679">
                  <c:v>2.0930979878671185</c:v>
                </c:pt>
                <c:pt idx="680">
                  <c:v>2.0947356642563255</c:v>
                </c:pt>
                <c:pt idx="681">
                  <c:v>2.0963739694818408</c:v>
                </c:pt>
                <c:pt idx="682">
                  <c:v>2.098012796901028</c:v>
                </c:pt>
                <c:pt idx="683">
                  <c:v>2.0996520384782293</c:v>
                </c:pt>
                <c:pt idx="684">
                  <c:v>2.10129158488275</c:v>
                </c:pt>
                <c:pt idx="685">
                  <c:v>2.1029313255903195</c:v>
                </c:pt>
                <c:pt idx="686">
                  <c:v>2.1045711489878638</c:v>
                </c:pt>
                <c:pt idx="687">
                  <c:v>2.1062109424813906</c:v>
                </c:pt>
                <c:pt idx="688">
                  <c:v>2.1078505926068072</c:v>
                </c:pt>
                <c:pt idx="689">
                  <c:v>2.1094899851434601</c:v>
                </c:pt>
                <c:pt idx="690">
                  <c:v>2.1111290052301594</c:v>
                </c:pt>
                <c:pt idx="691">
                  <c:v>2.1127675374834776</c:v>
                </c:pt>
                <c:pt idx="692">
                  <c:v>2.1144054661180807</c:v>
                </c:pt>
                <c:pt idx="693">
                  <c:v>2.1160426750688179</c:v>
                </c:pt>
                <c:pt idx="694">
                  <c:v>2.1176790481143488</c:v>
                </c:pt>
                <c:pt idx="695">
                  <c:v>2.1193144690020027</c:v>
                </c:pt>
                <c:pt idx="696">
                  <c:v>2.1209488215736294</c:v>
                </c:pt>
                <c:pt idx="697">
                  <c:v>2.1225819898921392</c:v>
                </c:pt>
                <c:pt idx="698">
                  <c:v>2.1242138583684698</c:v>
                </c:pt>
                <c:pt idx="699">
                  <c:v>2.1258443118886681</c:v>
                </c:pt>
                <c:pt idx="700">
                  <c:v>2.1274732359408239</c:v>
                </c:pt>
                <c:pt idx="701">
                  <c:v>2.1291005167415458</c:v>
                </c:pt>
                <c:pt idx="702">
                  <c:v>2.1307260413616969</c:v>
                </c:pt>
                <c:pt idx="703">
                  <c:v>2.1323496978510974</c:v>
                </c:pt>
                <c:pt idx="704">
                  <c:v>2.1339713753619098</c:v>
                </c:pt>
                <c:pt idx="705">
                  <c:v>2.135590964270413</c:v>
                </c:pt>
                <c:pt idx="706">
                  <c:v>2.1372083562968971</c:v>
                </c:pt>
                <c:pt idx="707">
                  <c:v>2.1388234446233927</c:v>
                </c:pt>
                <c:pt idx="708">
                  <c:v>2.1404361240089704</c:v>
                </c:pt>
                <c:pt idx="709">
                  <c:v>2.1420462909023548</c:v>
                </c:pt>
                <c:pt idx="710">
                  <c:v>2.1436538435515868</c:v>
                </c:pt>
                <c:pt idx="711">
                  <c:v>2.1452586821105073</c:v>
                </c:pt>
                <c:pt idx="712">
                  <c:v>2.1468607087418108</c:v>
                </c:pt>
                <c:pt idx="713">
                  <c:v>2.1484598277164735</c:v>
                </c:pt>
                <c:pt idx="714">
                  <c:v>2.150055945509314</c:v>
                </c:pt>
                <c:pt idx="715">
                  <c:v>2.1516489708905233</c:v>
                </c:pt>
                <c:pt idx="716">
                  <c:v>2.1532388150129518</c:v>
                </c:pt>
                <c:pt idx="717">
                  <c:v>2.1548253914950095</c:v>
                </c:pt>
                <c:pt idx="718">
                  <c:v>2.1564086164990051</c:v>
                </c:pt>
                <c:pt idx="719">
                  <c:v>2.1579884088048029</c:v>
                </c:pt>
                <c:pt idx="720">
                  <c:v>2.1595646898786502</c:v>
                </c:pt>
                <c:pt idx="721">
                  <c:v>2.1611373839371031</c:v>
                </c:pt>
                <c:pt idx="722">
                  <c:v>2.1627064180059183</c:v>
                </c:pt>
                <c:pt idx="723">
                  <c:v>2.1642717219738672</c:v>
                </c:pt>
                <c:pt idx="724">
                  <c:v>2.1658332286413984</c:v>
                </c:pt>
                <c:pt idx="725">
                  <c:v>2.1673908737641039</c:v>
                </c:pt>
                <c:pt idx="726">
                  <c:v>2.1689445960909732</c:v>
                </c:pt>
                <c:pt idx="727">
                  <c:v>2.1704943373974088</c:v>
                </c:pt>
                <c:pt idx="728">
                  <c:v>2.1720400425130233</c:v>
                </c:pt>
                <c:pt idx="729">
                  <c:v>2.1735816593442232</c:v>
                </c:pt>
                <c:pt idx="730">
                  <c:v>2.1751191388916289</c:v>
                </c:pt>
                <c:pt idx="731">
                  <c:v>2.1766524352623633</c:v>
                </c:pt>
                <c:pt idx="732">
                  <c:v>2.1781815056772884</c:v>
                </c:pt>
                <c:pt idx="733">
                  <c:v>2.1797063104732599</c:v>
                </c:pt>
                <c:pt idx="734">
                  <c:v>2.1812268131004813</c:v>
                </c:pt>
                <c:pt idx="735">
                  <c:v>2.1827429801150777</c:v>
                </c:pt>
                <c:pt idx="736">
                  <c:v>2.184254781166985</c:v>
                </c:pt>
                <c:pt idx="737">
                  <c:v>2.1857621889832872</c:v>
                </c:pt>
                <c:pt idx="738">
                  <c:v>2.1872651793471363</c:v>
                </c:pt>
                <c:pt idx="739">
                  <c:v>2.1887637310723949</c:v>
                </c:pt>
                <c:pt idx="740">
                  <c:v>2.1902578259741565</c:v>
                </c:pt>
                <c:pt idx="741">
                  <c:v>2.1917474488353004</c:v>
                </c:pt>
                <c:pt idx="742">
                  <c:v>2.1932325873692511</c:v>
                </c:pt>
                <c:pt idx="743">
                  <c:v>2.1947132321791103</c:v>
                </c:pt>
                <c:pt idx="744">
                  <c:v>2.1961893767133445</c:v>
                </c:pt>
                <c:pt idx="745">
                  <c:v>2.1976610172182078</c:v>
                </c:pt>
                <c:pt idx="746">
                  <c:v>2.1991281526870852</c:v>
                </c:pt>
                <c:pt idx="747">
                  <c:v>2.2005907848069457</c:v>
                </c:pt>
                <c:pt idx="748">
                  <c:v>2.2020489179020961</c:v>
                </c:pt>
                <c:pt idx="749">
                  <c:v>2.2035025588754333</c:v>
                </c:pt>
                <c:pt idx="750">
                  <c:v>2.2049517171473769</c:v>
                </c:pt>
                <c:pt idx="751">
                  <c:v>2.2063964045926796</c:v>
                </c:pt>
                <c:pt idx="752">
                  <c:v>2.2078366354753149</c:v>
                </c:pt>
                <c:pt idx="753">
                  <c:v>2.2092724263816246</c:v>
                </c:pt>
                <c:pt idx="754">
                  <c:v>2.2107037961519103</c:v>
                </c:pt>
                <c:pt idx="755">
                  <c:v>2.2121307658106675</c:v>
                </c:pt>
                <c:pt idx="756">
                  <c:v>2.2135533584956368</c:v>
                </c:pt>
                <c:pt idx="757">
                  <c:v>2.214971599385855</c:v>
                </c:pt>
                <c:pt idx="758">
                  <c:v>2.216385515628875</c:v>
                </c:pt>
                <c:pt idx="759">
                  <c:v>2.2177951362673345</c:v>
                </c:pt>
                <c:pt idx="760">
                  <c:v>2.2192004921650375</c:v>
                </c:pt>
                <c:pt idx="761">
                  <c:v>2.2206016159326967</c:v>
                </c:pt>
                <c:pt idx="762">
                  <c:v>2.2219985418535146</c:v>
                </c:pt>
                <c:pt idx="763">
                  <c:v>2.2233913058087316</c:v>
                </c:pt>
                <c:pt idx="764">
                  <c:v>2.2247799452032964</c:v>
                </c:pt>
                <c:pt idx="765">
                  <c:v>2.2261644988917957</c:v>
                </c:pt>
                <c:pt idx="766">
                  <c:v>2.2275450071047653</c:v>
                </c:pt>
                <c:pt idx="767">
                  <c:v>2.2289215113755168</c:v>
                </c:pt>
                <c:pt idx="768">
                  <c:v>2.2302940544675964</c:v>
                </c:pt>
                <c:pt idx="769">
                  <c:v>2.2316626803029775</c:v>
                </c:pt>
                <c:pt idx="770">
                  <c:v>2.2330274338911065</c:v>
                </c:pt>
                <c:pt idx="771">
                  <c:v>2.2343883612588868</c:v>
                </c:pt>
                <c:pt idx="772">
                  <c:v>2.2357455093817</c:v>
                </c:pt>
                <c:pt idx="773">
                  <c:v>2.2370989261155469</c:v>
                </c:pt>
                <c:pt idx="774">
                  <c:v>2.238448660130381</c:v>
                </c:pt>
                <c:pt idx="775">
                  <c:v>2.2397947608447222</c:v>
                </c:pt>
                <c:pt idx="776">
                  <c:v>2.2411372783615899</c:v>
                </c:pt>
                <c:pt idx="777">
                  <c:v>2.242476263405845</c:v>
                </c:pt>
                <c:pt idx="778">
                  <c:v>2.2438117672629692</c:v>
                </c:pt>
                <c:pt idx="779">
                  <c:v>2.2451438417193361</c:v>
                </c:pt>
                <c:pt idx="780">
                  <c:v>2.2464725390040341</c:v>
                </c:pt>
                <c:pt idx="781">
                  <c:v>2.2477979117322398</c:v>
                </c:pt>
                <c:pt idx="782">
                  <c:v>2.2491200128502085</c:v>
                </c:pt>
                <c:pt idx="783">
                  <c:v>2.2504391107626329</c:v>
                </c:pt>
                <c:pt idx="784">
                  <c:v>2.2517582289481135</c:v>
                </c:pt>
                <c:pt idx="785">
                  <c:v>2.2530783123559921</c:v>
                </c:pt>
                <c:pt idx="786">
                  <c:v>2.2543993408676086</c:v>
                </c:pt>
                <c:pt idx="787">
                  <c:v>2.2557212938869307</c:v>
                </c:pt>
                <c:pt idx="788">
                  <c:v>2.2570441503376015</c:v>
                </c:pt>
                <c:pt idx="789">
                  <c:v>2.2583678886601262</c:v>
                </c:pt>
                <c:pt idx="790">
                  <c:v>2.2596924868092207</c:v>
                </c:pt>
                <c:pt idx="791">
                  <c:v>2.2610179222513156</c:v>
                </c:pt>
                <c:pt idx="792">
                  <c:v>2.2623441719622286</c:v>
                </c:pt>
                <c:pt idx="793">
                  <c:v>2.2636712124250105</c:v>
                </c:pt>
                <c:pt idx="794">
                  <c:v>2.2649990196279659</c:v>
                </c:pt>
                <c:pt idx="795">
                  <c:v>2.2663275690628648</c:v>
                </c:pt>
                <c:pt idx="796">
                  <c:v>2.2676568357233307</c:v>
                </c:pt>
                <c:pt idx="797">
                  <c:v>2.2689867941034443</c:v>
                </c:pt>
                <c:pt idx="798">
                  <c:v>2.2703174181965324</c:v>
                </c:pt>
                <c:pt idx="799">
                  <c:v>2.2716486814941712</c:v>
                </c:pt>
                <c:pt idx="800">
                  <c:v>2.2729805569854058</c:v>
                </c:pt>
                <c:pt idx="801">
                  <c:v>2.2743130171561861</c:v>
                </c:pt>
                <c:pt idx="802">
                  <c:v>2.2756460339890294</c:v>
                </c:pt>
                <c:pt idx="803">
                  <c:v>2.2769795789629166</c:v>
                </c:pt>
                <c:pt idx="804">
                  <c:v>2.2783136230534229</c:v>
                </c:pt>
                <c:pt idx="805">
                  <c:v>2.2796481367330959</c:v>
                </c:pt>
                <c:pt idx="806">
                  <c:v>2.2809830899720813</c:v>
                </c:pt>
                <c:pt idx="807">
                  <c:v>2.2823184522389997</c:v>
                </c:pt>
                <c:pt idx="808">
                  <c:v>2.2836541925020928</c:v>
                </c:pt>
                <c:pt idx="809">
                  <c:v>2.2849902792306258</c:v>
                </c:pt>
                <c:pt idx="810">
                  <c:v>2.2863266803965718</c:v>
                </c:pt>
                <c:pt idx="811">
                  <c:v>2.287663363476562</c:v>
                </c:pt>
                <c:pt idx="812">
                  <c:v>2.2890002954541302</c:v>
                </c:pt>
                <c:pt idx="813">
                  <c:v>2.2903374428222349</c:v>
                </c:pt>
                <c:pt idx="814">
                  <c:v>2.2916747715860786</c:v>
                </c:pt>
                <c:pt idx="815">
                  <c:v>2.2930122472662298</c:v>
                </c:pt>
                <c:pt idx="816">
                  <c:v>2.2943498349020293</c:v>
                </c:pt>
                <c:pt idx="817">
                  <c:v>2.2956874990553313</c:v>
                </c:pt>
                <c:pt idx="818">
                  <c:v>2.2970252038145271</c:v>
                </c:pt>
                <c:pt idx="819">
                  <c:v>2.2983629127989031</c:v>
                </c:pt>
                <c:pt idx="820">
                  <c:v>2.2997005891633182</c:v>
                </c:pt>
                <c:pt idx="821">
                  <c:v>2.3010381956031889</c:v>
                </c:pt>
                <c:pt idx="822">
                  <c:v>2.302375694359819</c:v>
                </c:pt>
                <c:pt idx="823">
                  <c:v>2.3037130472260552</c:v>
                </c:pt>
                <c:pt idx="824">
                  <c:v>2.3050502155522694</c:v>
                </c:pt>
                <c:pt idx="825">
                  <c:v>2.306387160252688</c:v>
                </c:pt>
                <c:pt idx="826">
                  <c:v>2.3077238418120554</c:v>
                </c:pt>
                <c:pt idx="827">
                  <c:v>2.3090602202926425</c:v>
                </c:pt>
                <c:pt idx="828">
                  <c:v>2.3103962553415922</c:v>
                </c:pt>
                <c:pt idx="829">
                  <c:v>2.3117319061986263</c:v>
                </c:pt>
                <c:pt idx="830">
                  <c:v>2.3130671317040874</c:v>
                </c:pt>
                <c:pt idx="831">
                  <c:v>2.3144018903073293</c:v>
                </c:pt>
                <c:pt idx="832">
                  <c:v>2.3157361400754786</c:v>
                </c:pt>
                <c:pt idx="833">
                  <c:v>2.3170698387025119</c:v>
                </c:pt>
                <c:pt idx="834">
                  <c:v>2.318402943518723</c:v>
                </c:pt>
                <c:pt idx="835">
                  <c:v>2.3197354115005147</c:v>
                </c:pt>
                <c:pt idx="836">
                  <c:v>2.321067199280554</c:v>
                </c:pt>
                <c:pt idx="837">
                  <c:v>2.322398263158278</c:v>
                </c:pt>
                <c:pt idx="838">
                  <c:v>2.3237285591107435</c:v>
                </c:pt>
                <c:pt idx="839">
                  <c:v>2.3250580428038354</c:v>
                </c:pt>
                <c:pt idx="840">
                  <c:v>2.3263866696038105</c:v>
                </c:pt>
                <c:pt idx="841">
                  <c:v>2.3277143945891958</c:v>
                </c:pt>
                <c:pt idx="842">
                  <c:v>2.329041172563024</c:v>
                </c:pt>
                <c:pt idx="843">
                  <c:v>2.3303669580654143</c:v>
                </c:pt>
                <c:pt idx="844">
                  <c:v>2.3316917053864761</c:v>
                </c:pt>
                <c:pt idx="845">
                  <c:v>2.3330153685795634</c:v>
                </c:pt>
                <c:pt idx="846">
                  <c:v>2.3343379014748424</c:v>
                </c:pt>
                <c:pt idx="847">
                  <c:v>2.3356592576931945</c:v>
                </c:pt>
                <c:pt idx="848">
                  <c:v>2.3369793906604288</c:v>
                </c:pt>
                <c:pt idx="849">
                  <c:v>2.3382982536218155</c:v>
                </c:pt>
                <c:pt idx="850">
                  <c:v>2.3396157996569227</c:v>
                </c:pt>
                <c:pt idx="851">
                  <c:v>2.3409319816947569</c:v>
                </c:pt>
                <c:pt idx="852">
                  <c:v>2.3422467525291992</c:v>
                </c:pt>
                <c:pt idx="853">
                  <c:v>2.3435600648347292</c:v>
                </c:pt>
                <c:pt idx="854">
                  <c:v>2.3448718711824252</c:v>
                </c:pt>
                <c:pt idx="855">
                  <c:v>2.3461821240562468</c:v>
                </c:pt>
                <c:pt idx="856">
                  <c:v>2.3474907758695696</c:v>
                </c:pt>
                <c:pt idx="857">
                  <c:v>2.3487977789819863</c:v>
                </c:pt>
                <c:pt idx="858">
                  <c:v>2.3501030857163498</c:v>
                </c:pt>
                <c:pt idx="859">
                  <c:v>2.351406648376047</c:v>
                </c:pt>
                <c:pt idx="860">
                  <c:v>2.3527084192625134</c:v>
                </c:pt>
                <c:pt idx="861">
                  <c:v>2.3540083506929532</c:v>
                </c:pt>
                <c:pt idx="862">
                  <c:v>2.3553063950182649</c:v>
                </c:pt>
                <c:pt idx="863">
                  <c:v>2.3566025046411712</c:v>
                </c:pt>
                <c:pt idx="864">
                  <c:v>2.3578966320345187</c:v>
                </c:pt>
                <c:pt idx="865">
                  <c:v>2.3591887297597607</c:v>
                </c:pt>
                <c:pt idx="866">
                  <c:v>2.360478750485592</c:v>
                </c:pt>
                <c:pt idx="867">
                  <c:v>2.3617666470067271</c:v>
                </c:pt>
                <c:pt idx="868">
                  <c:v>2.3630523722628216</c:v>
                </c:pt>
                <c:pt idx="869">
                  <c:v>2.3643358793575033</c:v>
                </c:pt>
                <c:pt idx="870">
                  <c:v>2.3656171215775168</c:v>
                </c:pt>
                <c:pt idx="871">
                  <c:v>2.3668960524119531</c:v>
                </c:pt>
                <c:pt idx="872">
                  <c:v>2.3681726255715629</c:v>
                </c:pt>
                <c:pt idx="873">
                  <c:v>2.369446795008133</c:v>
                </c:pt>
                <c:pt idx="874">
                  <c:v>2.3707185149339107</c:v>
                </c:pt>
                <c:pt idx="875">
                  <c:v>2.3719877398410549</c:v>
                </c:pt>
                <c:pt idx="876">
                  <c:v>2.3732544245211211</c:v>
                </c:pt>
                <c:pt idx="877">
                  <c:v>2.3745185240845359</c:v>
                </c:pt>
                <c:pt idx="878">
                  <c:v>2.3757799939800615</c:v>
                </c:pt>
                <c:pt idx="879">
                  <c:v>2.3770387900142405</c:v>
                </c:pt>
                <c:pt idx="880">
                  <c:v>2.3782948683707832</c:v>
                </c:pt>
                <c:pt idx="881">
                  <c:v>2.3795481856299054</c:v>
                </c:pt>
                <c:pt idx="882">
                  <c:v>2.3807986987875855</c:v>
                </c:pt>
                <c:pt idx="883">
                  <c:v>2.3820463652747264</c:v>
                </c:pt>
                <c:pt idx="884">
                  <c:v>2.3832911429762169</c:v>
                </c:pt>
                <c:pt idx="885">
                  <c:v>2.3845329902498529</c:v>
                </c:pt>
                <c:pt idx="886">
                  <c:v>2.3857718659451357</c:v>
                </c:pt>
                <c:pt idx="887">
                  <c:v>2.3870077294218937</c:v>
                </c:pt>
                <c:pt idx="888">
                  <c:v>2.3882405405687415</c:v>
                </c:pt>
                <c:pt idx="889">
                  <c:v>2.3894702598213469</c:v>
                </c:pt>
                <c:pt idx="890">
                  <c:v>2.3906968481804842</c:v>
                </c:pt>
                <c:pt idx="891">
                  <c:v>2.3919202672298701</c:v>
                </c:pt>
                <c:pt idx="892">
                  <c:v>2.3931404791537578</c:v>
                </c:pt>
                <c:pt idx="893">
                  <c:v>2.3943574467542788</c:v>
                </c:pt>
                <c:pt idx="894">
                  <c:v>2.3955711334685068</c:v>
                </c:pt>
                <c:pt idx="895">
                  <c:v>2.3967815033852475</c:v>
                </c:pt>
                <c:pt idx="896">
                  <c:v>2.3979885212615097</c:v>
                </c:pt>
                <c:pt idx="897">
                  <c:v>2.3991921525386743</c:v>
                </c:pt>
                <c:pt idx="898">
                  <c:v>2.4003923633583244</c:v>
                </c:pt>
                <c:pt idx="899">
                  <c:v>2.4015891205777304</c:v>
                </c:pt>
                <c:pt idx="900">
                  <c:v>2.4027823917849718</c:v>
                </c:pt>
                <c:pt idx="901">
                  <c:v>2.4039721453136913</c:v>
                </c:pt>
                <c:pt idx="902">
                  <c:v>2.4051583502574516</c:v>
                </c:pt>
                <c:pt idx="903">
                  <c:v>2.4063409764836998</c:v>
                </c:pt>
                <c:pt idx="904">
                  <c:v>2.4075199946473074</c:v>
                </c:pt>
                <c:pt idx="905">
                  <c:v>2.4086953762036969</c:v>
                </c:pt>
                <c:pt idx="906">
                  <c:v>2.4098670934215134</c:v>
                </c:pt>
                <c:pt idx="907">
                  <c:v>2.4110351193948585</c:v>
                </c:pt>
                <c:pt idx="908">
                  <c:v>2.4121994280550609</c:v>
                </c:pt>
                <c:pt idx="909">
                  <c:v>2.4133599941819672</c:v>
                </c:pt>
                <c:pt idx="910">
                  <c:v>2.4145167934147578</c:v>
                </c:pt>
                <c:pt idx="911">
                  <c:v>2.4156698022622711</c:v>
                </c:pt>
                <c:pt idx="912">
                  <c:v>2.4168189981128214</c:v>
                </c:pt>
                <c:pt idx="913">
                  <c:v>2.4179643592435069</c:v>
                </c:pt>
                <c:pt idx="914">
                  <c:v>2.4191058648290129</c:v>
                </c:pt>
                <c:pt idx="915">
                  <c:v>2.4202434949498706</c:v>
                </c:pt>
                <c:pt idx="916">
                  <c:v>2.4213772306001946</c:v>
                </c:pt>
                <c:pt idx="917">
                  <c:v>2.4225070536948889</c:v>
                </c:pt>
                <c:pt idx="918">
                  <c:v>2.4236329470762898</c:v>
                </c:pt>
                <c:pt idx="919">
                  <c:v>2.4247548945202784</c:v>
                </c:pt>
                <c:pt idx="920">
                  <c:v>2.4258728807418288</c:v>
                </c:pt>
                <c:pt idx="921">
                  <c:v>2.4269868914000021</c:v>
                </c:pt>
                <c:pt idx="922">
                  <c:v>2.4280969131023791</c:v>
                </c:pt>
                <c:pt idx="923">
                  <c:v>2.4292029334089276</c:v>
                </c:pt>
                <c:pt idx="924">
                  <c:v>2.4303049408353119</c:v>
                </c:pt>
                <c:pt idx="925">
                  <c:v>2.4314029248556213</c:v>
                </c:pt>
                <c:pt idx="926">
                  <c:v>2.4324968759045462</c:v>
                </c:pt>
                <c:pt idx="927">
                  <c:v>2.4335867853789739</c:v>
                </c:pt>
                <c:pt idx="928">
                  <c:v>2.4346726456390266</c:v>
                </c:pt>
                <c:pt idx="929">
                  <c:v>2.435754450008524</c:v>
                </c:pt>
                <c:pt idx="930">
                  <c:v>2.4368321927748902</c:v>
                </c:pt>
                <c:pt idx="931">
                  <c:v>2.4379058691884898</c:v>
                </c:pt>
                <c:pt idx="932">
                  <c:v>2.4389754754614112</c:v>
                </c:pt>
                <c:pt idx="933">
                  <c:v>2.4400410087656899</c:v>
                </c:pt>
                <c:pt idx="934">
                  <c:v>2.4411024672309822</c:v>
                </c:pt>
                <c:pt idx="935">
                  <c:v>2.4421598499416852</c:v>
                </c:pt>
                <c:pt idx="936">
                  <c:v>2.4432131569335303</c:v>
                </c:pt>
                <c:pt idx="937">
                  <c:v>2.4442623891896176</c:v>
                </c:pt>
                <c:pt idx="938">
                  <c:v>2.445307548635943</c:v>
                </c:pt>
                <c:pt idx="939">
                  <c:v>2.446348638136385</c:v>
                </c:pt>
                <c:pt idx="940">
                  <c:v>2.4473856614871856</c:v>
                </c:pt>
                <c:pt idx="941">
                  <c:v>2.4484186234109213</c:v>
                </c:pt>
                <c:pt idx="942">
                  <c:v>2.4494475295499711</c:v>
                </c:pt>
                <c:pt idx="943">
                  <c:v>2.4504723864594951</c:v>
                </c:pt>
                <c:pt idx="944">
                  <c:v>2.4514932015999382</c:v>
                </c:pt>
                <c:pt idx="945">
                  <c:v>2.4525099833290511</c:v>
                </c:pt>
                <c:pt idx="946">
                  <c:v>2.4535227408934586</c:v>
                </c:pt>
                <c:pt idx="947">
                  <c:v>2.4545314844197703</c:v>
                </c:pt>
                <c:pt idx="948">
                  <c:v>2.4555362249052592</c:v>
                </c:pt>
                <c:pt idx="949">
                  <c:v>2.4565369742081034</c:v>
                </c:pt>
                <c:pt idx="950">
                  <c:v>2.4575337450372143</c:v>
                </c:pt>
                <c:pt idx="951">
                  <c:v>2.4585265509416612</c:v>
                </c:pt>
                <c:pt idx="952">
                  <c:v>2.4595154062996993</c:v>
                </c:pt>
                <c:pt idx="953">
                  <c:v>2.4605003263074212</c:v>
                </c:pt>
                <c:pt idx="954">
                  <c:v>2.4614813269670366</c:v>
                </c:pt>
                <c:pt idx="955">
                  <c:v>2.4624584250748018</c:v>
                </c:pt>
                <c:pt idx="956">
                  <c:v>2.463431638208605</c:v>
                </c:pt>
                <c:pt idx="957">
                  <c:v>2.4644009847152262</c:v>
                </c:pt>
                <c:pt idx="958">
                  <c:v>2.4653664836972791</c:v>
                </c:pt>
                <c:pt idx="959">
                  <c:v>2.4663281549998604</c:v>
                </c:pt>
                <c:pt idx="960">
                  <c:v>2.4672860191969019</c:v>
                </c:pt>
                <c:pt idx="961">
                  <c:v>2.4682400975772594</c:v>
                </c:pt>
                <c:pt idx="962">
                  <c:v>2.4691904121305432</c:v>
                </c:pt>
                <c:pt idx="963">
                  <c:v>2.4701369855326956</c:v>
                </c:pt>
                <c:pt idx="964">
                  <c:v>2.471079841131353</c:v>
                </c:pt>
                <c:pt idx="965">
                  <c:v>2.4720190029309803</c:v>
                </c:pt>
                <c:pt idx="966">
                  <c:v>2.4729544955778109</c:v>
                </c:pt>
                <c:pt idx="967">
                  <c:v>2.4738863443446002</c:v>
                </c:pt>
                <c:pt idx="968">
                  <c:v>2.4748145751152038</c:v>
                </c:pt>
                <c:pt idx="969">
                  <c:v>2.4757392143690029</c:v>
                </c:pt>
                <c:pt idx="970">
                  <c:v>2.4766602891651788</c:v>
                </c:pt>
                <c:pt idx="971">
                  <c:v>2.477577827126868</c:v>
                </c:pt>
                <c:pt idx="972">
                  <c:v>2.4784918564251881</c:v>
                </c:pt>
                <c:pt idx="973">
                  <c:v>2.4794024057631789</c:v>
                </c:pt>
                <c:pt idx="974">
                  <c:v>2.4803095043596408</c:v>
                </c:pt>
                <c:pt idx="975">
                  <c:v>2.4812131819329108</c:v>
                </c:pt>
                <c:pt idx="976">
                  <c:v>2.4821134686845689</c:v>
                </c:pt>
                <c:pt idx="977">
                  <c:v>2.4830103952831015</c:v>
                </c:pt>
                <c:pt idx="978">
                  <c:v>2.483903992847535</c:v>
                </c:pt>
                <c:pt idx="979">
                  <c:v>2.484794292931038</c:v>
                </c:pt>
                <c:pt idx="980">
                  <c:v>2.4856813275045289</c:v>
                </c:pt>
                <c:pt idx="981">
                  <c:v>2.4865651289402706</c:v>
                </c:pt>
                <c:pt idx="982">
                  <c:v>2.4874457299954988</c:v>
                </c:pt>
                <c:pt idx="983">
                  <c:v>2.4883231637960712</c:v>
                </c:pt>
                <c:pt idx="984">
                  <c:v>2.4891974638201497</c:v>
                </c:pt>
                <c:pt idx="985">
                  <c:v>2.4900686638819511</c:v>
                </c:pt>
                <c:pt idx="986">
                  <c:v>2.4909367981155452</c:v>
                </c:pt>
                <c:pt idx="987">
                  <c:v>2.4918019009587358</c:v>
                </c:pt>
                <c:pt idx="988">
                  <c:v>2.4926640071370207</c:v>
                </c:pt>
                <c:pt idx="989">
                  <c:v>2.4935231516476546</c:v>
                </c:pt>
                <c:pt idx="990">
                  <c:v>2.494379369743807</c:v>
                </c:pt>
                <c:pt idx="991">
                  <c:v>2.4952326969188436</c:v>
                </c:pt>
                <c:pt idx="992">
                  <c:v>2.4960831688907241</c:v>
                </c:pt>
                <c:pt idx="993">
                  <c:v>2.4969308215865396</c:v>
                </c:pt>
                <c:pt idx="994">
                  <c:v>2.4977756911271909</c:v>
                </c:pt>
                <c:pt idx="995">
                  <c:v>2.4986178138122117</c:v>
                </c:pt>
                <c:pt idx="996">
                  <c:v>2.499457226104759</c:v>
                </c:pt>
                <c:pt idx="997">
                  <c:v>2.5002939646167617</c:v>
                </c:pt>
                <c:pt idx="998">
                  <c:v>2.501128066094251</c:v>
                </c:pt>
                <c:pt idx="999">
                  <c:v>2.5019595674028614</c:v>
                </c:pt>
                <c:pt idx="1000">
                  <c:v>2.5027885055135326</c:v>
                </c:pt>
                <c:pt idx="1001">
                  <c:v>2.5036149174883926</c:v>
                </c:pt>
                <c:pt idx="1002">
                  <c:v>2.5044388404668489</c:v>
                </c:pt>
                <c:pt idx="1003">
                  <c:v>2.5052603116518859</c:v>
                </c:pt>
                <c:pt idx="1004">
                  <c:v>2.5060793682965663</c:v>
                </c:pt>
                <c:pt idx="1005">
                  <c:v>2.5068960476907631</c:v>
                </c:pt>
                <c:pt idx="1006">
                  <c:v>2.5077103871480939</c:v>
                </c:pt>
                <c:pt idx="1007">
                  <c:v>2.5085224239931003</c:v>
                </c:pt>
                <c:pt idx="1008">
                  <c:v>2.509332195548645</c:v>
                </c:pt>
                <c:pt idx="1009">
                  <c:v>2.5101397391235452</c:v>
                </c:pt>
                <c:pt idx="1010">
                  <c:v>2.5109450920004504</c:v>
                </c:pt>
                <c:pt idx="1011">
                  <c:v>2.5117482914239493</c:v>
                </c:pt>
                <c:pt idx="1012">
                  <c:v>2.5125493745889269</c:v>
                </c:pt>
                <c:pt idx="1013">
                  <c:v>2.5133483786291753</c:v>
                </c:pt>
                <c:pt idx="1014">
                  <c:v>2.5141453406062326</c:v>
                </c:pt>
                <c:pt idx="1015">
                  <c:v>2.5149402974984949</c:v>
                </c:pt>
                <c:pt idx="1016">
                  <c:v>2.5157332861905659</c:v>
                </c:pt>
                <c:pt idx="1017">
                  <c:v>2.5165243434628652</c:v>
                </c:pt>
                <c:pt idx="1018">
                  <c:v>2.5173135059814977</c:v>
                </c:pt>
                <c:pt idx="1019">
                  <c:v>2.5181008102883622</c:v>
                </c:pt>
                <c:pt idx="1020">
                  <c:v>2.5188862927915356</c:v>
                </c:pt>
                <c:pt idx="1021">
                  <c:v>2.5196699897559078</c:v>
                </c:pt>
                <c:pt idx="1022">
                  <c:v>2.5204519372940659</c:v>
                </c:pt>
                <c:pt idx="1023">
                  <c:v>2.5212321713574464</c:v>
                </c:pt>
                <c:pt idx="1024">
                  <c:v>2.5220107277277437</c:v>
                </c:pt>
                <c:pt idx="1025">
                  <c:v>2.522787642008566</c:v>
                </c:pt>
                <c:pt idx="1026">
                  <c:v>2.5235629496173595</c:v>
                </c:pt>
                <c:pt idx="1027">
                  <c:v>2.5243366857775809</c:v>
                </c:pt>
                <c:pt idx="1028">
                  <c:v>2.5251088855111208</c:v>
                </c:pt>
                <c:pt idx="1029">
                  <c:v>2.5258795836309922</c:v>
                </c:pt>
                <c:pt idx="1030">
                  <c:v>2.5266488147342554</c:v>
                </c:pt>
                <c:pt idx="1031">
                  <c:v>2.5274166131952054</c:v>
                </c:pt>
                <c:pt idx="1032">
                  <c:v>2.528183013158797</c:v>
                </c:pt>
                <c:pt idx="1033">
                  <c:v>2.5289480485343243</c:v>
                </c:pt>
                <c:pt idx="1034">
                  <c:v>2.5297117529893409</c:v>
                </c:pt>
                <c:pt idx="1035">
                  <c:v>2.5304741599438159</c:v>
                </c:pt>
                <c:pt idx="1036">
                  <c:v>2.5312353025645442</c:v>
                </c:pt>
                <c:pt idx="1037">
                  <c:v>2.5319952137597714</c:v>
                </c:pt>
                <c:pt idx="1038">
                  <c:v>2.5327539261740779</c:v>
                </c:pt>
                <c:pt idx="1039">
                  <c:v>2.5335114721834735</c:v>
                </c:pt>
                <c:pt idx="1040">
                  <c:v>2.5342678838907329</c:v>
                </c:pt>
                <c:pt idx="1041">
                  <c:v>2.5350231931209493</c:v>
                </c:pt>
                <c:pt idx="1042">
                  <c:v>2.5357774314173152</c:v>
                </c:pt>
                <c:pt idx="1043">
                  <c:v>2.5365306300371193</c:v>
                </c:pt>
                <c:pt idx="1044">
                  <c:v>2.5372827583814441</c:v>
                </c:pt>
                <c:pt idx="1045">
                  <c:v>2.5380333269177684</c:v>
                </c:pt>
                <c:pt idx="1046">
                  <c:v>2.5387821987148151</c:v>
                </c:pt>
                <c:pt idx="1047">
                  <c:v>2.5395293427858525</c:v>
                </c:pt>
                <c:pt idx="1048">
                  <c:v>2.5402747279797615</c:v>
                </c:pt>
                <c:pt idx="1049">
                  <c:v>2.5410183229872398</c:v>
                </c:pt>
                <c:pt idx="1050">
                  <c:v>2.5417600963472156</c:v>
                </c:pt>
                <c:pt idx="1051">
                  <c:v>2.5425000164534728</c:v>
                </c:pt>
                <c:pt idx="1052">
                  <c:v>2.5432380515615005</c:v>
                </c:pt>
                <c:pt idx="1053">
                  <c:v>2.543974169795558</c:v>
                </c:pt>
                <c:pt idx="1054">
                  <c:v>2.5447083391559531</c:v>
                </c:pt>
                <c:pt idx="1055">
                  <c:v>2.5454405275265533</c:v>
                </c:pt>
                <c:pt idx="1056">
                  <c:v>2.5461707026825051</c:v>
                </c:pt>
                <c:pt idx="1057">
                  <c:v>2.5468988322981829</c:v>
                </c:pt>
                <c:pt idx="1058">
                  <c:v>2.5476248839553666</c:v>
                </c:pt>
                <c:pt idx="1059">
                  <c:v>2.5483488251516246</c:v>
                </c:pt>
                <c:pt idx="1060">
                  <c:v>2.5490706233089391</c:v>
                </c:pt>
                <c:pt idx="1061">
                  <c:v>2.5497902457825448</c:v>
                </c:pt>
                <c:pt idx="1062">
                  <c:v>2.5505076598699947</c:v>
                </c:pt>
                <c:pt idx="1063">
                  <c:v>2.551222832820438</c:v>
                </c:pt>
                <c:pt idx="1064">
                  <c:v>2.5519357318441487</c:v>
                </c:pt>
                <c:pt idx="1065">
                  <c:v>2.5526463241222364</c:v>
                </c:pt>
                <c:pt idx="1066">
                  <c:v>2.5533545768166106</c:v>
                </c:pt>
                <c:pt idx="1067">
                  <c:v>2.5540604570801499</c:v>
                </c:pt>
                <c:pt idx="1068">
                  <c:v>2.5547639320670896</c:v>
                </c:pt>
                <c:pt idx="1069">
                  <c:v>2.5554649689436282</c:v>
                </c:pt>
                <c:pt idx="1070">
                  <c:v>2.556163534898749</c:v>
                </c:pt>
                <c:pt idx="1071">
                  <c:v>2.5568595971552477</c:v>
                </c:pt>
                <c:pt idx="1072">
                  <c:v>2.5575531229809805</c:v>
                </c:pt>
                <c:pt idx="1073">
                  <c:v>2.5582440797003088</c:v>
                </c:pt>
                <c:pt idx="1074">
                  <c:v>2.5589324347057518</c:v>
                </c:pt>
                <c:pt idx="1075">
                  <c:v>2.5596181554698445</c:v>
                </c:pt>
                <c:pt idx="1076">
                  <c:v>2.560301209557184</c:v>
                </c:pt>
                <c:pt idx="1077">
                  <c:v>2.5609815646366796</c:v>
                </c:pt>
                <c:pt idx="1078">
                  <c:v>2.5616591884939774</c:v>
                </c:pt>
                <c:pt idx="1079">
                  <c:v>2.5623340490440918</c:v>
                </c:pt>
                <c:pt idx="1080">
                  <c:v>2.5630061143441965</c:v>
                </c:pt>
                <c:pt idx="1081">
                  <c:v>2.5636753526066047</c:v>
                </c:pt>
                <c:pt idx="1082">
                  <c:v>2.56434173221191</c:v>
                </c:pt>
                <c:pt idx="1083">
                  <c:v>2.5650052217223025</c:v>
                </c:pt>
                <c:pt idx="1084">
                  <c:v>2.5656657898950375</c:v>
                </c:pt>
                <c:pt idx="1085">
                  <c:v>2.5663234056960511</c:v>
                </c:pt>
                <c:pt idx="1086">
                  <c:v>2.5669780383137413</c:v>
                </c:pt>
                <c:pt idx="1087">
                  <c:v>2.5676296571728674</c:v>
                </c:pt>
                <c:pt idx="1088">
                  <c:v>2.5682782319485979</c:v>
                </c:pt>
                <c:pt idx="1089">
                  <c:v>2.5689237325806751</c:v>
                </c:pt>
                <c:pt idx="1090">
                  <c:v>2.5695661292877019</c:v>
                </c:pt>
                <c:pt idx="1091">
                  <c:v>2.5702053925815385</c:v>
                </c:pt>
                <c:pt idx="1092">
                  <c:v>2.5708414932817973</c:v>
                </c:pt>
                <c:pt idx="1093">
                  <c:v>2.5714744025304364</c:v>
                </c:pt>
                <c:pt idx="1094">
                  <c:v>2.5721040918064362</c:v>
                </c:pt>
                <c:pt idx="1095">
                  <c:v>2.5727305329405481</c:v>
                </c:pt>
                <c:pt idx="1096">
                  <c:v>2.5733536981301151</c:v>
                </c:pt>
                <c:pt idx="1097">
                  <c:v>2.5739735599539442</c:v>
                </c:pt>
                <c:pt idx="1098">
                  <c:v>2.5745900913872282</c:v>
                </c:pt>
                <c:pt idx="1099">
                  <c:v>2.5752032658165058</c:v>
                </c:pt>
                <c:pt idx="1100">
                  <c:v>2.5758130570546434</c:v>
                </c:pt>
                <c:pt idx="1101">
                  <c:v>2.5764194393558335</c:v>
                </c:pt>
                <c:pt idx="1102">
                  <c:v>2.577022387430604</c:v>
                </c:pt>
                <c:pt idx="1103">
                  <c:v>2.5776218764608143</c:v>
                </c:pt>
                <c:pt idx="1104">
                  <c:v>2.5782178821146333</c:v>
                </c:pt>
                <c:pt idx="1105">
                  <c:v>2.5788103805614884</c:v>
                </c:pt>
                <c:pt idx="1106">
                  <c:v>2.579399348486985</c:v>
                </c:pt>
                <c:pt idx="1107">
                  <c:v>2.5799847631077513</c:v>
                </c:pt>
                <c:pt idx="1108">
                  <c:v>2.5805666021862361</c:v>
                </c:pt>
                <c:pt idx="1109">
                  <c:v>2.5811448440454168</c:v>
                </c:pt>
                <c:pt idx="1110">
                  <c:v>2.5817194675834281</c:v>
                </c:pt>
                <c:pt idx="1111">
                  <c:v>2.582290452288075</c:v>
                </c:pt>
                <c:pt idx="1112">
                  <c:v>2.5828577782512419</c:v>
                </c:pt>
                <c:pt idx="1113">
                  <c:v>2.5834214261831643</c:v>
                </c:pt>
                <c:pt idx="1114">
                  <c:v>2.5839813774265621</c:v>
                </c:pt>
                <c:pt idx="1115">
                  <c:v>2.5845376139706189</c:v>
                </c:pt>
                <c:pt idx="1116">
                  <c:v>2.585090118464787</c:v>
                </c:pt>
                <c:pt idx="1117">
                  <c:v>2.5856388742324237</c:v>
                </c:pt>
                <c:pt idx="1118">
                  <c:v>2.5861838652842155</c:v>
                </c:pt>
                <c:pt idx="1119">
                  <c:v>2.586725076331406</c:v>
                </c:pt>
                <c:pt idx="1120">
                  <c:v>2.5872624927988022</c:v>
                </c:pt>
                <c:pt idx="1121">
                  <c:v>2.5877961008375334</c:v>
                </c:pt>
                <c:pt idx="1122">
                  <c:v>2.5883258873375818</c:v>
                </c:pt>
                <c:pt idx="1123">
                  <c:v>2.5888518399400287</c:v>
                </c:pt>
                <c:pt idx="1124">
                  <c:v>2.5893739470490416</c:v>
                </c:pt>
                <c:pt idx="1125">
                  <c:v>2.5898921978435689</c:v>
                </c:pt>
                <c:pt idx="1126">
                  <c:v>2.590406582288729</c:v>
                </c:pt>
                <c:pt idx="1127">
                  <c:v>2.5909170911468919</c:v>
                </c:pt>
                <c:pt idx="1128">
                  <c:v>2.5914237159884248</c:v>
                </c:pt>
                <c:pt idx="1129">
                  <c:v>2.5919264492021048</c:v>
                </c:pt>
                <c:pt idx="1130">
                  <c:v>2.5924252840051789</c:v>
                </c:pt>
                <c:pt idx="1131">
                  <c:v>2.5929202144530525</c:v>
                </c:pt>
                <c:pt idx="1132">
                  <c:v>2.5934112354486101</c:v>
                </c:pt>
                <c:pt idx="1133">
                  <c:v>2.5938983427511397</c:v>
                </c:pt>
                <c:pt idx="1134">
                  <c:v>2.5943815329848605</c:v>
                </c:pt>
                <c:pt idx="1135">
                  <c:v>2.594860803647038</c:v>
                </c:pt>
                <c:pt idx="1136">
                  <c:v>2.5953361531156753</c:v>
                </c:pt>
                <c:pt idx="1137">
                  <c:v>2.5958075806567726</c:v>
                </c:pt>
                <c:pt idx="1138">
                  <c:v>2.5962750864311421</c:v>
                </c:pt>
                <c:pt idx="1139">
                  <c:v>2.5967386715007676</c:v>
                </c:pt>
                <c:pt idx="1140">
                  <c:v>2.5971983378347026</c:v>
                </c:pt>
                <c:pt idx="1141">
                  <c:v>2.5976540883144921</c:v>
                </c:pt>
                <c:pt idx="1142">
                  <c:v>2.598105926739116</c:v>
                </c:pt>
                <c:pt idx="1143">
                  <c:v>2.5985538578294403</c:v>
                </c:pt>
                <c:pt idx="1144">
                  <c:v>2.5989978872321688</c:v>
                </c:pt>
                <c:pt idx="1145">
                  <c:v>2.5994380215232944</c:v>
                </c:pt>
                <c:pt idx="1146">
                  <c:v>2.5998742682110261</c:v>
                </c:pt>
                <c:pt idx="1147">
                  <c:v>2.6003066357382094</c:v>
                </c:pt>
                <c:pt idx="1148">
                  <c:v>2.6007351334842124</c:v>
                </c:pt>
                <c:pt idx="1149">
                  <c:v>2.6011597717662824</c:v>
                </c:pt>
                <c:pt idx="1150">
                  <c:v>2.6015805618403682</c:v>
                </c:pt>
                <c:pt idx="1151">
                  <c:v>2.6019975159013953</c:v>
                </c:pt>
                <c:pt idx="1152">
                  <c:v>2.6024106470830066</c:v>
                </c:pt>
                <c:pt idx="1153">
                  <c:v>2.602819969456744</c:v>
                </c:pt>
                <c:pt idx="1154">
                  <c:v>2.6032254980306848</c:v>
                </c:pt>
                <c:pt idx="1155">
                  <c:v>2.6036272487475234</c:v>
                </c:pt>
                <c:pt idx="1156">
                  <c:v>2.6040252384820977</c:v>
                </c:pt>
                <c:pt idx="1157">
                  <c:v>2.6044194850383544</c:v>
                </c:pt>
                <c:pt idx="1158">
                  <c:v>2.6048100071457707</c:v>
                </c:pt>
                <c:pt idx="1159">
                  <c:v>2.605196824455204</c:v>
                </c:pt>
                <c:pt idx="1160">
                  <c:v>2.6055799575341934</c:v>
                </c:pt>
                <c:pt idx="1161">
                  <c:v>2.6059594278617073</c:v>
                </c:pt>
                <c:pt idx="1162">
                  <c:v>2.6063352578223378</c:v>
                </c:pt>
                <c:pt idx="1163">
                  <c:v>2.6067074706999396</c:v>
                </c:pt>
                <c:pt idx="1164">
                  <c:v>2.607076090670732</c:v>
                </c:pt>
                <c:pt idx="1165">
                  <c:v>2.607441142795849</c:v>
                </c:pt>
                <c:pt idx="1166">
                  <c:v>2.6078026530133531</c:v>
                </c:pt>
                <c:pt idx="1167">
                  <c:v>2.6081606481297213</c:v>
                </c:pt>
                <c:pt idx="1168">
                  <c:v>2.6085151558107915</c:v>
                </c:pt>
                <c:pt idx="1169">
                  <c:v>2.6088662045721995</c:v>
                </c:pt>
                <c:pt idx="1170">
                  <c:v>2.6092138237692937</c:v>
                </c:pt>
                <c:pt idx="1171">
                  <c:v>2.6095580435865426</c:v>
                </c:pt>
                <c:pt idx="1172">
                  <c:v>2.6098988950264417</c:v>
                </c:pt>
                <c:pt idx="1173">
                  <c:v>2.6102364098979383</c:v>
                </c:pt>
                <c:pt idx="1174">
                  <c:v>2.6105706208043613</c:v>
                </c:pt>
                <c:pt idx="1175">
                  <c:v>2.6109015611308841</c:v>
                </c:pt>
                <c:pt idx="1176">
                  <c:v>2.6112292650315267</c:v>
                </c:pt>
                <c:pt idx="1177">
                  <c:v>2.6115537674157063</c:v>
                </c:pt>
                <c:pt idx="1178">
                  <c:v>2.6118751039343433</c:v>
                </c:pt>
                <c:pt idx="1179">
                  <c:v>2.6121933109655404</c:v>
                </c:pt>
                <c:pt idx="1180">
                  <c:v>2.6125084255998448</c:v>
                </c:pt>
                <c:pt idx="1181">
                  <c:v>2.6128204856251043</c:v>
                </c:pt>
                <c:pt idx="1182">
                  <c:v>2.6131295295109367</c:v>
                </c:pt>
                <c:pt idx="1183">
                  <c:v>2.6134355963928169</c:v>
                </c:pt>
                <c:pt idx="1184">
                  <c:v>2.6137387260557947</c:v>
                </c:pt>
                <c:pt idx="1185">
                  <c:v>2.614038958917877</c:v>
                </c:pt>
                <c:pt idx="1186">
                  <c:v>2.6143363360130554</c:v>
                </c:pt>
                <c:pt idx="1187">
                  <c:v>2.6146308989740281</c:v>
                </c:pt>
                <c:pt idx="1188">
                  <c:v>2.614922690014609</c:v>
                </c:pt>
                <c:pt idx="1189">
                  <c:v>2.615211751911843</c:v>
                </c:pt>
                <c:pt idx="1190">
                  <c:v>2.6154981279878564</c:v>
                </c:pt>
                <c:pt idx="1191">
                  <c:v>2.6157818620914335</c:v>
                </c:pt>
                <c:pt idx="1192">
                  <c:v>2.616062998579368</c:v>
                </c:pt>
                <c:pt idx="1193">
                  <c:v>2.6163415822975691</c:v>
                </c:pt>
                <c:pt idx="1194">
                  <c:v>2.6166176585619714</c:v>
                </c:pt>
                <c:pt idx="1195">
                  <c:v>2.6168912731392449</c:v>
                </c:pt>
                <c:pt idx="1196">
                  <c:v>2.6171624722273257</c:v>
                </c:pt>
                <c:pt idx="1197">
                  <c:v>2.6174313024357923</c:v>
                </c:pt>
                <c:pt idx="1198">
                  <c:v>2.6176978107660926</c:v>
                </c:pt>
                <c:pt idx="1199">
                  <c:v>2.6179620445916529</c:v>
                </c:pt>
                <c:pt idx="1200">
                  <c:v>2.6182240516378612</c:v>
                </c:pt>
                <c:pt idx="1201">
                  <c:v>2.6184838799619787</c:v>
                </c:pt>
                <c:pt idx="1202">
                  <c:v>2.6187415779329557</c:v>
                </c:pt>
                <c:pt idx="1203">
                  <c:v>2.6189971942112038</c:v>
                </c:pt>
                <c:pt idx="1204">
                  <c:v>2.6192507777283178</c:v>
                </c:pt>
                <c:pt idx="1205">
                  <c:v>2.6195023776667727</c:v>
                </c:pt>
                <c:pt idx="1206">
                  <c:v>2.6197520434396124</c:v>
                </c:pt>
                <c:pt idx="1207">
                  <c:v>2.6199998246701508</c:v>
                </c:pt>
                <c:pt idx="1208">
                  <c:v>2.6202457711716867</c:v>
                </c:pt>
                <c:pt idx="1209">
                  <c:v>2.6204899329272666</c:v>
                </c:pt>
                <c:pt idx="1210">
                  <c:v>2.6207323600695021</c:v>
                </c:pt>
                <c:pt idx="1211">
                  <c:v>2.6209731028604581</c:v>
                </c:pt>
                <c:pt idx="1212">
                  <c:v>2.6212122116716214</c:v>
                </c:pt>
                <c:pt idx="1213">
                  <c:v>2.621449736963982</c:v>
                </c:pt>
                <c:pt idx="1214">
                  <c:v>2.6216857292682278</c:v>
                </c:pt>
                <c:pt idx="1215">
                  <c:v>2.6219202391650653</c:v>
                </c:pt>
                <c:pt idx="1216">
                  <c:v>2.6221533172656937</c:v>
                </c:pt>
                <c:pt idx="1217">
                  <c:v>2.6223850141924334</c:v>
                </c:pt>
                <c:pt idx="1218">
                  <c:v>2.6226153805595294</c:v>
                </c:pt>
                <c:pt idx="1219">
                  <c:v>2.6228444669541457</c:v>
                </c:pt>
                <c:pt idx="1220">
                  <c:v>2.6230723239175555</c:v>
                </c:pt>
                <c:pt idx="1221">
                  <c:v>2.6232990019265392</c:v>
                </c:pt>
                <c:pt idx="1222">
                  <c:v>2.6235245513750161</c:v>
                </c:pt>
                <c:pt idx="1223">
                  <c:v>2.6237490225559048</c:v>
                </c:pt>
                <c:pt idx="1224">
                  <c:v>2.623972465643241</c:v>
                </c:pt>
                <c:pt idx="1225">
                  <c:v>2.6241949306745385</c:v>
                </c:pt>
                <c:pt idx="1226">
                  <c:v>2.6244164675334312</c:v>
                </c:pt>
                <c:pt idx="1227">
                  <c:v>2.6246371259325931</c:v>
                </c:pt>
                <c:pt idx="1228">
                  <c:v>2.6248569553969392</c:v>
                </c:pt>
                <c:pt idx="1229">
                  <c:v>2.6250760052471356</c:v>
                </c:pt>
                <c:pt idx="1230">
                  <c:v>2.6252943245834053</c:v>
                </c:pt>
                <c:pt idx="1231">
                  <c:v>2.6255119622696586</c:v>
                </c:pt>
                <c:pt idx="1232">
                  <c:v>2.6257289669179347</c:v>
                </c:pt>
                <c:pt idx="1233">
                  <c:v>2.6259453868731906</c:v>
                </c:pt>
                <c:pt idx="1234">
                  <c:v>2.6261612701984061</c:v>
                </c:pt>
                <c:pt idx="1235">
                  <c:v>2.626376664660051</c:v>
                </c:pt>
                <c:pt idx="1236">
                  <c:v>2.6265916177138928</c:v>
                </c:pt>
                <c:pt idx="1237">
                  <c:v>2.6268061764911543</c:v>
                </c:pt>
                <c:pt idx="1238">
                  <c:v>2.6270203877850471</c:v>
                </c:pt>
                <c:pt idx="1239">
                  <c:v>2.6272342980376542</c:v>
                </c:pt>
                <c:pt idx="1240">
                  <c:v>2.6274479533271902</c:v>
                </c:pt>
                <c:pt idx="1241">
                  <c:v>2.6276613993556319</c:v>
                </c:pt>
                <c:pt idx="1242">
                  <c:v>2.627874681436726</c:v>
                </c:pt>
                <c:pt idx="1243">
                  <c:v>2.6280878444843703</c:v>
                </c:pt>
                <c:pt idx="1244">
                  <c:v>2.6283009330013876</c:v>
                </c:pt>
                <c:pt idx="1245">
                  <c:v>2.6285139910686683</c:v>
                </c:pt>
                <c:pt idx="1246">
                  <c:v>2.6287270623347134</c:v>
                </c:pt>
                <c:pt idx="1247">
                  <c:v>2.6289401900055474</c:v>
                </c:pt>
                <c:pt idx="1248">
                  <c:v>2.6291534168350315</c:v>
                </c:pt>
                <c:pt idx="1249">
                  <c:v>2.6293667851155558</c:v>
                </c:pt>
                <c:pt idx="1250">
                  <c:v>2.6295803366691199</c:v>
                </c:pt>
                <c:pt idx="1251">
                  <c:v>2.6297941128388085</c:v>
                </c:pt>
                <c:pt idx="1252">
                  <c:v>2.630008154480636</c:v>
                </c:pt>
                <c:pt idx="1253">
                  <c:v>2.6302225019557905</c:v>
                </c:pt>
                <c:pt idx="1254">
                  <c:v>2.6304371951232577</c:v>
                </c:pt>
                <c:pt idx="1255">
                  <c:v>2.6306522733328221</c:v>
                </c:pt>
                <c:pt idx="1256">
                  <c:v>2.6308677754184471</c:v>
                </c:pt>
                <c:pt idx="1257">
                  <c:v>2.6310837396920421</c:v>
                </c:pt>
                <c:pt idx="1258">
                  <c:v>2.6313002039375877</c:v>
                </c:pt>
                <c:pt idx="1259">
                  <c:v>2.6315172054056468</c:v>
                </c:pt>
                <c:pt idx="1260">
                  <c:v>2.631734780808233</c:v>
                </c:pt>
                <c:pt idx="1261">
                  <c:v>2.6319529663140444</c:v>
                </c:pt>
                <c:pt idx="1262">
                  <c:v>2.6321717975440659</c:v>
                </c:pt>
                <c:pt idx="1263">
                  <c:v>2.6323913095675122</c:v>
                </c:pt>
                <c:pt idx="1264">
                  <c:v>2.6326115368981342</c:v>
                </c:pt>
                <c:pt idx="1265">
                  <c:v>2.6328325134908721</c:v>
                </c:pt>
                <c:pt idx="1266">
                  <c:v>2.6330542727388386</c:v>
                </c:pt>
                <c:pt idx="1267">
                  <c:v>2.6332768474706532</c:v>
                </c:pt>
                <c:pt idx="1268">
                  <c:v>2.6335002699480947</c:v>
                </c:pt>
                <c:pt idx="1269">
                  <c:v>2.6337245718640996</c:v>
                </c:pt>
                <c:pt idx="1270">
                  <c:v>2.6339497843410515</c:v>
                </c:pt>
                <c:pt idx="1271">
                  <c:v>2.6341759379294127</c:v>
                </c:pt>
                <c:pt idx="1272">
                  <c:v>2.6344030626066539</c:v>
                </c:pt>
                <c:pt idx="1273">
                  <c:v>2.6346311877764785</c:v>
                </c:pt>
                <c:pt idx="1274">
                  <c:v>2.6348603422683587</c:v>
                </c:pt>
                <c:pt idx="1275">
                  <c:v>2.6350905543373533</c:v>
                </c:pt>
                <c:pt idx="1276">
                  <c:v>2.6353218516642096</c:v>
                </c:pt>
                <c:pt idx="1277">
                  <c:v>2.6355542613557446</c:v>
                </c:pt>
                <c:pt idx="1278">
                  <c:v>2.6357878099454948</c:v>
                </c:pt>
                <c:pt idx="1279">
                  <c:v>2.6360225233946362</c:v>
                </c:pt>
                <c:pt idx="1280">
                  <c:v>2.6362584270931522</c:v>
                </c:pt>
                <c:pt idx="1281">
                  <c:v>2.6364955458612607</c:v>
                </c:pt>
                <c:pt idx="1282">
                  <c:v>2.6367339039510833</c:v>
                </c:pt>
                <c:pt idx="1283">
                  <c:v>2.6369735250485471</c:v>
                </c:pt>
                <c:pt idx="1284">
                  <c:v>2.6372144322755218</c:v>
                </c:pt>
                <c:pt idx="1285">
                  <c:v>2.6374566481921775</c:v>
                </c:pt>
                <c:pt idx="1286">
                  <c:v>2.6377001947995633</c:v>
                </c:pt>
                <c:pt idx="1287">
                  <c:v>2.6379450935423874</c:v>
                </c:pt>
                <c:pt idx="1288">
                  <c:v>2.6381913653120077</c:v>
                </c:pt>
                <c:pt idx="1289">
                  <c:v>2.6384390304496139</c:v>
                </c:pt>
                <c:pt idx="1290">
                  <c:v>2.6386881087495997</c:v>
                </c:pt>
                <c:pt idx="1291">
                  <c:v>2.638938619463119</c:v>
                </c:pt>
                <c:pt idx="1292">
                  <c:v>2.6391905813018122</c:v>
                </c:pt>
                <c:pt idx="1293">
                  <c:v>2.6394440124417113</c:v>
                </c:pt>
                <c:pt idx="1294">
                  <c:v>2.6396989305272913</c:v>
                </c:pt>
                <c:pt idx="1295">
                  <c:v>2.6399553526756945</c:v>
                </c:pt>
                <c:pt idx="1296">
                  <c:v>2.6402132954810877</c:v>
                </c:pt>
                <c:pt idx="1297">
                  <c:v>2.6404727750191732</c:v>
                </c:pt>
                <c:pt idx="1298">
                  <c:v>2.6407338068518289</c:v>
                </c:pt>
                <c:pt idx="1299">
                  <c:v>2.64099640603188</c:v>
                </c:pt>
                <c:pt idx="1300">
                  <c:v>2.6412605871079959</c:v>
                </c:pt>
                <c:pt idx="1301">
                  <c:v>2.6415263641296951</c:v>
                </c:pt>
                <c:pt idx="1302">
                  <c:v>2.6417937506524729</c:v>
                </c:pt>
                <c:pt idx="1303">
                  <c:v>2.6420627597430268</c:v>
                </c:pt>
                <c:pt idx="1304">
                  <c:v>2.6423334039845767</c:v>
                </c:pt>
                <c:pt idx="1305">
                  <c:v>2.6426055027260036</c:v>
                </c:pt>
                <c:pt idx="1306">
                  <c:v>2.642878052730556</c:v>
                </c:pt>
                <c:pt idx="1307">
                  <c:v>2.6431508981620859</c:v>
                </c:pt>
                <c:pt idx="1308">
                  <c:v>2.6434240268935723</c:v>
                </c:pt>
                <c:pt idx="1309">
                  <c:v>2.6436974265616962</c:v>
                </c:pt>
                <c:pt idx="1310">
                  <c:v>2.6439710845660263</c:v>
                </c:pt>
                <c:pt idx="1311">
                  <c:v>2.6442449880683143</c:v>
                </c:pt>
                <c:pt idx="1312">
                  <c:v>2.6445191239918513</c:v>
                </c:pt>
                <c:pt idx="1313">
                  <c:v>2.6447934790209473</c:v>
                </c:pt>
                <c:pt idx="1314">
                  <c:v>2.6450680396004862</c:v>
                </c:pt>
                <c:pt idx="1315">
                  <c:v>2.6453427919355983</c:v>
                </c:pt>
                <c:pt idx="1316">
                  <c:v>2.645617721991421</c:v>
                </c:pt>
                <c:pt idx="1317">
                  <c:v>2.6458928154929748</c:v>
                </c:pt>
                <c:pt idx="1318">
                  <c:v>2.6461680579251423</c:v>
                </c:pt>
                <c:pt idx="1319">
                  <c:v>2.6464434345327623</c:v>
                </c:pt>
                <c:pt idx="1320">
                  <c:v>2.6467189303208332</c:v>
                </c:pt>
                <c:pt idx="1321">
                  <c:v>2.6469945300548408</c:v>
                </c:pt>
                <c:pt idx="1322">
                  <c:v>2.6472702182611987</c:v>
                </c:pt>
                <c:pt idx="1323">
                  <c:v>2.6475459792278131</c:v>
                </c:pt>
                <c:pt idx="1324">
                  <c:v>2.6478217970047733</c:v>
                </c:pt>
                <c:pt idx="1325">
                  <c:v>2.6480976554051745</c:v>
                </c:pt>
                <c:pt idx="1326">
                  <c:v>2.6483735380060613</c:v>
                </c:pt>
                <c:pt idx="1327">
                  <c:v>2.6486494281495117</c:v>
                </c:pt>
                <c:pt idx="1328">
                  <c:v>2.6489253089438556</c:v>
                </c:pt>
                <c:pt idx="1329">
                  <c:v>2.6492011632650301</c:v>
                </c:pt>
                <c:pt idx="1330">
                  <c:v>2.6494769737580763</c:v>
                </c:pt>
                <c:pt idx="1331">
                  <c:v>2.6497527228387772</c:v>
                </c:pt>
                <c:pt idx="1332">
                  <c:v>2.6500283926954449</c:v>
                </c:pt>
                <c:pt idx="1333">
                  <c:v>2.6503039652908513</c:v>
                </c:pt>
                <c:pt idx="1334">
                  <c:v>2.6505794223643133</c:v>
                </c:pt>
                <c:pt idx="1335">
                  <c:v>2.6508547454339251</c:v>
                </c:pt>
                <c:pt idx="1336">
                  <c:v>2.6511299157989456</c:v>
                </c:pt>
                <c:pt idx="1337">
                  <c:v>2.6514049145423457</c:v>
                </c:pt>
                <c:pt idx="1338">
                  <c:v>2.6516797225335078</c:v>
                </c:pt>
                <c:pt idx="1339">
                  <c:v>2.6519543204310909</c:v>
                </c:pt>
                <c:pt idx="1340">
                  <c:v>2.65222868868605</c:v>
                </c:pt>
                <c:pt idx="1341">
                  <c:v>2.6525028075448231</c:v>
                </c:pt>
                <c:pt idx="1342">
                  <c:v>2.6527766570526854</c:v>
                </c:pt>
                <c:pt idx="1343">
                  <c:v>2.6530502170572574</c:v>
                </c:pt>
                <c:pt idx="1344">
                  <c:v>2.6533234672121964</c:v>
                </c:pt>
                <c:pt idx="1345">
                  <c:v>2.6535963869810364</c:v>
                </c:pt>
                <c:pt idx="1346">
                  <c:v>2.6538689556412174</c:v>
                </c:pt>
                <c:pt idx="1347">
                  <c:v>2.654141152288267</c:v>
                </c:pt>
                <c:pt idx="1348">
                  <c:v>2.6544129558401632</c:v>
                </c:pt>
                <c:pt idx="1349">
                  <c:v>2.6546843450418613</c:v>
                </c:pt>
                <c:pt idx="1350">
                  <c:v>2.6549552984699973</c:v>
                </c:pt>
                <c:pt idx="1351">
                  <c:v>2.6552257945377589</c:v>
                </c:pt>
                <c:pt idx="1352">
                  <c:v>2.6554958114999265</c:v>
                </c:pt>
                <c:pt idx="1353">
                  <c:v>2.6557653274580941</c:v>
                </c:pt>
                <c:pt idx="1354">
                  <c:v>2.6560343203660475</c:v>
                </c:pt>
                <c:pt idx="1355">
                  <c:v>2.6563027680353248</c:v>
                </c:pt>
                <c:pt idx="1356">
                  <c:v>2.6565706481409466</c:v>
                </c:pt>
                <c:pt idx="1357">
                  <c:v>2.6568379382273002</c:v>
                </c:pt>
                <c:pt idx="1358">
                  <c:v>2.6571046157142106</c:v>
                </c:pt>
                <c:pt idx="1359">
                  <c:v>2.6573706579031704</c:v>
                </c:pt>
                <c:pt idx="1360">
                  <c:v>2.6576360419837322</c:v>
                </c:pt>
                <c:pt idx="1361">
                  <c:v>2.6579007450400702</c:v>
                </c:pt>
                <c:pt idx="1362">
                  <c:v>2.6581647440576988</c:v>
                </c:pt>
                <c:pt idx="1363">
                  <c:v>2.6584280159303573</c:v>
                </c:pt>
                <c:pt idx="1364">
                  <c:v>2.6586905374670491</c:v>
                </c:pt>
                <c:pt idx="1365">
                  <c:v>2.6589522853992316</c:v>
                </c:pt>
                <c:pt idx="1366">
                  <c:v>2.659213236388172</c:v>
                </c:pt>
                <c:pt idx="1367">
                  <c:v>2.6594733670324406</c:v>
                </c:pt>
                <c:pt idx="1368">
                  <c:v>2.659732653875555</c:v>
                </c:pt>
                <c:pt idx="1369">
                  <c:v>2.6599910734137744</c:v>
                </c:pt>
                <c:pt idx="1370">
                  <c:v>2.6602486021040233</c:v>
                </c:pt>
                <c:pt idx="1371">
                  <c:v>2.6605052163719622</c:v>
                </c:pt>
                <c:pt idx="1372">
                  <c:v>2.6607608926201878</c:v>
                </c:pt>
                <c:pt idx="1373">
                  <c:v>2.6610156072365583</c:v>
                </c:pt>
                <c:pt idx="1374">
                  <c:v>2.6612693366026487</c:v>
                </c:pt>
                <c:pt idx="1375">
                  <c:v>2.661522057102323</c:v>
                </c:pt>
                <c:pt idx="1376">
                  <c:v>2.6617737451304277</c:v>
                </c:pt>
                <c:pt idx="1377">
                  <c:v>2.6620243771015875</c:v>
                </c:pt>
                <c:pt idx="1378">
                  <c:v>2.6622739294591096</c:v>
                </c:pt>
                <c:pt idx="1379">
                  <c:v>2.6625223786839949</c:v>
                </c:pt>
                <c:pt idx="1380">
                  <c:v>2.6627697013040343</c:v>
                </c:pt>
                <c:pt idx="1381">
                  <c:v>2.6630158739029999</c:v>
                </c:pt>
                <c:pt idx="1382">
                  <c:v>2.6632608731299188</c:v>
                </c:pt>
                <c:pt idx="1383">
                  <c:v>2.6635046757084209</c:v>
                </c:pt>
                <c:pt idx="1384">
                  <c:v>2.6637472584461652</c:v>
                </c:pt>
                <c:pt idx="1385">
                  <c:v>2.663988598244321</c:v>
                </c:pt>
                <c:pt idx="1386">
                  <c:v>2.6642286721071153</c:v>
                </c:pt>
                <c:pt idx="1387">
                  <c:v>2.6644674571514262</c:v>
                </c:pt>
                <c:pt idx="1388">
                  <c:v>2.6647049306164243</c:v>
                </c:pt>
                <c:pt idx="1389">
                  <c:v>2.6649410698732483</c:v>
                </c:pt>
                <c:pt idx="1390">
                  <c:v>2.665175852434718</c:v>
                </c:pt>
                <c:pt idx="1391">
                  <c:v>2.6654092559650571</c:v>
                </c:pt>
                <c:pt idx="1392">
                  <c:v>2.6656412582896447</c:v>
                </c:pt>
                <c:pt idx="1393">
                  <c:v>2.6658718374047674</c:v>
                </c:pt>
                <c:pt idx="1394">
                  <c:v>2.6661009714873742</c:v>
                </c:pt>
                <c:pt idx="1395">
                  <c:v>2.6663286389048215</c:v>
                </c:pt>
                <c:pt idx="1396">
                  <c:v>2.6665548182246068</c:v>
                </c:pt>
                <c:pt idx="1397">
                  <c:v>2.6667794882240772</c:v>
                </c:pt>
                <c:pt idx="1398">
                  <c:v>2.6670026279000991</c:v>
                </c:pt>
                <c:pt idx="1399">
                  <c:v>2.6672242164787052</c:v>
                </c:pt>
                <c:pt idx="1400">
                  <c:v>2.6674442334246771</c:v>
                </c:pt>
                <c:pt idx="1401">
                  <c:v>2.6676626584510776</c:v>
                </c:pt>
                <c:pt idx="1402">
                  <c:v>2.6678794715287291</c:v>
                </c:pt>
                <c:pt idx="1403">
                  <c:v>2.668094652895598</c:v>
                </c:pt>
                <c:pt idx="1404">
                  <c:v>2.6683081830661215</c:v>
                </c:pt>
                <c:pt idx="1405">
                  <c:v>2.6685200428404308</c:v>
                </c:pt>
                <c:pt idx="1406">
                  <c:v>2.6687302133134807</c:v>
                </c:pt>
                <c:pt idx="1407">
                  <c:v>2.6689386758840805</c:v>
                </c:pt>
                <c:pt idx="1408">
                  <c:v>2.6691454122637972</c:v>
                </c:pt>
                <c:pt idx="1409">
                  <c:v>2.6693504044857526</c:v>
                </c:pt>
                <c:pt idx="1410">
                  <c:v>2.6695536349132811</c:v>
                </c:pt>
                <c:pt idx="1411">
                  <c:v>2.6697550862484509</c:v>
                </c:pt>
                <c:pt idx="1412">
                  <c:v>2.6699547415404443</c:v>
                </c:pt>
                <c:pt idx="1413">
                  <c:v>2.6701525841937812</c:v>
                </c:pt>
                <c:pt idx="1414">
                  <c:v>2.6703485979763752</c:v>
                </c:pt>
                <c:pt idx="1415">
                  <c:v>2.6705427670274351</c:v>
                </c:pt>
                <c:pt idx="1416">
                  <c:v>2.6707350758651782</c:v>
                </c:pt>
                <c:pt idx="1417">
                  <c:v>2.6709255093943636</c:v>
                </c:pt>
                <c:pt idx="1418">
                  <c:v>2.6711140529136346</c:v>
                </c:pt>
                <c:pt idx="1419">
                  <c:v>2.6713006921226676</c:v>
                </c:pt>
                <c:pt idx="1420">
                  <c:v>2.6714854131291053</c:v>
                </c:pt>
                <c:pt idx="1421">
                  <c:v>2.671668202455292</c:v>
                </c:pt>
                <c:pt idx="1422">
                  <c:v>2.67184904704478</c:v>
                </c:pt>
                <c:pt idx="1423">
                  <c:v>2.6720279342686206</c:v>
                </c:pt>
                <c:pt idx="1424">
                  <c:v>2.6722048519314159</c:v>
                </c:pt>
                <c:pt idx="1425">
                  <c:v>2.6723797882771443</c:v>
                </c:pt>
                <c:pt idx="1426">
                  <c:v>2.6725527319947351</c:v>
                </c:pt>
                <c:pt idx="1427">
                  <c:v>2.6727236722234062</c:v>
                </c:pt>
                <c:pt idx="1428">
                  <c:v>2.6728925985577399</c:v>
                </c:pt>
                <c:pt idx="1429">
                  <c:v>2.67305950105251</c:v>
                </c:pt>
                <c:pt idx="1430">
                  <c:v>2.6732243702272371</c:v>
                </c:pt>
                <c:pt idx="1431">
                  <c:v>2.6733871970704985</c:v>
                </c:pt>
                <c:pt idx="1432">
                  <c:v>2.6735479730439415</c:v>
                </c:pt>
                <c:pt idx="1433">
                  <c:v>2.6737066900860431</c:v>
                </c:pt>
                <c:pt idx="1434">
                  <c:v>2.6738633406155894</c:v>
                </c:pt>
                <c:pt idx="1435">
                  <c:v>2.674017917534866</c:v>
                </c:pt>
                <c:pt idx="1436">
                  <c:v>2.6741704142325786</c:v>
                </c:pt>
                <c:pt idx="1437">
                  <c:v>2.6743208245864794</c:v>
                </c:pt>
                <c:pt idx="1438">
                  <c:v>2.674469142965707</c:v>
                </c:pt>
                <c:pt idx="1439">
                  <c:v>2.6746153642328414</c:v>
                </c:pt>
                <c:pt idx="1440">
                  <c:v>2.6747594837456665</c:v>
                </c:pt>
                <c:pt idx="1441">
                  <c:v>2.6749014973586354</c:v>
                </c:pt>
                <c:pt idx="1442">
                  <c:v>2.6750414014240529</c:v>
                </c:pt>
                <c:pt idx="1443">
                  <c:v>2.6751791927929496</c:v>
                </c:pt>
                <c:pt idx="1444">
                  <c:v>2.6753148688156814</c:v>
                </c:pt>
                <c:pt idx="1445">
                  <c:v>2.6754484273422166</c:v>
                </c:pt>
                <c:pt idx="1446">
                  <c:v>2.6755798667221411</c:v>
                </c:pt>
                <c:pt idx="1447">
                  <c:v>2.6757091858043669</c:v>
                </c:pt>
                <c:pt idx="1448">
                  <c:v>2.67583638393655</c:v>
                </c:pt>
                <c:pt idx="1449">
                  <c:v>2.6759614609642135</c:v>
                </c:pt>
                <c:pt idx="1450">
                  <c:v>2.6760844172295917</c:v>
                </c:pt>
                <c:pt idx="1451">
                  <c:v>2.6762052535701737</c:v>
                </c:pt>
                <c:pt idx="1452">
                  <c:v>2.6763239713169775</c:v>
                </c:pt>
                <c:pt idx="1453">
                  <c:v>2.676440572292528</c:v>
                </c:pt>
                <c:pt idx="1454">
                  <c:v>2.6765550588085647</c:v>
                </c:pt>
                <c:pt idx="1455">
                  <c:v>2.6766674336634719</c:v>
                </c:pt>
                <c:pt idx="1456">
                  <c:v>2.6767777001394331</c:v>
                </c:pt>
                <c:pt idx="1457">
                  <c:v>2.6768858619993199</c:v>
                </c:pt>
                <c:pt idx="1458">
                  <c:v>2.6769919234833108</c:v>
                </c:pt>
                <c:pt idx="1459">
                  <c:v>2.6770958893052579</c:v>
                </c:pt>
                <c:pt idx="1460">
                  <c:v>2.677197764648787</c:v>
                </c:pt>
                <c:pt idx="1461">
                  <c:v>2.677297555163157</c:v>
                </c:pt>
                <c:pt idx="1462">
                  <c:v>2.6773952669588619</c:v>
                </c:pt>
                <c:pt idx="1463">
                  <c:v>2.6774909066029977</c:v>
                </c:pt>
                <c:pt idx="1464">
                  <c:v>2.6775844811143923</c:v>
                </c:pt>
                <c:pt idx="1465">
                  <c:v>2.6776759979585072</c:v>
                </c:pt>
                <c:pt idx="1466">
                  <c:v>2.6777654650421066</c:v>
                </c:pt>
                <c:pt idx="1467">
                  <c:v>2.6778528907077197</c:v>
                </c:pt>
                <c:pt idx="1468">
                  <c:v>2.67793828372788</c:v>
                </c:pt>
                <c:pt idx="1469">
                  <c:v>2.6780216532991661</c:v>
                </c:pt>
                <c:pt idx="1470">
                  <c:v>2.6781030090360374</c:v>
                </c:pt>
                <c:pt idx="1471">
                  <c:v>2.6781823609644837</c:v>
                </c:pt>
                <c:pt idx="1472">
                  <c:v>2.6782597195154803</c:v>
                </c:pt>
                <c:pt idx="1473">
                  <c:v>2.6783350955182721</c:v>
                </c:pt>
                <c:pt idx="1474">
                  <c:v>2.6784085001934845</c:v>
                </c:pt>
                <c:pt idx="1475">
                  <c:v>2.678479945146059</c:v>
                </c:pt>
                <c:pt idx="1476">
                  <c:v>2.6785494423580531</c:v>
                </c:pt>
                <c:pt idx="1477">
                  <c:v>2.6786170041812656</c:v>
                </c:pt>
                <c:pt idx="1478">
                  <c:v>2.6786826433297333</c:v>
                </c:pt>
                <c:pt idx="1479">
                  <c:v>2.6787463728720944</c:v>
                </c:pt>
                <c:pt idx="1480">
                  <c:v>2.678808206223815</c:v>
                </c:pt>
                <c:pt idx="1481">
                  <c:v>2.6788681571392989</c:v>
                </c:pt>
                <c:pt idx="1482">
                  <c:v>2.6789262397038915</c:v>
                </c:pt>
                <c:pt idx="1483">
                  <c:v>2.6789824683257679</c:v>
                </c:pt>
                <c:pt idx="1484">
                  <c:v>2.6790368577277301</c:v>
                </c:pt>
                <c:pt idx="1485">
                  <c:v>2.6790894229389166</c:v>
                </c:pt>
                <c:pt idx="1486">
                  <c:v>2.6791401792864233</c:v>
                </c:pt>
                <c:pt idx="1487">
                  <c:v>2.679189142386853</c:v>
                </c:pt>
                <c:pt idx="1488">
                  <c:v>2.6792363281378022</c:v>
                </c:pt>
                <c:pt idx="1489">
                  <c:v>2.6792817527092789</c:v>
                </c:pt>
                <c:pt idx="1490">
                  <c:v>2.6793254325350824</c:v>
                </c:pt>
                <c:pt idx="1491">
                  <c:v>2.6793673843041197</c:v>
                </c:pt>
                <c:pt idx="1492">
                  <c:v>2.6794076249517036</c:v>
                </c:pt>
                <c:pt idx="1493">
                  <c:v>2.6794461716508091</c:v>
                </c:pt>
                <c:pt idx="1494">
                  <c:v>2.6794830418033082</c:v>
                </c:pt>
                <c:pt idx="1495">
                  <c:v>2.6795182530311963</c:v>
                </c:pt>
                <c:pt idx="1496">
                  <c:v>2.6795518231677984</c:v>
                </c:pt>
                <c:pt idx="1497">
                  <c:v>2.6795837702489842</c:v>
                </c:pt>
                <c:pt idx="1498">
                  <c:v>2.6796141125043764</c:v>
                </c:pt>
                <c:pt idx="1499">
                  <c:v>2.6796428683485858</c:v>
                </c:pt>
                <c:pt idx="1500">
                  <c:v>2.679670056372446</c:v>
                </c:pt>
                <c:pt idx="1501">
                  <c:v>2.679695695334293</c:v>
                </c:pt>
                <c:pt idx="1502">
                  <c:v>2.6797198041512535</c:v>
                </c:pt>
                <c:pt idx="1503">
                  <c:v>2.6797424018905809</c:v>
                </c:pt>
                <c:pt idx="1504">
                  <c:v>2.6797635077610433</c:v>
                </c:pt>
                <c:pt idx="1505">
                  <c:v>2.6797831411043385</c:v>
                </c:pt>
                <c:pt idx="1506">
                  <c:v>2.6798013213865772</c:v>
                </c:pt>
                <c:pt idx="1507">
                  <c:v>2.6798180681898236</c:v>
                </c:pt>
                <c:pt idx="1508">
                  <c:v>2.6798334012036968</c:v>
                </c:pt>
                <c:pt idx="1509">
                  <c:v>2.6798473402170453</c:v>
                </c:pt>
                <c:pt idx="1510">
                  <c:v>2.6798599051096921</c:v>
                </c:pt>
                <c:pt idx="1511">
                  <c:v>2.6798711158442634</c:v>
                </c:pt>
                <c:pt idx="1512">
                  <c:v>2.6798809924581017</c:v>
                </c:pt>
                <c:pt idx="1513">
                  <c:v>2.6798895550552606</c:v>
                </c:pt>
                <c:pt idx="1514">
                  <c:v>2.6798968237985976</c:v>
                </c:pt>
                <c:pt idx="1515">
                  <c:v>2.6799028189019656</c:v>
                </c:pt>
                <c:pt idx="1516">
                  <c:v>2.6799075606224978</c:v>
                </c:pt>
                <c:pt idx="1517">
                  <c:v>2.6799110692530026</c:v>
                </c:pt>
                <c:pt idx="1518">
                  <c:v>2.679913365114464</c:v>
                </c:pt>
                <c:pt idx="1519">
                  <c:v>2.6799144685486529</c:v>
                </c:pt>
                <c:pt idx="1520">
                  <c:v>2.6799143999108539</c:v>
                </c:pt>
                <c:pt idx="1521">
                  <c:v>2.6799131795627074</c:v>
                </c:pt>
                <c:pt idx="1522">
                  <c:v>2.679910827865172</c:v>
                </c:pt>
                <c:pt idx="1523">
                  <c:v>2.6799073651716117</c:v>
                </c:pt>
                <c:pt idx="1524">
                  <c:v>2.6799028118210035</c:v>
                </c:pt>
                <c:pt idx="1525">
                  <c:v>2.6798971881312776</c:v>
                </c:pt>
                <c:pt idx="1526">
                  <c:v>2.679890514392786</c:v>
                </c:pt>
                <c:pt idx="1527">
                  <c:v>2.6798828108618928</c:v>
                </c:pt>
                <c:pt idx="1528">
                  <c:v>2.6798740977547166</c:v>
                </c:pt>
                <c:pt idx="1529">
                  <c:v>2.6798643952409855</c:v>
                </c:pt>
                <c:pt idx="1530">
                  <c:v>2.6798537234380437</c:v>
                </c:pt>
                <c:pt idx="1531">
                  <c:v>2.6798421024049945</c:v>
                </c:pt>
                <c:pt idx="1532">
                  <c:v>2.6798295521369671</c:v>
                </c:pt>
                <c:pt idx="1533">
                  <c:v>2.6798160925595433</c:v>
                </c:pt>
                <c:pt idx="1534">
                  <c:v>2.6798017435233095</c:v>
                </c:pt>
                <c:pt idx="1535">
                  <c:v>2.6797865247985504</c:v>
                </c:pt>
                <c:pt idx="1536">
                  <c:v>2.6797704560700937</c:v>
                </c:pt>
                <c:pt idx="1537">
                  <c:v>2.679753556932289</c:v>
                </c:pt>
                <c:pt idx="1538">
                  <c:v>2.679735846884125</c:v>
                </c:pt>
                <c:pt idx="1539">
                  <c:v>2.6797173453244985</c:v>
                </c:pt>
                <c:pt idx="1540">
                  <c:v>2.6796980715476142</c:v>
                </c:pt>
                <c:pt idx="1541">
                  <c:v>2.6796780447385387</c:v>
                </c:pt>
                <c:pt idx="1542">
                  <c:v>2.679657283968881</c:v>
                </c:pt>
                <c:pt idx="1543">
                  <c:v>2.6796358081926299</c:v>
                </c:pt>
                <c:pt idx="1544">
                  <c:v>2.6796136362421157</c:v>
                </c:pt>
                <c:pt idx="1545">
                  <c:v>2.6795907868241264</c:v>
                </c:pt>
                <c:pt idx="1546">
                  <c:v>2.6795672785161506</c:v>
                </c:pt>
                <c:pt idx="1547">
                  <c:v>2.679543129762771</c:v>
                </c:pt>
                <c:pt idx="1548">
                  <c:v>2.6795183588721794</c:v>
                </c:pt>
                <c:pt idx="1549">
                  <c:v>2.6794929840128452</c:v>
                </c:pt>
                <c:pt idx="1550">
                  <c:v>2.6794670232103037</c:v>
                </c:pt>
                <c:pt idx="1551">
                  <c:v>2.6794404943440928</c:v>
                </c:pt>
                <c:pt idx="1552">
                  <c:v>2.679413415144805</c:v>
                </c:pt>
                <c:pt idx="1553">
                  <c:v>2.6793858031912903</c:v>
                </c:pt>
                <c:pt idx="1554">
                  <c:v>2.6793576759079687</c:v>
                </c:pt>
                <c:pt idx="1555">
                  <c:v>2.6793290505622904</c:v>
                </c:pt>
                <c:pt idx="1556">
                  <c:v>2.6792999442623069</c:v>
                </c:pt>
                <c:pt idx="1557">
                  <c:v>2.6792703739543731</c:v>
                </c:pt>
                <c:pt idx="1558">
                  <c:v>2.6792403564209799</c:v>
                </c:pt>
                <c:pt idx="1559">
                  <c:v>2.6792099082786924</c:v>
                </c:pt>
                <c:pt idx="1560">
                  <c:v>2.679179045976221</c:v>
                </c:pt>
                <c:pt idx="1561">
                  <c:v>2.6791477857926087</c:v>
                </c:pt>
                <c:pt idx="1562">
                  <c:v>2.6791161438355289</c:v>
                </c:pt>
                <c:pt idx="1563">
                  <c:v>2.6790841360396977</c:v>
                </c:pt>
                <c:pt idx="1564">
                  <c:v>2.679051778165408</c:v>
                </c:pt>
                <c:pt idx="1565">
                  <c:v>2.6790190857971568</c:v>
                </c:pt>
                <c:pt idx="1566">
                  <c:v>2.6789859267493248</c:v>
                </c:pt>
                <c:pt idx="1567">
                  <c:v>2.678951786592545</c:v>
                </c:pt>
                <c:pt idx="1568">
                  <c:v>2.6789166163832419</c:v>
                </c:pt>
                <c:pt idx="1569">
                  <c:v>2.678880412342787</c:v>
                </c:pt>
                <c:pt idx="1570">
                  <c:v>2.6788431707095981</c:v>
                </c:pt>
                <c:pt idx="1571">
                  <c:v>2.6788048877395747</c:v>
                </c:pt>
                <c:pt idx="1572">
                  <c:v>2.6787655597065498</c:v>
                </c:pt>
                <c:pt idx="1573">
                  <c:v>2.678725182902737</c:v>
                </c:pt>
                <c:pt idx="1574">
                  <c:v>2.6786837536391794</c:v>
                </c:pt>
                <c:pt idx="1575">
                  <c:v>2.6786412682462095</c:v>
                </c:pt>
                <c:pt idx="1576">
                  <c:v>2.6785977230739011</c:v>
                </c:pt>
                <c:pt idx="1577">
                  <c:v>2.6785531144925359</c:v>
                </c:pt>
                <c:pt idx="1578">
                  <c:v>2.6785074388930608</c:v>
                </c:pt>
                <c:pt idx="1579">
                  <c:v>2.6784606926875609</c:v>
                </c:pt>
                <c:pt idx="1580">
                  <c:v>2.678412872309726</c:v>
                </c:pt>
                <c:pt idx="1581">
                  <c:v>2.67836397421532</c:v>
                </c:pt>
                <c:pt idx="1582">
                  <c:v>2.6783139948826618</c:v>
                </c:pt>
                <c:pt idx="1583">
                  <c:v>2.6782629308130992</c:v>
                </c:pt>
                <c:pt idx="1584">
                  <c:v>2.6782107785314917</c:v>
                </c:pt>
                <c:pt idx="1585">
                  <c:v>2.6781575345866897</c:v>
                </c:pt>
                <c:pt idx="1586">
                  <c:v>2.6781031955520271</c:v>
                </c:pt>
                <c:pt idx="1587">
                  <c:v>2.6780477580258033</c:v>
                </c:pt>
                <c:pt idx="1588">
                  <c:v>2.6779912186317798</c:v>
                </c:pt>
                <c:pt idx="1589">
                  <c:v>2.6779335740196681</c:v>
                </c:pt>
                <c:pt idx="1590">
                  <c:v>2.6778748208656298</c:v>
                </c:pt>
                <c:pt idx="1591">
                  <c:v>2.6778149558727753</c:v>
                </c:pt>
                <c:pt idx="1592">
                  <c:v>2.6777539757716617</c:v>
                </c:pt>
                <c:pt idx="1593">
                  <c:v>2.6776918773207963</c:v>
                </c:pt>
                <c:pt idx="1594">
                  <c:v>2.6776286573071455</c:v>
                </c:pt>
                <c:pt idx="1595">
                  <c:v>2.6775643125466377</c:v>
                </c:pt>
                <c:pt idx="1596">
                  <c:v>2.677498839884676</c:v>
                </c:pt>
                <c:pt idx="1597">
                  <c:v>2.6774322361966485</c:v>
                </c:pt>
                <c:pt idx="1598">
                  <c:v>2.6773644983884441</c:v>
                </c:pt>
                <c:pt idx="1599">
                  <c:v>2.6772956233969638</c:v>
                </c:pt>
                <c:pt idx="1600">
                  <c:v>2.6772256081906449</c:v>
                </c:pt>
                <c:pt idx="1601">
                  <c:v>2.6771544497699757</c:v>
                </c:pt>
                <c:pt idx="1602">
                  <c:v>2.6770821451680167</c:v>
                </c:pt>
                <c:pt idx="1603">
                  <c:v>2.6770086914509279</c:v>
                </c:pt>
                <c:pt idx="1604">
                  <c:v>2.6769340857184867</c:v>
                </c:pt>
                <c:pt idx="1605">
                  <c:v>2.6768583251046243</c:v>
                </c:pt>
                <c:pt idx="1606">
                  <c:v>2.6767814067779407</c:v>
                </c:pt>
                <c:pt idx="1607">
                  <c:v>2.6767033279422465</c:v>
                </c:pt>
                <c:pt idx="1608">
                  <c:v>2.6766240858370831</c:v>
                </c:pt>
                <c:pt idx="1609">
                  <c:v>2.6765436777382621</c:v>
                </c:pt>
                <c:pt idx="1610">
                  <c:v>2.6764621009583967</c:v>
                </c:pt>
                <c:pt idx="1611">
                  <c:v>2.6763793528474324</c:v>
                </c:pt>
                <c:pt idx="1612">
                  <c:v>2.6762954307931883</c:v>
                </c:pt>
                <c:pt idx="1613">
                  <c:v>2.676210332221888</c:v>
                </c:pt>
                <c:pt idx="1614">
                  <c:v>2.6761240545987008</c:v>
                </c:pt>
                <c:pt idx="1615">
                  <c:v>2.6760365954282808</c:v>
                </c:pt>
                <c:pt idx="1616">
                  <c:v>2.6759479522552994</c:v>
                </c:pt>
                <c:pt idx="1617">
                  <c:v>2.675858122664994</c:v>
                </c:pt>
                <c:pt idx="1618">
                  <c:v>2.675767104283703</c:v>
                </c:pt>
                <c:pt idx="1619">
                  <c:v>2.6756748947794065</c:v>
                </c:pt>
                <c:pt idx="1620">
                  <c:v>2.6755814918622711</c:v>
                </c:pt>
                <c:pt idx="1621">
                  <c:v>2.6754868932851865</c:v>
                </c:pt>
                <c:pt idx="1622">
                  <c:v>2.6753910968443146</c:v>
                </c:pt>
                <c:pt idx="1623">
                  <c:v>2.6752941003796233</c:v>
                </c:pt>
                <c:pt idx="1624">
                  <c:v>2.6751959017754356</c:v>
                </c:pt>
                <c:pt idx="1625">
                  <c:v>2.675096498960968</c:v>
                </c:pt>
                <c:pt idx="1626">
                  <c:v>2.6749958899108752</c:v>
                </c:pt>
                <c:pt idx="1627">
                  <c:v>2.6748940726457886</c:v>
                </c:pt>
                <c:pt idx="1628">
                  <c:v>2.67479104523286</c:v>
                </c:pt>
                <c:pt idx="1629">
                  <c:v>2.6746868057863051</c:v>
                </c:pt>
                <c:pt idx="1630">
                  <c:v>2.6745813524679427</c:v>
                </c:pt>
                <c:pt idx="1631">
                  <c:v>2.6744746834877291</c:v>
                </c:pt>
                <c:pt idx="1632">
                  <c:v>2.6743667971043066</c:v>
                </c:pt>
                <c:pt idx="1633">
                  <c:v>2.6742576916255376</c:v>
                </c:pt>
                <c:pt idx="1634">
                  <c:v>2.6741473654090435</c:v>
                </c:pt>
                <c:pt idx="1635">
                  <c:v>2.6740358168627409</c:v>
                </c:pt>
                <c:pt idx="1636">
                  <c:v>2.673923044445377</c:v>
                </c:pt>
                <c:pt idx="1637">
                  <c:v>2.6738090466670648</c:v>
                </c:pt>
                <c:pt idx="1638">
                  <c:v>2.6736938220898172</c:v>
                </c:pt>
                <c:pt idx="1639">
                  <c:v>2.6735773693280782</c:v>
                </c:pt>
                <c:pt idx="1640">
                  <c:v>2.6734596870492511</c:v>
                </c:pt>
                <c:pt idx="1641">
                  <c:v>2.6733407739742301</c:v>
                </c:pt>
                <c:pt idx="1642">
                  <c:v>2.6732206288779259</c:v>
                </c:pt>
                <c:pt idx="1643">
                  <c:v>2.6730992505897904</c:v>
                </c:pt>
                <c:pt idx="1644">
                  <c:v>2.6729766379943403</c:v>
                </c:pt>
                <c:pt idx="1645">
                  <c:v>2.6728527900316781</c:v>
                </c:pt>
                <c:pt idx="1646">
                  <c:v>2.6727277056980112</c:v>
                </c:pt>
                <c:pt idx="1647">
                  <c:v>2.6726013840461658</c:v>
                </c:pt>
                <c:pt idx="1648">
                  <c:v>2.6724738241861048</c:v>
                </c:pt>
                <c:pt idx="1649">
                  <c:v>2.6723450252854368</c:v>
                </c:pt>
                <c:pt idx="1650">
                  <c:v>2.6722149865699252</c:v>
                </c:pt>
                <c:pt idx="1651">
                  <c:v>2.6720837073239943</c:v>
                </c:pt>
                <c:pt idx="1652">
                  <c:v>2.6719511868912327</c:v>
                </c:pt>
                <c:pt idx="1653">
                  <c:v>2.6718174246748925</c:v>
                </c:pt>
                <c:pt idx="1654">
                  <c:v>2.6716824201383869</c:v>
                </c:pt>
                <c:pt idx="1655">
                  <c:v>2.6715461728057828</c:v>
                </c:pt>
                <c:pt idx="1656">
                  <c:v>2.6714086822622942</c:v>
                </c:pt>
                <c:pt idx="1657">
                  <c:v>2.6712699481547628</c:v>
                </c:pt>
                <c:pt idx="1658">
                  <c:v>2.671129970192148</c:v>
                </c:pt>
                <c:pt idx="1659">
                  <c:v>2.6709887481459993</c:v>
                </c:pt>
                <c:pt idx="1660">
                  <c:v>2.6708462818509391</c:v>
                </c:pt>
                <c:pt idx="1661">
                  <c:v>2.6707025712051244</c:v>
                </c:pt>
                <c:pt idx="1662">
                  <c:v>2.6705576161707247</c:v>
                </c:pt>
                <c:pt idx="1663">
                  <c:v>2.6704114167743773</c:v>
                </c:pt>
                <c:pt idx="1664">
                  <c:v>2.6702639731076472</c:v>
                </c:pt>
                <c:pt idx="1665">
                  <c:v>2.6701152853274825</c:v>
                </c:pt>
                <c:pt idx="1666">
                  <c:v>2.6699653536566652</c:v>
                </c:pt>
                <c:pt idx="1667">
                  <c:v>2.6698141783842497</c:v>
                </c:pt>
                <c:pt idx="1668">
                  <c:v>2.6696617598660088</c:v>
                </c:pt>
                <c:pt idx="1669">
                  <c:v>2.6695080985248638</c:v>
                </c:pt>
                <c:pt idx="1670">
                  <c:v>2.6693531948513174</c:v>
                </c:pt>
                <c:pt idx="1671">
                  <c:v>2.669197049403873</c:v>
                </c:pt>
                <c:pt idx="1672">
                  <c:v>2.669039662809459</c:v>
                </c:pt>
                <c:pt idx="1673">
                  <c:v>2.668881035763838</c:v>
                </c:pt>
                <c:pt idx="1674">
                  <c:v>2.6687211690320116</c:v>
                </c:pt>
                <c:pt idx="1675">
                  <c:v>2.6685600634486288</c:v>
                </c:pt>
                <c:pt idx="1676">
                  <c:v>2.6683977199183784</c:v>
                </c:pt>
                <c:pt idx="1677">
                  <c:v>2.6682341394163758</c:v>
                </c:pt>
                <c:pt idx="1678">
                  <c:v>2.6680693229885457</c:v>
                </c:pt>
                <c:pt idx="1679">
                  <c:v>2.6679032717520093</c:v>
                </c:pt>
                <c:pt idx="1680">
                  <c:v>2.6677359868954378</c:v>
                </c:pt>
                <c:pt idx="1681">
                  <c:v>2.6675674696794323</c:v>
                </c:pt>
                <c:pt idx="1682">
                  <c:v>2.6673977214368709</c:v>
                </c:pt>
                <c:pt idx="1683">
                  <c:v>2.6672267435732597</c:v>
                </c:pt>
                <c:pt idx="1684">
                  <c:v>2.6670545375670818</c:v>
                </c:pt>
                <c:pt idx="1685">
                  <c:v>2.66688110497013</c:v>
                </c:pt>
                <c:pt idx="1686">
                  <c:v>2.6667064474078295</c:v>
                </c:pt>
                <c:pt idx="1687">
                  <c:v>2.6665305665795707</c:v>
                </c:pt>
                <c:pt idx="1688">
                  <c:v>2.6663534642590161</c:v>
                </c:pt>
                <c:pt idx="1689">
                  <c:v>2.6661751422944082</c:v>
                </c:pt>
                <c:pt idx="1690">
                  <c:v>2.6659956026088656</c:v>
                </c:pt>
                <c:pt idx="1691">
                  <c:v>2.66581484720068</c:v>
                </c:pt>
                <c:pt idx="1692">
                  <c:v>2.6656328781435925</c:v>
                </c:pt>
                <c:pt idx="1693">
                  <c:v>2.6654496975870718</c:v>
                </c:pt>
                <c:pt idx="1694">
                  <c:v>2.6652653077565782</c:v>
                </c:pt>
                <c:pt idx="1695">
                  <c:v>2.665079710953826</c:v>
                </c:pt>
                <c:pt idx="1696">
                  <c:v>2.6648929095570266</c:v>
                </c:pt>
                <c:pt idx="1697">
                  <c:v>2.6647049060211336</c:v>
                </c:pt>
                <c:pt idx="1698">
                  <c:v>2.6645157028780782</c:v>
                </c:pt>
                <c:pt idx="1699">
                  <c:v>2.6643253027369811</c:v>
                </c:pt>
                <c:pt idx="1700">
                  <c:v>2.6641337082843823</c:v>
                </c:pt>
                <c:pt idx="1701">
                  <c:v>2.6639409222844335</c:v>
                </c:pt>
                <c:pt idx="1702">
                  <c:v>2.663746947579102</c:v>
                </c:pt>
                <c:pt idx="1703">
                  <c:v>2.6635517870883558</c:v>
                </c:pt>
                <c:pt idx="1704">
                  <c:v>2.6633554438103371</c:v>
                </c:pt>
                <c:pt idx="1705">
                  <c:v>2.6631579208215386</c:v>
                </c:pt>
                <c:pt idx="1706">
                  <c:v>2.6629592212769522</c:v>
                </c:pt>
                <c:pt idx="1707">
                  <c:v>2.6627593484102272</c:v>
                </c:pt>
                <c:pt idx="1708">
                  <c:v>2.6625583055338011</c:v>
                </c:pt>
                <c:pt idx="1709">
                  <c:v>2.6623560960390322</c:v>
                </c:pt>
                <c:pt idx="1710">
                  <c:v>2.6621527233963209</c:v>
                </c:pt>
                <c:pt idx="1711">
                  <c:v>2.661948191155215</c:v>
                </c:pt>
                <c:pt idx="1712">
                  <c:v>2.6617425029445068</c:v>
                </c:pt>
                <c:pt idx="1713">
                  <c:v>2.6615356624723279</c:v>
                </c:pt>
                <c:pt idx="1714">
                  <c:v>2.6613276735262184</c:v>
                </c:pt>
                <c:pt idx="1715">
                  <c:v>2.6611185399732027</c:v>
                </c:pt>
                <c:pt idx="1716">
                  <c:v>2.6609082657598395</c:v>
                </c:pt>
                <c:pt idx="1717">
                  <c:v>2.6606968549122709</c:v>
                </c:pt>
                <c:pt idx="1718">
                  <c:v>2.6604843115362611</c:v>
                </c:pt>
                <c:pt idx="1719">
                  <c:v>2.6602706398172109</c:v>
                </c:pt>
                <c:pt idx="1720">
                  <c:v>2.6600558440201834</c:v>
                </c:pt>
                <c:pt idx="1721">
                  <c:v>2.659839928489895</c:v>
                </c:pt>
                <c:pt idx="1722">
                  <c:v>2.659622897650717</c:v>
                </c:pt>
                <c:pt idx="1723">
                  <c:v>2.6594047560066469</c:v>
                </c:pt>
                <c:pt idx="1724">
                  <c:v>2.6591855081412845</c:v>
                </c:pt>
                <c:pt idx="1725">
                  <c:v>2.6589651587177858</c:v>
                </c:pt>
                <c:pt idx="1726">
                  <c:v>2.6587437124788078</c:v>
                </c:pt>
                <c:pt idx="1727">
                  <c:v>2.658521174246447</c:v>
                </c:pt>
                <c:pt idx="1728">
                  <c:v>2.6582975489221625</c:v>
                </c:pt>
                <c:pt idx="1729">
                  <c:v>2.6580728414866832</c:v>
                </c:pt>
                <c:pt idx="1730">
                  <c:v>2.6578470569999122</c:v>
                </c:pt>
                <c:pt idx="1731">
                  <c:v>2.6576202006008143</c:v>
                </c:pt>
                <c:pt idx="1732">
                  <c:v>2.6573922775072907</c:v>
                </c:pt>
                <c:pt idx="1733">
                  <c:v>2.657163293016048</c:v>
                </c:pt>
                <c:pt idx="1734">
                  <c:v>2.6569332525024469</c:v>
                </c:pt>
                <c:pt idx="1735">
                  <c:v>2.6567021614203439</c:v>
                </c:pt>
                <c:pt idx="1736">
                  <c:v>2.6564700253019229</c:v>
                </c:pt>
                <c:pt idx="1737">
                  <c:v>2.6562368497575108</c:v>
                </c:pt>
                <c:pt idx="1738">
                  <c:v>2.6560026404753825</c:v>
                </c:pt>
                <c:pt idx="1739">
                  <c:v>2.6557674032215561</c:v>
                </c:pt>
                <c:pt idx="1740">
                  <c:v>2.6555311438395695</c:v>
                </c:pt>
                <c:pt idx="1741">
                  <c:v>2.6552938682502543</c:v>
                </c:pt>
                <c:pt idx="1742">
                  <c:v>2.6550555824514914</c:v>
                </c:pt>
                <c:pt idx="1743">
                  <c:v>2.6548162925179537</c:v>
                </c:pt>
                <c:pt idx="1744">
                  <c:v>2.6545760046008393</c:v>
                </c:pt>
                <c:pt idx="1745">
                  <c:v>2.6543347249275957</c:v>
                </c:pt>
                <c:pt idx="1746">
                  <c:v>2.654092459801622</c:v>
                </c:pt>
                <c:pt idx="1747">
                  <c:v>2.6538492156019706</c:v>
                </c:pt>
                <c:pt idx="1748">
                  <c:v>2.6536049987830257</c:v>
                </c:pt>
                <c:pt idx="1749">
                  <c:v>2.6533598158741802</c:v>
                </c:pt>
                <c:pt idx="1750">
                  <c:v>2.6531136734794907</c:v>
                </c:pt>
                <c:pt idx="1751">
                  <c:v>2.6528665782773286</c:v>
                </c:pt>
                <c:pt idx="1752">
                  <c:v>2.6526185370200102</c:v>
                </c:pt>
                <c:pt idx="1753">
                  <c:v>2.6523695565334271</c:v>
                </c:pt>
                <c:pt idx="1754">
                  <c:v>2.6521196437166492</c:v>
                </c:pt>
                <c:pt idx="1755">
                  <c:v>2.6518688055415254</c:v>
                </c:pt>
                <c:pt idx="1756">
                  <c:v>2.6516170490522746</c:v>
                </c:pt>
                <c:pt idx="1757">
                  <c:v>2.6513643813650556</c:v>
                </c:pt>
                <c:pt idx="1758">
                  <c:v>2.6511108096675273</c:v>
                </c:pt>
                <c:pt idx="1759">
                  <c:v>2.6508563412184043</c:v>
                </c:pt>
                <c:pt idx="1760">
                  <c:v>2.6506009833469939</c:v>
                </c:pt>
                <c:pt idx="1761">
                  <c:v>2.6503447434527185</c:v>
                </c:pt>
                <c:pt idx="1762">
                  <c:v>2.6500876290046347</c:v>
                </c:pt>
                <c:pt idx="1763">
                  <c:v>2.6498296475409315</c:v>
                </c:pt>
                <c:pt idx="1764">
                  <c:v>2.6495708066684247</c:v>
                </c:pt>
                <c:pt idx="1765">
                  <c:v>2.6493111140620322</c:v>
                </c:pt>
                <c:pt idx="1766">
                  <c:v>2.6490505774642434</c:v>
                </c:pt>
                <c:pt idx="1767">
                  <c:v>2.6487892046845749</c:v>
                </c:pt>
                <c:pt idx="1768">
                  <c:v>2.6485270035990114</c:v>
                </c:pt>
                <c:pt idx="1769">
                  <c:v>2.6482639821494409</c:v>
                </c:pt>
                <c:pt idx="1770">
                  <c:v>2.6480001483430726</c:v>
                </c:pt>
                <c:pt idx="1771">
                  <c:v>2.6477355102518501</c:v>
                </c:pt>
                <c:pt idx="1772">
                  <c:v>2.6474700760118446</c:v>
                </c:pt>
                <c:pt idx="1773">
                  <c:v>2.647203853822647</c:v>
                </c:pt>
                <c:pt idx="1774">
                  <c:v>2.6469368519467373</c:v>
                </c:pt>
                <c:pt idx="1775">
                  <c:v>2.6466690787088547</c:v>
                </c:pt>
                <c:pt idx="1776">
                  <c:v>2.6464005424953476</c:v>
                </c:pt>
                <c:pt idx="1777">
                  <c:v>2.6461312517535176</c:v>
                </c:pt>
                <c:pt idx="1778">
                  <c:v>2.6458612149909491</c:v>
                </c:pt>
                <c:pt idx="1779">
                  <c:v>2.6455904407748352</c:v>
                </c:pt>
                <c:pt idx="1780">
                  <c:v>2.645318937731282</c:v>
                </c:pt>
                <c:pt idx="1781">
                  <c:v>2.6450467145446135</c:v>
                </c:pt>
                <c:pt idx="1782">
                  <c:v>2.6447737799566577</c:v>
                </c:pt>
                <c:pt idx="1783">
                  <c:v>2.6445001427660277</c:v>
                </c:pt>
                <c:pt idx="1784">
                  <c:v>2.6442258118273894</c:v>
                </c:pt>
                <c:pt idx="1785">
                  <c:v>2.643950796050722</c:v>
                </c:pt>
                <c:pt idx="1786">
                  <c:v>2.6436751044005677</c:v>
                </c:pt>
                <c:pt idx="1787">
                  <c:v>2.6433987458952681</c:v>
                </c:pt>
                <c:pt idx="1788">
                  <c:v>2.6431217296061948</c:v>
                </c:pt>
                <c:pt idx="1789">
                  <c:v>2.6428440646569711</c:v>
                </c:pt>
                <c:pt idx="1790">
                  <c:v>2.6425657602226815</c:v>
                </c:pt>
                <c:pt idx="1791">
                  <c:v>2.6422868255290717</c:v>
                </c:pt>
                <c:pt idx="1792">
                  <c:v>2.6420072698517441</c:v>
                </c:pt>
                <c:pt idx="1793">
                  <c:v>2.6417271025153366</c:v>
                </c:pt>
                <c:pt idx="1794">
                  <c:v>2.6414463328927016</c:v>
                </c:pt>
                <c:pt idx="1795">
                  <c:v>2.6411649704040689</c:v>
                </c:pt>
                <c:pt idx="1796">
                  <c:v>2.6408830245162029</c:v>
                </c:pt>
                <c:pt idx="1797">
                  <c:v>2.6406005047415508</c:v>
                </c:pt>
                <c:pt idx="1798">
                  <c:v>2.6403174206373849</c:v>
                </c:pt>
                <c:pt idx="1799">
                  <c:v>2.6400337818049358</c:v>
                </c:pt>
                <c:pt idx="1800">
                  <c:v>2.6397495978885122</c:v>
                </c:pt>
                <c:pt idx="1801">
                  <c:v>2.6394648785746209</c:v>
                </c:pt>
                <c:pt idx="1802">
                  <c:v>2.6391796335910787</c:v>
                </c:pt>
                <c:pt idx="1803">
                  <c:v>2.6388938727061051</c:v>
                </c:pt>
                <c:pt idx="1804">
                  <c:v>2.6386076057274268</c:v>
                </c:pt>
                <c:pt idx="1805">
                  <c:v>2.6383208425013605</c:v>
                </c:pt>
                <c:pt idx="1806">
                  <c:v>2.6380335929118921</c:v>
                </c:pt>
                <c:pt idx="1807">
                  <c:v>2.6377458668797518</c:v>
                </c:pt>
                <c:pt idx="1808">
                  <c:v>2.6374576743614826</c:v>
                </c:pt>
                <c:pt idx="1809">
                  <c:v>2.6371690253484994</c:v>
                </c:pt>
                <c:pt idx="1810">
                  <c:v>2.6368799298661436</c:v>
                </c:pt>
                <c:pt idx="1811">
                  <c:v>2.6365903979727321</c:v>
                </c:pt>
                <c:pt idx="1812">
                  <c:v>2.6363004397585992</c:v>
                </c:pt>
                <c:pt idx="1813">
                  <c:v>2.6360100653451388</c:v>
                </c:pt>
                <c:pt idx="1814">
                  <c:v>2.6357192848838267</c:v>
                </c:pt>
                <c:pt idx="1815">
                  <c:v>2.6354281085552591</c:v>
                </c:pt>
                <c:pt idx="1816">
                  <c:v>2.6351365465681615</c:v>
                </c:pt>
                <c:pt idx="1817">
                  <c:v>2.6348446091584159</c:v>
                </c:pt>
                <c:pt idx="1818">
                  <c:v>2.6345523065880667</c:v>
                </c:pt>
                <c:pt idx="1819">
                  <c:v>2.6342596491443317</c:v>
                </c:pt>
                <c:pt idx="1820">
                  <c:v>2.6339666471386005</c:v>
                </c:pt>
                <c:pt idx="1821">
                  <c:v>2.6336733109054435</c:v>
                </c:pt>
                <c:pt idx="1822">
                  <c:v>2.6333796508015963</c:v>
                </c:pt>
                <c:pt idx="1823">
                  <c:v>2.6330856772049573</c:v>
                </c:pt>
                <c:pt idx="1824">
                  <c:v>2.6327914005135788</c:v>
                </c:pt>
                <c:pt idx="1825">
                  <c:v>2.6324968311446448</c:v>
                </c:pt>
                <c:pt idx="1826">
                  <c:v>2.632201979533459</c:v>
                </c:pt>
                <c:pt idx="1827">
                  <c:v>2.6319068561324248</c:v>
                </c:pt>
                <c:pt idx="1828">
                  <c:v>2.6316114714100167</c:v>
                </c:pt>
                <c:pt idx="1829">
                  <c:v>2.6313158358497604</c:v>
                </c:pt>
                <c:pt idx="1830">
                  <c:v>2.6310199599492026</c:v>
                </c:pt>
                <c:pt idx="1831">
                  <c:v>2.6307238542188802</c:v>
                </c:pt>
                <c:pt idx="1832">
                  <c:v>2.6304275291812931</c:v>
                </c:pt>
                <c:pt idx="1833">
                  <c:v>2.6301309953698659</c:v>
                </c:pt>
                <c:pt idx="1834">
                  <c:v>2.6298342633279188</c:v>
                </c:pt>
                <c:pt idx="1835">
                  <c:v>2.6295373436076286</c:v>
                </c:pt>
                <c:pt idx="1836">
                  <c:v>2.6292402467689939</c:v>
                </c:pt>
                <c:pt idx="1837">
                  <c:v>2.6289429833787974</c:v>
                </c:pt>
                <c:pt idx="1838">
                  <c:v>2.6286455640095716</c:v>
                </c:pt>
                <c:pt idx="1839">
                  <c:v>2.6283479992385579</c:v>
                </c:pt>
                <c:pt idx="1840">
                  <c:v>2.6280502996466693</c:v>
                </c:pt>
                <c:pt idx="1841">
                  <c:v>2.6277524758174526</c:v>
                </c:pt>
                <c:pt idx="1842">
                  <c:v>2.6274545383360572</c:v>
                </c:pt>
                <c:pt idx="1843">
                  <c:v>2.6271564977881865</c:v>
                </c:pt>
                <c:pt idx="1844">
                  <c:v>2.6268583647590771</c:v>
                </c:pt>
                <c:pt idx="1845">
                  <c:v>2.6265601498324513</c:v>
                </c:pt>
                <c:pt idx="1846">
                  <c:v>2.6262618635894905</c:v>
                </c:pt>
                <c:pt idx="1847">
                  <c:v>2.6259635166078037</c:v>
                </c:pt>
                <c:pt idx="1848">
                  <c:v>2.6256651194603937</c:v>
                </c:pt>
                <c:pt idx="1849">
                  <c:v>2.6253666827146303</c:v>
                </c:pt>
                <c:pt idx="1850">
                  <c:v>2.6250682169312238</c:v>
                </c:pt>
                <c:pt idx="1851">
                  <c:v>2.6247697326632036</c:v>
                </c:pt>
                <c:pt idx="1852">
                  <c:v>2.62447124045489</c:v>
                </c:pt>
                <c:pt idx="1853">
                  <c:v>2.6241727508408852</c:v>
                </c:pt>
                <c:pt idx="1854">
                  <c:v>2.6238742743450465</c:v>
                </c:pt>
                <c:pt idx="1855">
                  <c:v>2.6235758214794811</c:v>
                </c:pt>
                <c:pt idx="1856">
                  <c:v>2.6232774027435353</c:v>
                </c:pt>
                <c:pt idx="1857">
                  <c:v>2.6229790286227832</c:v>
                </c:pt>
                <c:pt idx="1858">
                  <c:v>2.6226807095880336</c:v>
                </c:pt>
                <c:pt idx="1859">
                  <c:v>2.6223824560943214</c:v>
                </c:pt>
                <c:pt idx="1860">
                  <c:v>2.6220842785799232</c:v>
                </c:pt>
                <c:pt idx="1861">
                  <c:v>2.6217861874653572</c:v>
                </c:pt>
                <c:pt idx="1862">
                  <c:v>2.6214881931524077</c:v>
                </c:pt>
                <c:pt idx="1863">
                  <c:v>2.6211903060231352</c:v>
                </c:pt>
                <c:pt idx="1864">
                  <c:v>2.6208925364389066</c:v>
                </c:pt>
                <c:pt idx="1865">
                  <c:v>2.6205948947394218</c:v>
                </c:pt>
                <c:pt idx="1866">
                  <c:v>2.6202973912417464</c:v>
                </c:pt>
                <c:pt idx="1867">
                  <c:v>2.6200000362393565</c:v>
                </c:pt>
                <c:pt idx="1868">
                  <c:v>2.619702840001179</c:v>
                </c:pt>
                <c:pt idx="1869">
                  <c:v>2.6194058127706432</c:v>
                </c:pt>
                <c:pt idx="1870">
                  <c:v>2.6191089647647403</c:v>
                </c:pt>
                <c:pt idx="1871">
                  <c:v>2.6188123061730848</c:v>
                </c:pt>
                <c:pt idx="1872">
                  <c:v>2.6185158471569858</c:v>
                </c:pt>
                <c:pt idx="1873">
                  <c:v>2.6182195978485221</c:v>
                </c:pt>
                <c:pt idx="1874">
                  <c:v>2.6179235683496196</c:v>
                </c:pt>
                <c:pt idx="1875">
                  <c:v>2.6176277687311522</c:v>
                </c:pt>
                <c:pt idx="1876">
                  <c:v>2.6173322090320279</c:v>
                </c:pt>
                <c:pt idx="1877">
                  <c:v>2.6170368992582946</c:v>
                </c:pt>
                <c:pt idx="1878">
                  <c:v>2.6167418493822572</c:v>
                </c:pt>
                <c:pt idx="1879">
                  <c:v>2.6164470693415884</c:v>
                </c:pt>
                <c:pt idx="1880">
                  <c:v>2.6161525690384546</c:v>
                </c:pt>
                <c:pt idx="1881">
                  <c:v>2.6158583583386581</c:v>
                </c:pt>
                <c:pt idx="1882">
                  <c:v>2.6155644470707693</c:v>
                </c:pt>
                <c:pt idx="1883">
                  <c:v>2.6152708450252811</c:v>
                </c:pt>
                <c:pt idx="1884">
                  <c:v>2.6149775619537641</c:v>
                </c:pt>
                <c:pt idx="1885">
                  <c:v>2.6146846075680372</c:v>
                </c:pt>
                <c:pt idx="1886">
                  <c:v>2.6143919915393372</c:v>
                </c:pt>
                <c:pt idx="1887">
                  <c:v>2.614099723497505</c:v>
                </c:pt>
                <c:pt idx="1888">
                  <c:v>2.6138078130301774</c:v>
                </c:pt>
                <c:pt idx="1889">
                  <c:v>2.6135162696819858</c:v>
                </c:pt>
                <c:pt idx="1890">
                  <c:v>2.6132251029537716</c:v>
                </c:pt>
                <c:pt idx="1891">
                  <c:v>2.612934322301796</c:v>
                </c:pt>
                <c:pt idx="1892">
                  <c:v>2.6126439371369781</c:v>
                </c:pt>
                <c:pt idx="1893">
                  <c:v>2.6123539568241236</c:v>
                </c:pt>
                <c:pt idx="1894">
                  <c:v>2.6120643906811813</c:v>
                </c:pt>
                <c:pt idx="1895">
                  <c:v>2.6117752479784904</c:v>
                </c:pt>
                <c:pt idx="1896">
                  <c:v>2.6114865379380516</c:v>
                </c:pt>
                <c:pt idx="1897">
                  <c:v>2.6111982697328049</c:v>
                </c:pt>
                <c:pt idx="1898">
                  <c:v>2.6109104524859106</c:v>
                </c:pt>
                <c:pt idx="1899">
                  <c:v>2.6106230952700478</c:v>
                </c:pt>
                <c:pt idx="1900">
                  <c:v>2.6103362071067213</c:v>
                </c:pt>
                <c:pt idx="1901">
                  <c:v>2.6100497969655772</c:v>
                </c:pt>
                <c:pt idx="1902">
                  <c:v>2.6097638737637281</c:v>
                </c:pt>
                <c:pt idx="1903">
                  <c:v>2.6094784463650904</c:v>
                </c:pt>
                <c:pt idx="1904">
                  <c:v>2.6091935235797319</c:v>
                </c:pt>
                <c:pt idx="1905">
                  <c:v>2.6089091141632301</c:v>
                </c:pt>
                <c:pt idx="1906">
                  <c:v>2.6086252268160401</c:v>
                </c:pt>
                <c:pt idx="1907">
                  <c:v>2.6083418701828718</c:v>
                </c:pt>
                <c:pt idx="1908">
                  <c:v>2.6080590528520808</c:v>
                </c:pt>
                <c:pt idx="1909">
                  <c:v>2.6077767833550705</c:v>
                </c:pt>
                <c:pt idx="1910">
                  <c:v>2.6074950701656996</c:v>
                </c:pt>
                <c:pt idx="1911">
                  <c:v>2.607213921699707</c:v>
                </c:pt>
                <c:pt idx="1912">
                  <c:v>2.6069333463141446</c:v>
                </c:pt>
                <c:pt idx="1913">
                  <c:v>2.6066533523068216</c:v>
                </c:pt>
                <c:pt idx="1914">
                  <c:v>2.6063739479157584</c:v>
                </c:pt>
                <c:pt idx="1915">
                  <c:v>2.6060951413186513</c:v>
                </c:pt>
                <c:pt idx="1916">
                  <c:v>2.605816940632355</c:v>
                </c:pt>
                <c:pt idx="1917">
                  <c:v>2.6055393539123686</c:v>
                </c:pt>
                <c:pt idx="1918">
                  <c:v>2.6052623891523301</c:v>
                </c:pt>
                <c:pt idx="1919">
                  <c:v>2.604986054283541</c:v>
                </c:pt>
                <c:pt idx="1920">
                  <c:v>2.6047103571744712</c:v>
                </c:pt>
                <c:pt idx="1921">
                  <c:v>2.6044353056303065</c:v>
                </c:pt>
                <c:pt idx="1922">
                  <c:v>2.6041609073924876</c:v>
                </c:pt>
                <c:pt idx="1923">
                  <c:v>2.6038871701382669</c:v>
                </c:pt>
                <c:pt idx="1924">
                  <c:v>2.6036141014802761</c:v>
                </c:pt>
                <c:pt idx="1925">
                  <c:v>2.6033417089661075</c:v>
                </c:pt>
                <c:pt idx="1926">
                  <c:v>2.603070000077901</c:v>
                </c:pt>
                <c:pt idx="1927">
                  <c:v>2.6027989822319486</c:v>
                </c:pt>
                <c:pt idx="1928">
                  <c:v>2.6025286627783077</c:v>
                </c:pt>
                <c:pt idx="1929">
                  <c:v>2.6022590490004225</c:v>
                </c:pt>
                <c:pt idx="1930">
                  <c:v>2.6019901481147643</c:v>
                </c:pt>
                <c:pt idx="1931">
                  <c:v>2.6017219672704788</c:v>
                </c:pt>
                <c:pt idx="1932">
                  <c:v>2.6014545135490388</c:v>
                </c:pt>
                <c:pt idx="1933">
                  <c:v>2.6011877939639243</c:v>
                </c:pt>
                <c:pt idx="1934">
                  <c:v>2.6009218154602944</c:v>
                </c:pt>
                <c:pt idx="1935">
                  <c:v>2.6006565849146872</c:v>
                </c:pt>
                <c:pt idx="1936">
                  <c:v>2.6003921091347224</c:v>
                </c:pt>
                <c:pt idx="1937">
                  <c:v>2.6001283948588148</c:v>
                </c:pt>
                <c:pt idx="1938">
                  <c:v>2.5998654487559021</c:v>
                </c:pt>
                <c:pt idx="1939">
                  <c:v>2.5996032774251869</c:v>
                </c:pt>
                <c:pt idx="1940">
                  <c:v>2.5993418873958807</c:v>
                </c:pt>
                <c:pt idx="1941">
                  <c:v>2.5990812851269669</c:v>
                </c:pt>
                <c:pt idx="1942">
                  <c:v>2.598821477006974</c:v>
                </c:pt>
                <c:pt idx="1943">
                  <c:v>2.5985624693537557</c:v>
                </c:pt>
                <c:pt idx="1944">
                  <c:v>2.5983042684142874</c:v>
                </c:pt>
                <c:pt idx="1945">
                  <c:v>2.5980468803644698</c:v>
                </c:pt>
                <c:pt idx="1946">
                  <c:v>2.5977903113089487</c:v>
                </c:pt>
                <c:pt idx="1947">
                  <c:v>2.5975345672809342</c:v>
                </c:pt>
                <c:pt idx="1948">
                  <c:v>2.5972796542420475</c:v>
                </c:pt>
                <c:pt idx="1949">
                  <c:v>2.5970255780821629</c:v>
                </c:pt>
                <c:pt idx="1950">
                  <c:v>2.5967723446192728</c:v>
                </c:pt>
                <c:pt idx="1951">
                  <c:v>2.596519959599354</c:v>
                </c:pt>
                <c:pt idx="1952">
                  <c:v>2.5962684286962507</c:v>
                </c:pt>
                <c:pt idx="1953">
                  <c:v>2.5960177575115662</c:v>
                </c:pt>
                <c:pt idx="1954">
                  <c:v>2.5957679515745653</c:v>
                </c:pt>
                <c:pt idx="1955">
                  <c:v>2.5955190163420863</c:v>
                </c:pt>
                <c:pt idx="1956">
                  <c:v>2.5952709571984629</c:v>
                </c:pt>
                <c:pt idx="1957">
                  <c:v>2.5950237794554631</c:v>
                </c:pt>
                <c:pt idx="1958">
                  <c:v>2.5947774883522268</c:v>
                </c:pt>
                <c:pt idx="1959">
                  <c:v>2.5945320890552233</c:v>
                </c:pt>
                <c:pt idx="1960">
                  <c:v>2.5942875866582127</c:v>
                </c:pt>
                <c:pt idx="1961">
                  <c:v>2.5940439861822258</c:v>
                </c:pt>
                <c:pt idx="1962">
                  <c:v>2.5938012925755416</c:v>
                </c:pt>
                <c:pt idx="1963">
                  <c:v>2.5935595107136864</c:v>
                </c:pt>
                <c:pt idx="1964">
                  <c:v>2.5933186453994352</c:v>
                </c:pt>
                <c:pt idx="1965">
                  <c:v>2.5930787013628263</c:v>
                </c:pt>
                <c:pt idx="1966">
                  <c:v>2.5928396832611851</c:v>
                </c:pt>
                <c:pt idx="1967">
                  <c:v>2.592601595679155</c:v>
                </c:pt>
                <c:pt idx="1968">
                  <c:v>2.592364443128742</c:v>
                </c:pt>
                <c:pt idx="1969">
                  <c:v>2.5921282300493678</c:v>
                </c:pt>
                <c:pt idx="1970">
                  <c:v>2.5918929608079257</c:v>
                </c:pt>
                <c:pt idx="1971">
                  <c:v>2.5916586396988568</c:v>
                </c:pt>
                <c:pt idx="1972">
                  <c:v>2.5914252709442258</c:v>
                </c:pt>
                <c:pt idx="1973">
                  <c:v>2.5911928586938107</c:v>
                </c:pt>
                <c:pt idx="1974">
                  <c:v>2.5909614070251989</c:v>
                </c:pt>
                <c:pt idx="1975">
                  <c:v>2.5907309199438946</c:v>
                </c:pt>
                <c:pt idx="1976">
                  <c:v>2.5905014013834338</c:v>
                </c:pt>
                <c:pt idx="1977">
                  <c:v>2.5902728552055079</c:v>
                </c:pt>
                <c:pt idx="1978">
                  <c:v>2.5900452852000933</c:v>
                </c:pt>
                <c:pt idx="1979">
                  <c:v>2.5898186950855964</c:v>
                </c:pt>
                <c:pt idx="1980">
                  <c:v>2.5895930885089968</c:v>
                </c:pt>
                <c:pt idx="1981">
                  <c:v>2.589368469046009</c:v>
                </c:pt>
                <c:pt idx="1982">
                  <c:v>2.5891448402012451</c:v>
                </c:pt>
                <c:pt idx="1983">
                  <c:v>2.5889222054083878</c:v>
                </c:pt>
                <c:pt idx="1984">
                  <c:v>2.588700568030371</c:v>
                </c:pt>
                <c:pt idx="1985">
                  <c:v>2.5884799313595699</c:v>
                </c:pt>
                <c:pt idx="1986">
                  <c:v>2.5882602986179983</c:v>
                </c:pt>
                <c:pt idx="1987">
                  <c:v>2.5880416729575089</c:v>
                </c:pt>
                <c:pt idx="1988">
                  <c:v>2.5878240574600069</c:v>
                </c:pt>
                <c:pt idx="1989">
                  <c:v>2.5876074551376687</c:v>
                </c:pt>
                <c:pt idx="1990">
                  <c:v>2.5873918689331679</c:v>
                </c:pt>
                <c:pt idx="1991">
                  <c:v>2.5871773017199073</c:v>
                </c:pt>
                <c:pt idx="1992">
                  <c:v>2.5869637563022621</c:v>
                </c:pt>
                <c:pt idx="1993">
                  <c:v>2.5867512354158211</c:v>
                </c:pt>
                <c:pt idx="1994">
                  <c:v>2.5865397417276457</c:v>
                </c:pt>
                <c:pt idx="1995">
                  <c:v>2.586329277836529</c:v>
                </c:pt>
                <c:pt idx="1996">
                  <c:v>2.58611984627326</c:v>
                </c:pt>
                <c:pt idx="1997">
                  <c:v>2.5859114495009012</c:v>
                </c:pt>
                <c:pt idx="1998">
                  <c:v>2.5857040899150663</c:v>
                </c:pt>
                <c:pt idx="1999">
                  <c:v>2.5854977698442059</c:v>
                </c:pt>
                <c:pt idx="2000">
                  <c:v>2.5852924915498985</c:v>
                </c:pt>
                <c:pt idx="2001">
                  <c:v>2.5850882572271505</c:v>
                </c:pt>
                <c:pt idx="2002">
                  <c:v>2.5848850690047005</c:v>
                </c:pt>
                <c:pt idx="2003">
                  <c:v>2.5846829289453273</c:v>
                </c:pt>
                <c:pt idx="2004">
                  <c:v>2.5844818390461635</c:v>
                </c:pt>
                <c:pt idx="2005">
                  <c:v>2.5842818012390216</c:v>
                </c:pt>
                <c:pt idx="2006">
                  <c:v>2.5840828173907169</c:v>
                </c:pt>
                <c:pt idx="2007">
                  <c:v>2.5838848893033957</c:v>
                </c:pt>
                <c:pt idx="2008">
                  <c:v>2.5836880187148785</c:v>
                </c:pt>
                <c:pt idx="2009">
                  <c:v>2.5834922072989994</c:v>
                </c:pt>
                <c:pt idx="2010">
                  <c:v>2.5832974566659495</c:v>
                </c:pt>
                <c:pt idx="2011">
                  <c:v>2.583103768362633</c:v>
                </c:pt>
                <c:pt idx="2012">
                  <c:v>2.5829111438730199</c:v>
                </c:pt>
                <c:pt idx="2013">
                  <c:v>2.5827195846185109</c:v>
                </c:pt>
                <c:pt idx="2014">
                  <c:v>2.5825290919582971</c:v>
                </c:pt>
                <c:pt idx="2015">
                  <c:v>2.5823396671897347</c:v>
                </c:pt>
                <c:pt idx="2016">
                  <c:v>2.5821513115487189</c:v>
                </c:pt>
                <c:pt idx="2017">
                  <c:v>2.5819640262100578</c:v>
                </c:pt>
                <c:pt idx="2018">
                  <c:v>2.5817778122878585</c:v>
                </c:pt>
                <c:pt idx="2019">
                  <c:v>2.5815926708359127</c:v>
                </c:pt>
                <c:pt idx="2020">
                  <c:v>2.5814086028480858</c:v>
                </c:pt>
                <c:pt idx="2021">
                  <c:v>2.5812256092587091</c:v>
                </c:pt>
                <c:pt idx="2022">
                  <c:v>2.5810436909429835</c:v>
                </c:pt>
                <c:pt idx="2023">
                  <c:v>2.5808628487173704</c:v>
                </c:pt>
                <c:pt idx="2024">
                  <c:v>2.5806830833400047</c:v>
                </c:pt>
                <c:pt idx="2025">
                  <c:v>2.5805043955110989</c:v>
                </c:pt>
                <c:pt idx="2026">
                  <c:v>2.5803267858733534</c:v>
                </c:pt>
                <c:pt idx="2027">
                  <c:v>2.5801502550123696</c:v>
                </c:pt>
                <c:pt idx="2028">
                  <c:v>2.5799748034570698</c:v>
                </c:pt>
                <c:pt idx="2029">
                  <c:v>2.579800431680114</c:v>
                </c:pt>
                <c:pt idx="2030">
                  <c:v>2.5796271400983208</c:v>
                </c:pt>
                <c:pt idx="2031">
                  <c:v>2.5794549290730986</c:v>
                </c:pt>
                <c:pt idx="2032">
                  <c:v>2.5792837989108666</c:v>
                </c:pt>
                <c:pt idx="2033">
                  <c:v>2.5791137498634868</c:v>
                </c:pt>
                <c:pt idx="2034">
                  <c:v>2.5789447821286982</c:v>
                </c:pt>
                <c:pt idx="2035">
                  <c:v>2.5787768958505506</c:v>
                </c:pt>
                <c:pt idx="2036">
                  <c:v>2.5786100911198395</c:v>
                </c:pt>
                <c:pt idx="2037">
                  <c:v>2.5784443679745452</c:v>
                </c:pt>
                <c:pt idx="2038">
                  <c:v>2.5782797264002775</c:v>
                </c:pt>
                <c:pt idx="2039">
                  <c:v>2.5781161663307111</c:v>
                </c:pt>
                <c:pt idx="2040">
                  <c:v>2.5779536876480384</c:v>
                </c:pt>
                <c:pt idx="2041">
                  <c:v>2.5777922901834085</c:v>
                </c:pt>
                <c:pt idx="2042">
                  <c:v>2.577631973717379</c:v>
                </c:pt>
                <c:pt idx="2043">
                  <c:v>2.5774727379803601</c:v>
                </c:pt>
                <c:pt idx="2044">
                  <c:v>2.5773145826530732</c:v>
                </c:pt>
                <c:pt idx="2045">
                  <c:v>2.5771575073669934</c:v>
                </c:pt>
                <c:pt idx="2046">
                  <c:v>2.5770015117048093</c:v>
                </c:pt>
                <c:pt idx="2047">
                  <c:v>2.5768465952008723</c:v>
                </c:pt>
                <c:pt idx="2048">
                  <c:v>2.5766927573416569</c:v>
                </c:pt>
                <c:pt idx="2049">
                  <c:v>2.5765399975662118</c:v>
                </c:pt>
                <c:pt idx="2050">
                  <c:v>2.5763883152666165</c:v>
                </c:pt>
                <c:pt idx="2051">
                  <c:v>2.576237709788443</c:v>
                </c:pt>
                <c:pt idx="2052">
                  <c:v>2.5760881804312121</c:v>
                </c:pt>
                <c:pt idx="2053">
                  <c:v>2.5759397264488499</c:v>
                </c:pt>
                <c:pt idx="2054">
                  <c:v>2.575792347050152</c:v>
                </c:pt>
                <c:pt idx="2055">
                  <c:v>2.5756460413992364</c:v>
                </c:pt>
                <c:pt idx="2056">
                  <c:v>2.5755008086160114</c:v>
                </c:pt>
                <c:pt idx="2057">
                  <c:v>2.575356647776629</c:v>
                </c:pt>
                <c:pt idx="2058">
                  <c:v>2.575213557913953</c:v>
                </c:pt>
                <c:pt idx="2059">
                  <c:v>2.57507153801801</c:v>
                </c:pt>
                <c:pt idx="2060">
                  <c:v>2.5749305870364596</c:v>
                </c:pt>
                <c:pt idx="2061">
                  <c:v>2.5747907038750468</c:v>
                </c:pt>
                <c:pt idx="2062">
                  <c:v>2.574651887398073</c:v>
                </c:pt>
                <c:pt idx="2063">
                  <c:v>2.5745141364288431</c:v>
                </c:pt>
                <c:pt idx="2064">
                  <c:v>2.5743774497501368</c:v>
                </c:pt>
                <c:pt idx="2065">
                  <c:v>2.5742418261046622</c:v>
                </c:pt>
                <c:pt idx="2066">
                  <c:v>2.5741072641955185</c:v>
                </c:pt>
                <c:pt idx="2067">
                  <c:v>2.5739737626866539</c:v>
                </c:pt>
                <c:pt idx="2068">
                  <c:v>2.5738413202033206</c:v>
                </c:pt>
                <c:pt idx="2069">
                  <c:v>2.5737099353325381</c:v>
                </c:pt>
                <c:pt idx="2070">
                  <c:v>2.5735796066235483</c:v>
                </c:pt>
                <c:pt idx="2071">
                  <c:v>2.5734503325882701</c:v>
                </c:pt>
                <c:pt idx="2072">
                  <c:v>2.5733221117017577</c:v>
                </c:pt>
                <c:pt idx="2073">
                  <c:v>2.5731949424026506</c:v>
                </c:pt>
                <c:pt idx="2074">
                  <c:v>2.5730688230936365</c:v>
                </c:pt>
                <c:pt idx="2075">
                  <c:v>2.5729437521418927</c:v>
                </c:pt>
                <c:pt idx="2076">
                  <c:v>2.5728197278795482</c:v>
                </c:pt>
                <c:pt idx="2077">
                  <c:v>2.5726967486041272</c:v>
                </c:pt>
                <c:pt idx="2078">
                  <c:v>2.5725748125790022</c:v>
                </c:pt>
                <c:pt idx="2079">
                  <c:v>2.5724539180338417</c:v>
                </c:pt>
                <c:pt idx="2080">
                  <c:v>2.5723340631650569</c:v>
                </c:pt>
                <c:pt idx="2081">
                  <c:v>2.5722152461362477</c:v>
                </c:pt>
                <c:pt idx="2082">
                  <c:v>2.5720974650786483</c:v>
                </c:pt>
                <c:pt idx="2083">
                  <c:v>2.5719807180915675</c:v>
                </c:pt>
                <c:pt idx="2084">
                  <c:v>2.5718650032428325</c:v>
                </c:pt>
                <c:pt idx="2085">
                  <c:v>2.5717503185692299</c:v>
                </c:pt>
                <c:pt idx="2086">
                  <c:v>2.5716366620769415</c:v>
                </c:pt>
                <c:pt idx="2087">
                  <c:v>2.5715240317419803</c:v>
                </c:pt>
                <c:pt idx="2088">
                  <c:v>2.5714120960026285</c:v>
                </c:pt>
                <c:pt idx="2089">
                  <c:v>2.5713002968410787</c:v>
                </c:pt>
                <c:pt idx="2090">
                  <c:v>2.5711886271768529</c:v>
                </c:pt>
                <c:pt idx="2091">
                  <c:v>2.5710770891068488</c:v>
                </c:pt>
                <c:pt idx="2092">
                  <c:v>2.5709656847381557</c:v>
                </c:pt>
                <c:pt idx="2093">
                  <c:v>2.5708544161879976</c:v>
                </c:pt>
                <c:pt idx="2094">
                  <c:v>2.5707432855836703</c:v>
                </c:pt>
                <c:pt idx="2095">
                  <c:v>2.5706322950624796</c:v>
                </c:pt>
                <c:pt idx="2096">
                  <c:v>2.5705214467716782</c:v>
                </c:pt>
                <c:pt idx="2097">
                  <c:v>2.570410742868396</c:v>
                </c:pt>
                <c:pt idx="2098">
                  <c:v>2.5703001855195775</c:v>
                </c:pt>
                <c:pt idx="2099">
                  <c:v>2.5701897769019029</c:v>
                </c:pt>
                <c:pt idx="2100">
                  <c:v>2.5700795192017267</c:v>
                </c:pt>
                <c:pt idx="2101">
                  <c:v>2.5699694146149969</c:v>
                </c:pt>
                <c:pt idx="2102">
                  <c:v>2.5698594653471778</c:v>
                </c:pt>
                <c:pt idx="2103">
                  <c:v>2.5697496736131789</c:v>
                </c:pt>
                <c:pt idx="2104">
                  <c:v>2.5696400416372689</c:v>
                </c:pt>
                <c:pt idx="2105">
                  <c:v>2.5695305716530004</c:v>
                </c:pt>
                <c:pt idx="2106">
                  <c:v>2.569421265903117</c:v>
                </c:pt>
                <c:pt idx="2107">
                  <c:v>2.5693121266394785</c:v>
                </c:pt>
                <c:pt idx="2108">
                  <c:v>2.5692031561229642</c:v>
                </c:pt>
                <c:pt idx="2109">
                  <c:v>2.5690943566233897</c:v>
                </c:pt>
                <c:pt idx="2110">
                  <c:v>2.5689857304194104</c:v>
                </c:pt>
                <c:pt idx="2111">
                  <c:v>2.5688772797984321</c:v>
                </c:pt>
                <c:pt idx="2112">
                  <c:v>2.5687690070565106</c:v>
                </c:pt>
                <c:pt idx="2113">
                  <c:v>2.5686609144982602</c:v>
                </c:pt>
                <c:pt idx="2114">
                  <c:v>2.5685530044367444</c:v>
                </c:pt>
                <c:pt idx="2115">
                  <c:v>2.5684452791933872</c:v>
                </c:pt>
                <c:pt idx="2116">
                  <c:v>2.5683377410978547</c:v>
                </c:pt>
                <c:pt idx="2117">
                  <c:v>2.568230392487961</c:v>
                </c:pt>
                <c:pt idx="2118">
                  <c:v>2.5681232357095523</c:v>
                </c:pt>
                <c:pt idx="2119">
                  <c:v>2.5680162731163989</c:v>
                </c:pt>
                <c:pt idx="2120">
                  <c:v>2.5679095070700835</c:v>
                </c:pt>
                <c:pt idx="2121">
                  <c:v>2.567802939939889</c:v>
                </c:pt>
                <c:pt idx="2122">
                  <c:v>2.567696574102674</c:v>
                </c:pt>
                <c:pt idx="2123">
                  <c:v>2.5675904119427631</c:v>
                </c:pt>
                <c:pt idx="2124">
                  <c:v>2.5674844558518202</c:v>
                </c:pt>
                <c:pt idx="2125">
                  <c:v>2.5673787082287256</c:v>
                </c:pt>
                <c:pt idx="2126">
                  <c:v>2.5672731714794526</c:v>
                </c:pt>
                <c:pt idx="2127">
                  <c:v>2.5671678480169424</c:v>
                </c:pt>
                <c:pt idx="2128">
                  <c:v>2.5670627402609654</c:v>
                </c:pt>
                <c:pt idx="2129">
                  <c:v>2.5669578506380009</c:v>
                </c:pt>
                <c:pt idx="2130">
                  <c:v>2.5668531815810938</c:v>
                </c:pt>
                <c:pt idx="2131">
                  <c:v>2.5667487355297247</c:v>
                </c:pt>
                <c:pt idx="2132">
                  <c:v>2.5666445149296653</c:v>
                </c:pt>
                <c:pt idx="2133">
                  <c:v>2.5665405222328448</c:v>
                </c:pt>
                <c:pt idx="2134">
                  <c:v>2.5664367598972002</c:v>
                </c:pt>
                <c:pt idx="2135">
                  <c:v>2.5663332303865363</c:v>
                </c:pt>
                <c:pt idx="2136">
                  <c:v>2.5662299361703775</c:v>
                </c:pt>
                <c:pt idx="2137">
                  <c:v>2.5661268797238135</c:v>
                </c:pt>
                <c:pt idx="2138">
                  <c:v>2.5660240635273563</c:v>
                </c:pt>
                <c:pt idx="2139">
                  <c:v>2.5659214900667786</c:v>
                </c:pt>
                <c:pt idx="2140">
                  <c:v>2.5658191618329629</c:v>
                </c:pt>
                <c:pt idx="2141">
                  <c:v>2.565717081321738</c:v>
                </c:pt>
                <c:pt idx="2142">
                  <c:v>2.565615251033722</c:v>
                </c:pt>
                <c:pt idx="2143">
                  <c:v>2.5655136734741619</c:v>
                </c:pt>
                <c:pt idx="2144">
                  <c:v>2.5654123511527613</c:v>
                </c:pt>
                <c:pt idx="2145">
                  <c:v>2.5653112865835213</c:v>
                </c:pt>
                <c:pt idx="2146">
                  <c:v>2.5652104822845652</c:v>
                </c:pt>
                <c:pt idx="2147">
                  <c:v>2.5651099407779689</c:v>
                </c:pt>
                <c:pt idx="2148">
                  <c:v>2.5650096645895899</c:v>
                </c:pt>
                <c:pt idx="2149">
                  <c:v>2.5649096562488869</c:v>
                </c:pt>
                <c:pt idx="2150">
                  <c:v>2.5648099182887432</c:v>
                </c:pt>
                <c:pt idx="2151">
                  <c:v>2.5647104532452882</c:v>
                </c:pt>
                <c:pt idx="2152">
                  <c:v>2.5646112636577119</c:v>
                </c:pt>
                <c:pt idx="2153">
                  <c:v>2.5645123520680824</c:v>
                </c:pt>
                <c:pt idx="2154">
                  <c:v>2.5644137210211602</c:v>
                </c:pt>
                <c:pt idx="2155">
                  <c:v>2.5643153730642041</c:v>
                </c:pt>
                <c:pt idx="2156">
                  <c:v>2.5642173107467854</c:v>
                </c:pt>
                <c:pt idx="2157">
                  <c:v>2.5641195366205936</c:v>
                </c:pt>
                <c:pt idx="2158">
                  <c:v>2.5640220532392366</c:v>
                </c:pt>
                <c:pt idx="2159">
                  <c:v>2.5639248631580505</c:v>
                </c:pt>
                <c:pt idx="2160">
                  <c:v>2.563827968933893</c:v>
                </c:pt>
                <c:pt idx="2161">
                  <c:v>2.5637313731249463</c:v>
                </c:pt>
                <c:pt idx="2162">
                  <c:v>2.5636350782905124</c:v>
                </c:pt>
                <c:pt idx="2163">
                  <c:v>2.5635390869908039</c:v>
                </c:pt>
                <c:pt idx="2164">
                  <c:v>2.5634434017867411</c:v>
                </c:pt>
                <c:pt idx="2165">
                  <c:v>2.56334802523974</c:v>
                </c:pt>
                <c:pt idx="2166">
                  <c:v>2.5632529599114973</c:v>
                </c:pt>
                <c:pt idx="2167">
                  <c:v>2.5631582083637823</c:v>
                </c:pt>
                <c:pt idx="2168">
                  <c:v>2.5630637731582149</c:v>
                </c:pt>
                <c:pt idx="2169">
                  <c:v>2.5629696568560516</c:v>
                </c:pt>
                <c:pt idx="2170">
                  <c:v>2.5628758620179632</c:v>
                </c:pt>
                <c:pt idx="2171">
                  <c:v>2.5627823912038172</c:v>
                </c:pt>
                <c:pt idx="2172">
                  <c:v>2.5626892469724476</c:v>
                </c:pt>
                <c:pt idx="2173">
                  <c:v>2.562596431881432</c:v>
                </c:pt>
                <c:pt idx="2174">
                  <c:v>2.5625039484868686</c:v>
                </c:pt>
                <c:pt idx="2175">
                  <c:v>2.5624117993431379</c:v>
                </c:pt>
                <c:pt idx="2176">
                  <c:v>2.5623199870026769</c:v>
                </c:pt>
                <c:pt idx="2177">
                  <c:v>2.5622285140157475</c:v>
                </c:pt>
                <c:pt idx="2178">
                  <c:v>2.5621373829301981</c:v>
                </c:pt>
                <c:pt idx="2179">
                  <c:v>2.5620465962912262</c:v>
                </c:pt>
                <c:pt idx="2180">
                  <c:v>2.5619561566411444</c:v>
                </c:pt>
                <c:pt idx="2181">
                  <c:v>2.5618660665191353</c:v>
                </c:pt>
                <c:pt idx="2182">
                  <c:v>2.5617763284610136</c:v>
                </c:pt>
                <c:pt idx="2183">
                  <c:v>2.561686944998979</c:v>
                </c:pt>
                <c:pt idx="2184">
                  <c:v>2.5615979186613753</c:v>
                </c:pt>
                <c:pt idx="2185">
                  <c:v>2.5615092519724394</c:v>
                </c:pt>
                <c:pt idx="2186">
                  <c:v>2.5614209474520551</c:v>
                </c:pt>
                <c:pt idx="2187">
                  <c:v>2.5613330076155023</c:v>
                </c:pt>
                <c:pt idx="2188">
                  <c:v>2.5612454349732086</c:v>
                </c:pt>
                <c:pt idx="2189">
                  <c:v>2.5611582320304893</c:v>
                </c:pt>
                <c:pt idx="2190">
                  <c:v>2.5610714012873022</c:v>
                </c:pt>
                <c:pt idx="2191">
                  <c:v>2.5609849452379829</c:v>
                </c:pt>
                <c:pt idx="2192">
                  <c:v>2.5608988663709953</c:v>
                </c:pt>
                <c:pt idx="2193">
                  <c:v>2.5608131671686651</c:v>
                </c:pt>
                <c:pt idx="2194">
                  <c:v>2.5607278501069293</c:v>
                </c:pt>
                <c:pt idx="2195">
                  <c:v>2.5606429176550645</c:v>
                </c:pt>
                <c:pt idx="2196">
                  <c:v>2.5605583722754321</c:v>
                </c:pt>
                <c:pt idx="2197">
                  <c:v>2.5604742164232133</c:v>
                </c:pt>
                <c:pt idx="2198">
                  <c:v>2.5603904525461405</c:v>
                </c:pt>
                <c:pt idx="2199">
                  <c:v>2.5603070830842354</c:v>
                </c:pt>
                <c:pt idx="2200">
                  <c:v>2.5602241104695391</c:v>
                </c:pt>
                <c:pt idx="2201">
                  <c:v>2.5601415371258458</c:v>
                </c:pt>
                <c:pt idx="2202">
                  <c:v>2.5600593654684314</c:v>
                </c:pt>
                <c:pt idx="2203">
                  <c:v>2.5599775979037855</c:v>
                </c:pt>
                <c:pt idx="2204">
                  <c:v>2.559896236829339</c:v>
                </c:pt>
                <c:pt idx="2205">
                  <c:v>2.5598152846331921</c:v>
                </c:pt>
                <c:pt idx="2206">
                  <c:v>2.5597347436938405</c:v>
                </c:pt>
                <c:pt idx="2207">
                  <c:v>2.5596546163799037</c:v>
                </c:pt>
                <c:pt idx="2208">
                  <c:v>2.559574905049848</c:v>
                </c:pt>
                <c:pt idx="2209">
                  <c:v>2.5594956120517138</c:v>
                </c:pt>
                <c:pt idx="2210">
                  <c:v>2.5594167397228365</c:v>
                </c:pt>
                <c:pt idx="2211">
                  <c:v>2.5593382903895727</c:v>
                </c:pt>
                <c:pt idx="2212">
                  <c:v>2.5592602663670219</c:v>
                </c:pt>
                <c:pt idx="2213">
                  <c:v>2.5591826699587479</c:v>
                </c:pt>
                <c:pt idx="2214">
                  <c:v>2.5591055034565011</c:v>
                </c:pt>
                <c:pt idx="2215">
                  <c:v>2.5590287691399416</c:v>
                </c:pt>
                <c:pt idx="2216">
                  <c:v>2.5589524692763566</c:v>
                </c:pt>
                <c:pt idx="2217">
                  <c:v>2.5588766061203838</c:v>
                </c:pt>
                <c:pt idx="2218">
                  <c:v>2.5588011819137297</c:v>
                </c:pt>
                <c:pt idx="2219">
                  <c:v>2.5587261988848917</c:v>
                </c:pt>
                <c:pt idx="2220">
                  <c:v>2.5586516592488748</c:v>
                </c:pt>
                <c:pt idx="2221">
                  <c:v>2.5585775652069156</c:v>
                </c:pt>
                <c:pt idx="2222">
                  <c:v>2.5585039189461978</c:v>
                </c:pt>
                <c:pt idx="2223">
                  <c:v>2.5584307226395735</c:v>
                </c:pt>
                <c:pt idx="2224">
                  <c:v>2.5583579784452808</c:v>
                </c:pt>
                <c:pt idx="2225">
                  <c:v>2.5582856885066678</c:v>
                </c:pt>
                <c:pt idx="2226">
                  <c:v>2.5582138549519069</c:v>
                </c:pt>
                <c:pt idx="2227">
                  <c:v>2.55814247989372</c:v>
                </c:pt>
                <c:pt idx="2228">
                  <c:v>2.5580715654290938</c:v>
                </c:pt>
                <c:pt idx="2229">
                  <c:v>2.5580011136390004</c:v>
                </c:pt>
                <c:pt idx="2230">
                  <c:v>2.5579311265881239</c:v>
                </c:pt>
                <c:pt idx="2231">
                  <c:v>2.5578616063245749</c:v>
                </c:pt>
                <c:pt idx="2232">
                  <c:v>2.5577925548796148</c:v>
                </c:pt>
                <c:pt idx="2233">
                  <c:v>2.5577239742673776</c:v>
                </c:pt>
                <c:pt idx="2234">
                  <c:v>2.5576558664845925</c:v>
                </c:pt>
                <c:pt idx="2235">
                  <c:v>2.5575882335103097</c:v>
                </c:pt>
                <c:pt idx="2236">
                  <c:v>2.5575210773056161</c:v>
                </c:pt>
                <c:pt idx="2237">
                  <c:v>2.5574543998133725</c:v>
                </c:pt>
                <c:pt idx="2238">
                  <c:v>2.557388202957926</c:v>
                </c:pt>
                <c:pt idx="2239">
                  <c:v>2.5573224886448491</c:v>
                </c:pt>
                <c:pt idx="2240">
                  <c:v>2.5572572587606555</c:v>
                </c:pt>
                <c:pt idx="2241">
                  <c:v>2.5571925151725359</c:v>
                </c:pt>
                <c:pt idx="2242">
                  <c:v>2.5571282597280836</c:v>
                </c:pt>
                <c:pt idx="2243">
                  <c:v>2.5570644942550285</c:v>
                </c:pt>
                <c:pt idx="2244">
                  <c:v>2.5570012205609634</c:v>
                </c:pt>
                <c:pt idx="2245">
                  <c:v>2.5569384404330813</c:v>
                </c:pt>
                <c:pt idx="2246">
                  <c:v>2.5568761556379083</c:v>
                </c:pt>
                <c:pt idx="2247">
                  <c:v>2.5568143679210369</c:v>
                </c:pt>
                <c:pt idx="2248">
                  <c:v>2.5567530790068664</c:v>
                </c:pt>
                <c:pt idx="2249">
                  <c:v>2.5566922905983378</c:v>
                </c:pt>
                <c:pt idx="2250">
                  <c:v>2.5566320043766773</c:v>
                </c:pt>
                <c:pt idx="2251">
                  <c:v>2.5565722220011322</c:v>
                </c:pt>
                <c:pt idx="2252">
                  <c:v>2.5565129451087207</c:v>
                </c:pt>
                <c:pt idx="2253">
                  <c:v>2.5564541753139705</c:v>
                </c:pt>
                <c:pt idx="2254">
                  <c:v>2.556395914208669</c:v>
                </c:pt>
                <c:pt idx="2255">
                  <c:v>2.5563381633616107</c:v>
                </c:pt>
                <c:pt idx="2256">
                  <c:v>2.5562809243183491</c:v>
                </c:pt>
                <c:pt idx="2257">
                  <c:v>2.5562241986009435</c:v>
                </c:pt>
                <c:pt idx="2258">
                  <c:v>2.5561679877077212</c:v>
                </c:pt>
                <c:pt idx="2259">
                  <c:v>2.5561122931130265</c:v>
                </c:pt>
                <c:pt idx="2260">
                  <c:v>2.5560571162669832</c:v>
                </c:pt>
                <c:pt idx="2261">
                  <c:v>2.5560024585952559</c:v>
                </c:pt>
                <c:pt idx="2262">
                  <c:v>2.5559483214988075</c:v>
                </c:pt>
                <c:pt idx="2263">
                  <c:v>2.5558947063536719</c:v>
                </c:pt>
                <c:pt idx="2264">
                  <c:v>2.5558416145107161</c:v>
                </c:pt>
                <c:pt idx="2265">
                  <c:v>2.5557890472954123</c:v>
                </c:pt>
                <c:pt idx="2266">
                  <c:v>2.555737006007611</c:v>
                </c:pt>
                <c:pt idx="2267">
                  <c:v>2.555685491921313</c:v>
                </c:pt>
                <c:pt idx="2268">
                  <c:v>2.5556345062844512</c:v>
                </c:pt>
                <c:pt idx="2269">
                  <c:v>2.5555840503186711</c:v>
                </c:pt>
                <c:pt idx="2270">
                  <c:v>2.5555341252191064</c:v>
                </c:pt>
                <c:pt idx="2271">
                  <c:v>2.5554847321541763</c:v>
                </c:pt>
                <c:pt idx="2272">
                  <c:v>2.5554358722653654</c:v>
                </c:pt>
                <c:pt idx="2273">
                  <c:v>2.555387546667018</c:v>
                </c:pt>
                <c:pt idx="2274">
                  <c:v>2.555339756446136</c:v>
                </c:pt>
                <c:pt idx="2275">
                  <c:v>2.5552925026621716</c:v>
                </c:pt>
                <c:pt idx="2276">
                  <c:v>2.5552457863468288</c:v>
                </c:pt>
                <c:pt idx="2277">
                  <c:v>2.5551996085038731</c:v>
                </c:pt>
                <c:pt idx="2278">
                  <c:v>2.5551539701089307</c:v>
                </c:pt>
                <c:pt idx="2279">
                  <c:v>2.5551088721093032</c:v>
                </c:pt>
                <c:pt idx="2280">
                  <c:v>2.5550643154237811</c:v>
                </c:pt>
                <c:pt idx="2281">
                  <c:v>2.5550203009424566</c:v>
                </c:pt>
                <c:pt idx="2282">
                  <c:v>2.5549768295265523</c:v>
                </c:pt>
                <c:pt idx="2283">
                  <c:v>2.5549339020082362</c:v>
                </c:pt>
                <c:pt idx="2284">
                  <c:v>2.5548915191904529</c:v>
                </c:pt>
                <c:pt idx="2285">
                  <c:v>2.5548496818467563</c:v>
                </c:pt>
                <c:pt idx="2286">
                  <c:v>2.5548083907211407</c:v>
                </c:pt>
                <c:pt idx="2287">
                  <c:v>2.554767646527881</c:v>
                </c:pt>
                <c:pt idx="2288">
                  <c:v>2.554727449951371</c:v>
                </c:pt>
                <c:pt idx="2289">
                  <c:v>2.554687801645978</c:v>
                </c:pt>
                <c:pt idx="2290">
                  <c:v>2.5546487022358768</c:v>
                </c:pt>
                <c:pt idx="2291">
                  <c:v>2.5546101523149218</c:v>
                </c:pt>
                <c:pt idx="2292">
                  <c:v>2.5545721524464855</c:v>
                </c:pt>
                <c:pt idx="2293">
                  <c:v>2.5545347031633354</c:v>
                </c:pt>
                <c:pt idx="2294">
                  <c:v>2.5544978049674874</c:v>
                </c:pt>
                <c:pt idx="2295">
                  <c:v>2.5544614583300795</c:v>
                </c:pt>
                <c:pt idx="2296">
                  <c:v>2.5544256636912483</c:v>
                </c:pt>
                <c:pt idx="2297">
                  <c:v>2.5543904214599986</c:v>
                </c:pt>
                <c:pt idx="2298">
                  <c:v>2.5543557320140904</c:v>
                </c:pt>
                <c:pt idx="2299">
                  <c:v>2.5543215956999217</c:v>
                </c:pt>
                <c:pt idx="2300">
                  <c:v>2.5542880128324215</c:v>
                </c:pt>
                <c:pt idx="2301">
                  <c:v>2.5542549836949369</c:v>
                </c:pt>
                <c:pt idx="2302">
                  <c:v>2.5542225085391403</c:v>
                </c:pt>
                <c:pt idx="2303">
                  <c:v>2.5541905875849258</c:v>
                </c:pt>
                <c:pt idx="2304">
                  <c:v>2.554159221020317</c:v>
                </c:pt>
                <c:pt idx="2305">
                  <c:v>2.5541284090013812</c:v>
                </c:pt>
                <c:pt idx="2306">
                  <c:v>2.5540981516521408</c:v>
                </c:pt>
                <c:pt idx="2307">
                  <c:v>2.5540684490644976</c:v>
                </c:pt>
                <c:pt idx="2308">
                  <c:v>2.5540393012981535</c:v>
                </c:pt>
                <c:pt idx="2309">
                  <c:v>2.5540107083805439</c:v>
                </c:pt>
                <c:pt idx="2310">
                  <c:v>2.5539826703067692</c:v>
                </c:pt>
                <c:pt idx="2311">
                  <c:v>2.5539551870395325</c:v>
                </c:pt>
                <c:pt idx="2312">
                  <c:v>2.5539282585090834</c:v>
                </c:pt>
                <c:pt idx="2313">
                  <c:v>2.553901884613166</c:v>
                </c:pt>
                <c:pt idx="2314">
                  <c:v>2.5538760652169672</c:v>
                </c:pt>
                <c:pt idx="2315">
                  <c:v>2.5538508001530822</c:v>
                </c:pt>
                <c:pt idx="2316">
                  <c:v>2.5538260892214666</c:v>
                </c:pt>
                <c:pt idx="2317">
                  <c:v>2.553801932189407</c:v>
                </c:pt>
                <c:pt idx="2318">
                  <c:v>2.5537783287914908</c:v>
                </c:pt>
                <c:pt idx="2319">
                  <c:v>2.5537552787295832</c:v>
                </c:pt>
                <c:pt idx="2320">
                  <c:v>2.5537327816728066</c:v>
                </c:pt>
                <c:pt idx="2321">
                  <c:v>2.5537108372575235</c:v>
                </c:pt>
                <c:pt idx="2322">
                  <c:v>2.5536894450873318</c:v>
                </c:pt>
                <c:pt idx="2323">
                  <c:v>2.5536686047330543</c:v>
                </c:pt>
                <c:pt idx="2324">
                  <c:v>2.5536483157327403</c:v>
                </c:pt>
                <c:pt idx="2325">
                  <c:v>2.5536285775916685</c:v>
                </c:pt>
                <c:pt idx="2326">
                  <c:v>2.55360938978236</c:v>
                </c:pt>
                <c:pt idx="2327">
                  <c:v>2.5535907517445855</c:v>
                </c:pt>
                <c:pt idx="2328">
                  <c:v>2.5535726628853919</c:v>
                </c:pt>
                <c:pt idx="2329">
                  <c:v>2.5535551225791191</c:v>
                </c:pt>
                <c:pt idx="2330">
                  <c:v>2.5535381301674307</c:v>
                </c:pt>
                <c:pt idx="2331">
                  <c:v>2.5535216849593483</c:v>
                </c:pt>
                <c:pt idx="2332">
                  <c:v>2.5535057862312889</c:v>
                </c:pt>
                <c:pt idx="2333">
                  <c:v>2.5534904332271071</c:v>
                </c:pt>
                <c:pt idx="2334">
                  <c:v>2.5534756251581445</c:v>
                </c:pt>
                <c:pt idx="2335">
                  <c:v>2.553461361203277</c:v>
                </c:pt>
                <c:pt idx="2336">
                  <c:v>2.5534476405089803</c:v>
                </c:pt>
                <c:pt idx="2337">
                  <c:v>2.5534344621893847</c:v>
                </c:pt>
                <c:pt idx="2338">
                  <c:v>2.5534218253263461</c:v>
                </c:pt>
                <c:pt idx="2339">
                  <c:v>2.5534097289695152</c:v>
                </c:pt>
                <c:pt idx="2340">
                  <c:v>2.5533981721364158</c:v>
                </c:pt>
                <c:pt idx="2341">
                  <c:v>2.553387153812527</c:v>
                </c:pt>
                <c:pt idx="2342">
                  <c:v>2.5533766729513641</c:v>
                </c:pt>
                <c:pt idx="2343">
                  <c:v>2.5533667284745745</c:v>
                </c:pt>
                <c:pt idx="2344">
                  <c:v>2.5533573192720316</c:v>
                </c:pt>
                <c:pt idx="2345">
                  <c:v>2.5533484442019354</c:v>
                </c:pt>
                <c:pt idx="2346">
                  <c:v>2.5533401020909134</c:v>
                </c:pt>
                <c:pt idx="2347">
                  <c:v>2.5533322917341366</c:v>
                </c:pt>
                <c:pt idx="2348">
                  <c:v>2.5533250118954283</c:v>
                </c:pt>
                <c:pt idx="2349">
                  <c:v>2.5533182613073842</c:v>
                </c:pt>
                <c:pt idx="2350">
                  <c:v>2.5533120386714963</c:v>
                </c:pt>
                <c:pt idx="2351">
                  <c:v>2.5533063426582836</c:v>
                </c:pt>
                <c:pt idx="2352">
                  <c:v>2.5533011719074179</c:v>
                </c:pt>
                <c:pt idx="2353">
                  <c:v>2.5532965250278665</c:v>
                </c:pt>
                <c:pt idx="2354">
                  <c:v>2.5532924005980306</c:v>
                </c:pt>
                <c:pt idx="2355">
                  <c:v>2.5532887971658931</c:v>
                </c:pt>
                <c:pt idx="2356">
                  <c:v>2.5532857132491662</c:v>
                </c:pt>
                <c:pt idx="2357">
                  <c:v>2.5532831473354509</c:v>
                </c:pt>
                <c:pt idx="2358">
                  <c:v>2.5532810978823903</c:v>
                </c:pt>
                <c:pt idx="2359">
                  <c:v>2.5532795633178358</c:v>
                </c:pt>
                <c:pt idx="2360">
                  <c:v>2.5532785420400161</c:v>
                </c:pt>
                <c:pt idx="2361">
                  <c:v>2.5532780324177091</c:v>
                </c:pt>
                <c:pt idx="2362">
                  <c:v>2.5532780327904132</c:v>
                </c:pt>
                <c:pt idx="2363">
                  <c:v>2.5532785414685324</c:v>
                </c:pt>
                <c:pt idx="2364">
                  <c:v>2.5532795567335591</c:v>
                </c:pt>
                <c:pt idx="2365">
                  <c:v>2.5532810768382661</c:v>
                </c:pt>
                <c:pt idx="2366">
                  <c:v>2.5532831000068912</c:v>
                </c:pt>
                <c:pt idx="2367">
                  <c:v>2.5532856244353419</c:v>
                </c:pt>
                <c:pt idx="2368">
                  <c:v>2.553288648291391</c:v>
                </c:pt>
                <c:pt idx="2369">
                  <c:v>2.5532921697148847</c:v>
                </c:pt>
                <c:pt idx="2370">
                  <c:v>2.5532961868179469</c:v>
                </c:pt>
                <c:pt idx="2371">
                  <c:v>2.5533006976851937</c:v>
                </c:pt>
                <c:pt idx="2372">
                  <c:v>2.5533057003739503</c:v>
                </c:pt>
                <c:pt idx="2373">
                  <c:v>2.5533111929144687</c:v>
                </c:pt>
                <c:pt idx="2374">
                  <c:v>2.5533171733101505</c:v>
                </c:pt>
                <c:pt idx="2375">
                  <c:v>2.5533236395377772</c:v>
                </c:pt>
                <c:pt idx="2376">
                  <c:v>2.553330589547735</c:v>
                </c:pt>
                <c:pt idx="2377">
                  <c:v>2.5533380212642562</c:v>
                </c:pt>
                <c:pt idx="2378">
                  <c:v>2.5533459325856507</c:v>
                </c:pt>
                <c:pt idx="2379">
                  <c:v>2.5533543213845489</c:v>
                </c:pt>
                <c:pt idx="2380">
                  <c:v>2.5533631855081453</c:v>
                </c:pt>
                <c:pt idx="2381">
                  <c:v>2.5533725227784481</c:v>
                </c:pt>
                <c:pt idx="2382">
                  <c:v>2.5533823309925268</c:v>
                </c:pt>
                <c:pt idx="2383">
                  <c:v>2.5533926079227682</c:v>
                </c:pt>
                <c:pt idx="2384">
                  <c:v>2.5534033513171326</c:v>
                </c:pt>
                <c:pt idx="2385">
                  <c:v>2.5534145588994153</c:v>
                </c:pt>
                <c:pt idx="2386">
                  <c:v>2.5534262283695064</c:v>
                </c:pt>
                <c:pt idx="2387">
                  <c:v>2.5534383574036603</c:v>
                </c:pt>
                <c:pt idx="2388">
                  <c:v>2.5534509436547639</c:v>
                </c:pt>
                <c:pt idx="2389">
                  <c:v>2.5534639847526059</c:v>
                </c:pt>
                <c:pt idx="2390">
                  <c:v>2.5534774783041509</c:v>
                </c:pt>
                <c:pt idx="2391">
                  <c:v>2.5534914218938241</c:v>
                </c:pt>
                <c:pt idx="2392">
                  <c:v>2.5535058130837816</c:v>
                </c:pt>
                <c:pt idx="2393">
                  <c:v>2.5535206494141951</c:v>
                </c:pt>
                <c:pt idx="2394">
                  <c:v>2.5535359284035417</c:v>
                </c:pt>
                <c:pt idx="2395">
                  <c:v>2.5535516475488844</c:v>
                </c:pt>
                <c:pt idx="2396">
                  <c:v>2.5535678043261663</c:v>
                </c:pt>
                <c:pt idx="2397">
                  <c:v>2.5535843961905003</c:v>
                </c:pt>
                <c:pt idx="2398">
                  <c:v>2.5536014205764657</c:v>
                </c:pt>
                <c:pt idx="2399">
                  <c:v>2.553618874898397</c:v>
                </c:pt>
                <c:pt idx="2400">
                  <c:v>2.5536367565506928</c:v>
                </c:pt>
                <c:pt idx="2401">
                  <c:v>2.5536550629081103</c:v>
                </c:pt>
                <c:pt idx="2402">
                  <c:v>2.5536737913260668</c:v>
                </c:pt>
                <c:pt idx="2403">
                  <c:v>2.5536929391409458</c:v>
                </c:pt>
                <c:pt idx="2404">
                  <c:v>2.553712503670404</c:v>
                </c:pt>
                <c:pt idx="2405">
                  <c:v>2.5537324822136758</c:v>
                </c:pt>
                <c:pt idx="2406">
                  <c:v>2.5537528720518878</c:v>
                </c:pt>
                <c:pt idx="2407">
                  <c:v>2.5537736704483649</c:v>
                </c:pt>
                <c:pt idx="2408">
                  <c:v>2.5537948746489429</c:v>
                </c:pt>
                <c:pt idx="2409">
                  <c:v>2.5538164818822877</c:v>
                </c:pt>
                <c:pt idx="2410">
                  <c:v>2.5538384893602073</c:v>
                </c:pt>
                <c:pt idx="2411">
                  <c:v>2.5538608942779679</c:v>
                </c:pt>
                <c:pt idx="2412">
                  <c:v>2.5538836938146137</c:v>
                </c:pt>
                <c:pt idx="2413">
                  <c:v>2.5539068851332862</c:v>
                </c:pt>
                <c:pt idx="2414">
                  <c:v>2.5539304653815433</c:v>
                </c:pt>
                <c:pt idx="2415">
                  <c:v>2.5539544316916825</c:v>
                </c:pt>
                <c:pt idx="2416">
                  <c:v>2.5539787811810619</c:v>
                </c:pt>
                <c:pt idx="2417">
                  <c:v>2.5540035109524246</c:v>
                </c:pt>
                <c:pt idx="2418">
                  <c:v>2.554028618094224</c:v>
                </c:pt>
                <c:pt idx="2419">
                  <c:v>2.5540540996809451</c:v>
                </c:pt>
                <c:pt idx="2420">
                  <c:v>2.5540799527734337</c:v>
                </c:pt>
                <c:pt idx="2421">
                  <c:v>2.5541061744192239</c:v>
                </c:pt>
                <c:pt idx="2422">
                  <c:v>2.5541327616528604</c:v>
                </c:pt>
                <c:pt idx="2423">
                  <c:v>2.5541597114962307</c:v>
                </c:pt>
                <c:pt idx="2424">
                  <c:v>2.5541870209588895</c:v>
                </c:pt>
                <c:pt idx="2425">
                  <c:v>2.5542146870383893</c:v>
                </c:pt>
                <c:pt idx="2426">
                  <c:v>2.5542427067206104</c:v>
                </c:pt>
                <c:pt idx="2427">
                  <c:v>2.554271076980084</c:v>
                </c:pt>
                <c:pt idx="2428">
                  <c:v>2.5542997947803281</c:v>
                </c:pt>
                <c:pt idx="2429">
                  <c:v>2.5543288570741716</c:v>
                </c:pt>
                <c:pt idx="2430">
                  <c:v>2.5543582608040891</c:v>
                </c:pt>
                <c:pt idx="2431">
                  <c:v>2.5543880029025212</c:v>
                </c:pt>
                <c:pt idx="2432">
                  <c:v>2.5544180802922143</c:v>
                </c:pt>
                <c:pt idx="2433">
                  <c:v>2.5544484898865401</c:v>
                </c:pt>
                <c:pt idx="2434">
                  <c:v>2.5544792285898308</c:v>
                </c:pt>
                <c:pt idx="2435">
                  <c:v>2.5545102932977048</c:v>
                </c:pt>
                <c:pt idx="2436">
                  <c:v>2.5545416808973935</c:v>
                </c:pt>
                <c:pt idx="2437">
                  <c:v>2.5545733882680741</c:v>
                </c:pt>
                <c:pt idx="2438">
                  <c:v>2.5546054122811896</c:v>
                </c:pt>
                <c:pt idx="2439">
                  <c:v>2.554637749800782</c:v>
                </c:pt>
                <c:pt idx="2440">
                  <c:v>2.5546703976838132</c:v>
                </c:pt>
                <c:pt idx="2441">
                  <c:v>2.5547033527804963</c:v>
                </c:pt>
                <c:pt idx="2442">
                  <c:v>2.5547366119346129</c:v>
                </c:pt>
                <c:pt idx="2443">
                  <c:v>2.554770171983844</c:v>
                </c:pt>
                <c:pt idx="2444">
                  <c:v>2.5548040297600889</c:v>
                </c:pt>
                <c:pt idx="2445">
                  <c:v>2.5548381820897887</c:v>
                </c:pt>
                <c:pt idx="2446">
                  <c:v>2.5548726257942471</c:v>
                </c:pt>
                <c:pt idx="2447">
                  <c:v>2.5549073576899519</c:v>
                </c:pt>
                <c:pt idx="2448">
                  <c:v>2.5549423745888946</c:v>
                </c:pt>
                <c:pt idx="2449">
                  <c:v>2.5549776732988834</c:v>
                </c:pt>
                <c:pt idx="2450">
                  <c:v>2.5550132506238654</c:v>
                </c:pt>
                <c:pt idx="2451">
                  <c:v>2.5550491033642428</c:v>
                </c:pt>
                <c:pt idx="2452">
                  <c:v>2.5550852283171839</c:v>
                </c:pt>
                <c:pt idx="2453">
                  <c:v>2.555121622276936</c:v>
                </c:pt>
                <c:pt idx="2454">
                  <c:v>2.5551582820351393</c:v>
                </c:pt>
                <c:pt idx="2455">
                  <c:v>2.5551952043811377</c:v>
                </c:pt>
                <c:pt idx="2456">
                  <c:v>2.555232386102285</c:v>
                </c:pt>
                <c:pt idx="2457">
                  <c:v>2.5552698239842524</c:v>
                </c:pt>
                <c:pt idx="2458">
                  <c:v>2.5553075148113344</c:v>
                </c:pt>
                <c:pt idx="2459">
                  <c:v>2.5553454553667572</c:v>
                </c:pt>
                <c:pt idx="2460">
                  <c:v>2.5553836424329717</c:v>
                </c:pt>
                <c:pt idx="2461">
                  <c:v>2.5554220727919628</c:v>
                </c:pt>
                <c:pt idx="2462">
                  <c:v>2.555460743225543</c:v>
                </c:pt>
                <c:pt idx="2463">
                  <c:v>2.5554996505156513</c:v>
                </c:pt>
                <c:pt idx="2464">
                  <c:v>2.5555387914446479</c:v>
                </c:pt>
                <c:pt idx="2465">
                  <c:v>2.5555781627956078</c:v>
                </c:pt>
                <c:pt idx="2466">
                  <c:v>2.5556177613526114</c:v>
                </c:pt>
                <c:pt idx="2467">
                  <c:v>2.5556575839010325</c:v>
                </c:pt>
                <c:pt idx="2468">
                  <c:v>2.5556976272278296</c:v>
                </c:pt>
                <c:pt idx="2469">
                  <c:v>2.5557378881218265</c:v>
                </c:pt>
                <c:pt idx="2470">
                  <c:v>2.5557783633739954</c:v>
                </c:pt>
                <c:pt idx="2471">
                  <c:v>2.5558190497777433</c:v>
                </c:pt>
                <c:pt idx="2472">
                  <c:v>2.5558599441291836</c:v>
                </c:pt>
                <c:pt idx="2473">
                  <c:v>2.5559010432274172</c:v>
                </c:pt>
                <c:pt idx="2474">
                  <c:v>2.5559423438748019</c:v>
                </c:pt>
                <c:pt idx="2475">
                  <c:v>2.5559838428772328</c:v>
                </c:pt>
                <c:pt idx="2476">
                  <c:v>2.5560255370444023</c:v>
                </c:pt>
                <c:pt idx="2477">
                  <c:v>2.5560674231900737</c:v>
                </c:pt>
                <c:pt idx="2478">
                  <c:v>2.5561094981323413</c:v>
                </c:pt>
                <c:pt idx="2479">
                  <c:v>2.5561517586938978</c:v>
                </c:pt>
                <c:pt idx="2480">
                  <c:v>2.5561942017022883</c:v>
                </c:pt>
                <c:pt idx="2481">
                  <c:v>2.5562368239901754</c:v>
                </c:pt>
                <c:pt idx="2482">
                  <c:v>2.5562796223955857</c:v>
                </c:pt>
                <c:pt idx="2483">
                  <c:v>2.5563225937621685</c:v>
                </c:pt>
                <c:pt idx="2484">
                  <c:v>2.5563657349394426</c:v>
                </c:pt>
                <c:pt idx="2485">
                  <c:v>2.5564090427830437</c:v>
                </c:pt>
                <c:pt idx="2486">
                  <c:v>2.5564525141549685</c:v>
                </c:pt>
                <c:pt idx="2487">
                  <c:v>2.5564961459238211</c:v>
                </c:pt>
                <c:pt idx="2488">
                  <c:v>2.5565399349650453</c:v>
                </c:pt>
                <c:pt idx="2489">
                  <c:v>2.5565838781611658</c:v>
                </c:pt>
                <c:pt idx="2490">
                  <c:v>2.5566279724020218</c:v>
                </c:pt>
                <c:pt idx="2491">
                  <c:v>2.5566722145849963</c:v>
                </c:pt>
                <c:pt idx="2492">
                  <c:v>2.5567166016152458</c:v>
                </c:pt>
                <c:pt idx="2493">
                  <c:v>2.5567611304059272</c:v>
                </c:pt>
                <c:pt idx="2494">
                  <c:v>2.5568057978784169</c:v>
                </c:pt>
                <c:pt idx="2495">
                  <c:v>2.5568506009625351</c:v>
                </c:pt>
                <c:pt idx="2496">
                  <c:v>2.5568955365967603</c:v>
                </c:pt>
                <c:pt idx="2497">
                  <c:v>2.5569406017284444</c:v>
                </c:pt>
                <c:pt idx="2498">
                  <c:v>2.5569857933140261</c:v>
                </c:pt>
                <c:pt idx="2499">
                  <c:v>2.5570311083192374</c:v>
                </c:pt>
                <c:pt idx="2500">
                  <c:v>2.5570765437193081</c:v>
                </c:pt>
                <c:pt idx="2501">
                  <c:v>2.5571220964991754</c:v>
                </c:pt>
                <c:pt idx="2502">
                  <c:v>2.5571677636536743</c:v>
                </c:pt>
                <c:pt idx="2503">
                  <c:v>2.5572135421877449</c:v>
                </c:pt>
                <c:pt idx="2504">
                  <c:v>2.5572594291166189</c:v>
                </c:pt>
                <c:pt idx="2505">
                  <c:v>2.5573054214660131</c:v>
                </c:pt>
                <c:pt idx="2506">
                  <c:v>2.5573515162723219</c:v>
                </c:pt>
                <c:pt idx="2507">
                  <c:v>2.557397710582797</c:v>
                </c:pt>
                <c:pt idx="2508">
                  <c:v>2.5574440014557331</c:v>
                </c:pt>
                <c:pt idx="2509">
                  <c:v>2.5574903859606488</c:v>
                </c:pt>
                <c:pt idx="2510">
                  <c:v>2.5575368611784581</c:v>
                </c:pt>
                <c:pt idx="2511">
                  <c:v>2.55758342420165</c:v>
                </c:pt>
                <c:pt idx="2512">
                  <c:v>2.5576300721344563</c:v>
                </c:pt>
                <c:pt idx="2513">
                  <c:v>2.5576768020930207</c:v>
                </c:pt>
                <c:pt idx="2514">
                  <c:v>2.5577236112055615</c:v>
                </c:pt>
                <c:pt idx="2515">
                  <c:v>2.5577704966125347</c:v>
                </c:pt>
                <c:pt idx="2516">
                  <c:v>2.5578174554667936</c:v>
                </c:pt>
                <c:pt idx="2517">
                  <c:v>2.5578644849337464</c:v>
                </c:pt>
                <c:pt idx="2518">
                  <c:v>2.5579115821915051</c:v>
                </c:pt>
                <c:pt idx="2519">
                  <c:v>2.5579587444310374</c:v>
                </c:pt>
                <c:pt idx="2520">
                  <c:v>2.5580059688563153</c:v>
                </c:pt>
                <c:pt idx="2521">
                  <c:v>2.5580532526844579</c:v>
                </c:pt>
                <c:pt idx="2522">
                  <c:v>2.5581005931458707</c:v>
                </c:pt>
                <c:pt idx="2523">
                  <c:v>2.5581479874843907</c:v>
                </c:pt>
                <c:pt idx="2524">
                  <c:v>2.558195432957413</c:v>
                </c:pt>
                <c:pt idx="2525">
                  <c:v>2.5582429268360283</c:v>
                </c:pt>
                <c:pt idx="2526">
                  <c:v>2.5582904664051522</c:v>
                </c:pt>
                <c:pt idx="2527">
                  <c:v>2.5583380489636505</c:v>
                </c:pt>
                <c:pt idx="2528">
                  <c:v>2.5583856718244631</c:v>
                </c:pt>
                <c:pt idx="2529">
                  <c:v>2.5584333323147281</c:v>
                </c:pt>
                <c:pt idx="2530">
                  <c:v>2.5584810277758909</c:v>
                </c:pt>
                <c:pt idx="2531">
                  <c:v>2.558528755563831</c:v>
                </c:pt>
                <c:pt idx="2532">
                  <c:v>2.5585765130489655</c:v>
                </c:pt>
                <c:pt idx="2533">
                  <c:v>2.5586242976163613</c:v>
                </c:pt>
                <c:pt idx="2534">
                  <c:v>2.558672106665842</c:v>
                </c:pt>
                <c:pt idx="2535">
                  <c:v>2.5587199376120902</c:v>
                </c:pt>
                <c:pt idx="2536">
                  <c:v>2.5587677878847495</c:v>
                </c:pt>
                <c:pt idx="2537">
                  <c:v>2.5588156549285239</c:v>
                </c:pt>
                <c:pt idx="2538">
                  <c:v>2.5588635362032681</c:v>
                </c:pt>
                <c:pt idx="2539">
                  <c:v>2.558911429184084</c:v>
                </c:pt>
                <c:pt idx="2540">
                  <c:v>2.5589593313614123</c:v>
                </c:pt>
                <c:pt idx="2541">
                  <c:v>2.5590072402411117</c:v>
                </c:pt>
                <c:pt idx="2542">
                  <c:v>2.5590551533445511</c:v>
                </c:pt>
                <c:pt idx="2543">
                  <c:v>2.5591030682086884</c:v>
                </c:pt>
                <c:pt idx="2544">
                  <c:v>2.5591509823861456</c:v>
                </c:pt>
                <c:pt idx="2545">
                  <c:v>2.5591988934452896</c:v>
                </c:pt>
                <c:pt idx="2546">
                  <c:v>2.559246798970304</c:v>
                </c:pt>
                <c:pt idx="2547">
                  <c:v>2.5592946965612606</c:v>
                </c:pt>
                <c:pt idx="2548">
                  <c:v>2.5593425838341854</c:v>
                </c:pt>
                <c:pt idx="2549">
                  <c:v>2.5593904584211256</c:v>
                </c:pt>
                <c:pt idx="2550">
                  <c:v>2.5594383179702098</c:v>
                </c:pt>
                <c:pt idx="2551">
                  <c:v>2.5594861601457173</c:v>
                </c:pt>
                <c:pt idx="2552">
                  <c:v>2.5595339826281229</c:v>
                </c:pt>
                <c:pt idx="2553">
                  <c:v>2.559581783114159</c:v>
                </c:pt>
                <c:pt idx="2554">
                  <c:v>2.5596295593168699</c:v>
                </c:pt>
                <c:pt idx="2555">
                  <c:v>2.5596773089656595</c:v>
                </c:pt>
                <c:pt idx="2556">
                  <c:v>2.5597250298063381</c:v>
                </c:pt>
                <c:pt idx="2557">
                  <c:v>2.559772719601169</c:v>
                </c:pt>
                <c:pt idx="2558">
                  <c:v>2.5598203761289122</c:v>
                </c:pt>
                <c:pt idx="2559">
                  <c:v>2.5598679971848601</c:v>
                </c:pt>
                <c:pt idx="2560">
                  <c:v>2.559915580580884</c:v>
                </c:pt>
                <c:pt idx="2561">
                  <c:v>2.5599631241454603</c:v>
                </c:pt>
                <c:pt idx="2562">
                  <c:v>2.5600106257237103</c:v>
                </c:pt>
                <c:pt idx="2563">
                  <c:v>2.5600580831774273</c:v>
                </c:pt>
                <c:pt idx="2564">
                  <c:v>2.560105494385108</c:v>
                </c:pt>
                <c:pt idx="2565">
                  <c:v>2.5601528572419783</c:v>
                </c:pt>
                <c:pt idx="2566">
                  <c:v>2.5602001696600136</c:v>
                </c:pt>
                <c:pt idx="2567">
                  <c:v>2.5602474295679665</c:v>
                </c:pt>
                <c:pt idx="2568">
                  <c:v>2.560294634911382</c:v>
                </c:pt>
                <c:pt idx="2569">
                  <c:v>2.5603417836526168</c:v>
                </c:pt>
                <c:pt idx="2570">
                  <c:v>2.5603888737708527</c:v>
                </c:pt>
                <c:pt idx="2571">
                  <c:v>2.5604359032621158</c:v>
                </c:pt>
                <c:pt idx="2572">
                  <c:v>2.5604828701392752</c:v>
                </c:pt>
                <c:pt idx="2573">
                  <c:v>2.5605297724320657</c:v>
                </c:pt>
                <c:pt idx="2574">
                  <c:v>2.5605766081870853</c:v>
                </c:pt>
                <c:pt idx="2575">
                  <c:v>2.5606233754678049</c:v>
                </c:pt>
                <c:pt idx="2576">
                  <c:v>2.5606700723545646</c:v>
                </c:pt>
                <c:pt idx="2577">
                  <c:v>2.5607166969445845</c:v>
                </c:pt>
                <c:pt idx="2578">
                  <c:v>2.5607632473519537</c:v>
                </c:pt>
                <c:pt idx="2579">
                  <c:v>2.5608097217076331</c:v>
                </c:pt>
                <c:pt idx="2580">
                  <c:v>2.560856118159446</c:v>
                </c:pt>
                <c:pt idx="2581">
                  <c:v>2.5609024348720761</c:v>
                </c:pt>
                <c:pt idx="2582">
                  <c:v>2.5609486700270558</c:v>
                </c:pt>
                <c:pt idx="2583">
                  <c:v>2.5609948218227503</c:v>
                </c:pt>
                <c:pt idx="2584">
                  <c:v>2.5610408884743565</c:v>
                </c:pt>
                <c:pt idx="2585">
                  <c:v>2.561086868213879</c:v>
                </c:pt>
                <c:pt idx="2586">
                  <c:v>2.5611327592901167</c:v>
                </c:pt>
                <c:pt idx="2587">
                  <c:v>2.5611785599686452</c:v>
                </c:pt>
                <c:pt idx="2588">
                  <c:v>2.5612242685318001</c:v>
                </c:pt>
                <c:pt idx="2589">
                  <c:v>2.5612698832786482</c:v>
                </c:pt>
                <c:pt idx="2590">
                  <c:v>2.5613154025249716</c:v>
                </c:pt>
                <c:pt idx="2591">
                  <c:v>2.5613608246032395</c:v>
                </c:pt>
                <c:pt idx="2592">
                  <c:v>2.5614061478625842</c:v>
                </c:pt>
                <c:pt idx="2593">
                  <c:v>2.5614513706687689</c:v>
                </c:pt>
                <c:pt idx="2594">
                  <c:v>2.5614964914041614</c:v>
                </c:pt>
                <c:pt idx="2595">
                  <c:v>2.5615415084677058</c:v>
                </c:pt>
                <c:pt idx="2596">
                  <c:v>2.5615864202748813</c:v>
                </c:pt>
                <c:pt idx="2597">
                  <c:v>2.5616312252576781</c:v>
                </c:pt>
                <c:pt idx="2598">
                  <c:v>2.5616759218645564</c:v>
                </c:pt>
                <c:pt idx="2599">
                  <c:v>2.5617205085604078</c:v>
                </c:pt>
                <c:pt idx="2600">
                  <c:v>2.5617649838265191</c:v>
                </c:pt>
                <c:pt idx="2601">
                  <c:v>2.5618093461605365</c:v>
                </c:pt>
                <c:pt idx="2602">
                  <c:v>2.5618535940764167</c:v>
                </c:pt>
                <c:pt idx="2603">
                  <c:v>2.5618977261043878</c:v>
                </c:pt>
                <c:pt idx="2604">
                  <c:v>2.5619417407909086</c:v>
                </c:pt>
                <c:pt idx="2605">
                  <c:v>2.5619856366986187</c:v>
                </c:pt>
                <c:pt idx="2606">
                  <c:v>2.5620294124062917</c:v>
                </c:pt>
                <c:pt idx="2607">
                  <c:v>2.5620730665087925</c:v>
                </c:pt>
                <c:pt idx="2608">
                  <c:v>2.562116597617023</c:v>
                </c:pt>
                <c:pt idx="2609">
                  <c:v>2.5621600052776268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550328"/>
        <c:axId val="739566400"/>
      </c:scatterChart>
      <c:valAx>
        <c:axId val="739550328"/>
        <c:scaling>
          <c:orientation val="minMax"/>
          <c:max val="60000"/>
          <c:min val="41685"/>
        </c:scaling>
        <c:delete val="0"/>
        <c:axPos val="b"/>
        <c:majorGridlines>
          <c:spPr>
            <a:ln>
              <a:solidFill>
                <a:schemeClr val="bg1"/>
              </a:solidFill>
              <a:prstDash val="sysDot"/>
            </a:ln>
          </c:spPr>
        </c:majorGridlines>
        <c:numFmt formatCode="mmmyyyy" sourceLinked="0"/>
        <c:majorTickMark val="out"/>
        <c:minorTickMark val="none"/>
        <c:tickLblPos val="low"/>
        <c:spPr>
          <a:ln>
            <a:solidFill>
              <a:schemeClr val="bg1"/>
            </a:solidFill>
          </a:ln>
        </c:spPr>
        <c:crossAx val="739566400"/>
        <c:crosses val="autoZero"/>
        <c:crossBetween val="midCat"/>
        <c:majorUnit val="1826.25"/>
      </c:valAx>
      <c:valAx>
        <c:axId val="73956640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/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GB"/>
                  <a:t>Title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crossAx val="739550328"/>
        <c:crosses val="autoZero"/>
        <c:crossBetween val="midCat"/>
      </c:valAx>
      <c:spPr>
        <a:noFill/>
      </c:spPr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tx1"/>
    </a:solidFill>
    <a:ln>
      <a:noFill/>
    </a:ln>
  </c:spPr>
  <c:txPr>
    <a:bodyPr/>
    <a:lstStyle/>
    <a:p>
      <a:pPr>
        <a:defRPr>
          <a:solidFill>
            <a:schemeClr val="bg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62707</xdr:colOff>
      <xdr:row>1</xdr:row>
      <xdr:rowOff>80961</xdr:rowOff>
    </xdr:from>
    <xdr:to>
      <xdr:col>17</xdr:col>
      <xdr:colOff>558801</xdr:colOff>
      <xdr:row>37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2</xdr:row>
          <xdr:rowOff>0</xdr:rowOff>
        </xdr:from>
        <xdr:to>
          <xdr:col>20</xdr:col>
          <xdr:colOff>409575</xdr:colOff>
          <xdr:row>8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Fit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139700</xdr:colOff>
      <xdr:row>19</xdr:row>
      <xdr:rowOff>107948</xdr:rowOff>
    </xdr:from>
    <xdr:to>
      <xdr:col>28</xdr:col>
      <xdr:colOff>508000</xdr:colOff>
      <xdr:row>50</xdr:row>
      <xdr:rowOff>76199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R2651"/>
  <sheetViews>
    <sheetView zoomScale="75" zoomScaleNormal="75" workbookViewId="0">
      <selection activeCell="E53" sqref="E53"/>
    </sheetView>
  </sheetViews>
  <sheetFormatPr defaultRowHeight="14.25" x14ac:dyDescent="0.2"/>
  <cols>
    <col min="1" max="1" width="3" style="3" customWidth="1"/>
    <col min="2" max="2" width="17.42578125" style="3" bestFit="1" customWidth="1"/>
    <col min="3" max="4" width="10.7109375" style="3" customWidth="1"/>
    <col min="5" max="5" width="23" style="65" customWidth="1"/>
    <col min="6" max="6" width="12.85546875" style="65" bestFit="1" customWidth="1"/>
    <col min="7" max="7" width="23.140625" style="67" customWidth="1"/>
    <col min="8" max="8" width="10.28515625" style="68" bestFit="1" customWidth="1"/>
    <col min="9" max="10" width="9.28515625" style="54" bestFit="1" customWidth="1"/>
    <col min="11" max="11" width="12.5703125" style="66" customWidth="1"/>
    <col min="12" max="13" width="9.28515625" style="3" bestFit="1" customWidth="1"/>
    <col min="14" max="14" width="16" style="3" bestFit="1" customWidth="1"/>
    <col min="15" max="15" width="7.85546875" style="3" bestFit="1" customWidth="1"/>
    <col min="16" max="16" width="11.42578125" style="3" bestFit="1" customWidth="1"/>
    <col min="17" max="16384" width="9.140625" style="3"/>
  </cols>
  <sheetData>
    <row r="2" spans="2:18" ht="15" x14ac:dyDescent="0.25">
      <c r="B2" s="27" t="s">
        <v>68</v>
      </c>
      <c r="C2" s="21" t="s">
        <v>102</v>
      </c>
      <c r="D2" s="21"/>
      <c r="F2" s="21" t="s">
        <v>52</v>
      </c>
      <c r="G2" s="21" t="s">
        <v>53</v>
      </c>
      <c r="H2" s="21" t="s">
        <v>49</v>
      </c>
      <c r="I2" s="21" t="s">
        <v>103</v>
      </c>
      <c r="J2" s="21" t="s">
        <v>9</v>
      </c>
      <c r="K2" s="21" t="s">
        <v>54</v>
      </c>
      <c r="N2" s="15" t="b">
        <v>1</v>
      </c>
    </row>
    <row r="3" spans="2:18" x14ac:dyDescent="0.2">
      <c r="B3" s="28">
        <f ca="1">TODAY()</f>
        <v>41985</v>
      </c>
      <c r="C3" s="3" t="str">
        <f>_xll.QMACreateBondRegressionCoeffientsObject(F3,G3,H3,I3,J3,K3)</f>
        <v>FittedCoeffs#1</v>
      </c>
      <c r="F3" s="39" t="s">
        <v>125</v>
      </c>
      <c r="G3" s="40">
        <f>FittedCurve!E25</f>
        <v>0</v>
      </c>
      <c r="H3" s="40">
        <f>FittedCurve!E27</f>
        <v>0</v>
      </c>
      <c r="I3" s="40">
        <f>FittedCurve!E29</f>
        <v>0</v>
      </c>
      <c r="J3" s="40">
        <f>FittedCurve!E28</f>
        <v>0</v>
      </c>
      <c r="K3" s="41">
        <f>FittedCurve!E26</f>
        <v>0</v>
      </c>
      <c r="N3" s="7" t="b">
        <v>0</v>
      </c>
    </row>
    <row r="4" spans="2:18" x14ac:dyDescent="0.2">
      <c r="B4" s="27"/>
    </row>
    <row r="5" spans="2:18" x14ac:dyDescent="0.2">
      <c r="B5" s="27" t="s">
        <v>128</v>
      </c>
      <c r="L5" s="70"/>
      <c r="M5" s="70"/>
    </row>
    <row r="6" spans="2:18" x14ac:dyDescent="0.2">
      <c r="B6" s="43" t="b">
        <v>1</v>
      </c>
      <c r="Q6" s="24" t="s">
        <v>176</v>
      </c>
      <c r="R6" s="3" t="s">
        <v>255</v>
      </c>
    </row>
    <row r="7" spans="2:18" s="71" customFormat="1" ht="15" x14ac:dyDescent="0.25">
      <c r="B7" s="20"/>
      <c r="I7" s="103" t="s">
        <v>172</v>
      </c>
      <c r="J7" s="104"/>
      <c r="L7" s="103" t="s">
        <v>173</v>
      </c>
      <c r="M7" s="104"/>
      <c r="Q7" s="66">
        <f ca="1">0.5 *SUM(Q9:Q48)</f>
        <v>48.610271029595083</v>
      </c>
      <c r="R7" s="66">
        <f ca="1">Q7-FitCost</f>
        <v>48.245952439540368</v>
      </c>
    </row>
    <row r="8" spans="2:18" ht="15" x14ac:dyDescent="0.25">
      <c r="B8" s="7" t="s">
        <v>69</v>
      </c>
      <c r="C8" s="21" t="s">
        <v>175</v>
      </c>
      <c r="D8" s="21" t="s">
        <v>174</v>
      </c>
      <c r="E8" s="21" t="s">
        <v>62</v>
      </c>
      <c r="F8" s="21" t="s">
        <v>60</v>
      </c>
      <c r="G8" s="21" t="s">
        <v>115</v>
      </c>
      <c r="H8" s="21" t="s">
        <v>67</v>
      </c>
      <c r="I8" s="21" t="s">
        <v>47</v>
      </c>
      <c r="J8" s="21" t="s">
        <v>48</v>
      </c>
      <c r="K8" s="66" t="s">
        <v>171</v>
      </c>
      <c r="L8" s="21" t="s">
        <v>47</v>
      </c>
      <c r="M8" s="21" t="s">
        <v>48</v>
      </c>
      <c r="N8" s="21" t="s">
        <v>49</v>
      </c>
      <c r="O8" s="21" t="s">
        <v>9</v>
      </c>
      <c r="P8" s="21" t="s">
        <v>50</v>
      </c>
      <c r="Q8" s="21" t="s">
        <v>139</v>
      </c>
      <c r="R8" s="21" t="s">
        <v>138</v>
      </c>
    </row>
    <row r="9" spans="2:18" x14ac:dyDescent="0.2">
      <c r="B9" s="29" t="s">
        <v>70</v>
      </c>
      <c r="C9" s="3" t="str">
        <f ca="1">_xll.QMACreateBondCalculationParametersObject(B9&amp;"FittedCalc",$B$3,L9,M9,N9,O9,P9,YieldCrvObj)</f>
        <v>EI027834 CorpFittedCalc#1</v>
      </c>
      <c r="D9" s="3" t="str">
        <f ca="1">_xll.QMACreateBondObject("Fitted"&amp;B9,B9,C9,$C$3,TRUE)</f>
        <v>FittedEI027834 Corp#1</v>
      </c>
      <c r="E9" s="25" t="str">
        <f ca="1">_xll.QMAObjectProperty(D9,E$8)</f>
        <v>UKT 2 3/4 01/22/15</v>
      </c>
      <c r="F9" s="25">
        <f ca="1">_xll.QMAObjectProperty(D9,F$8)</f>
        <v>42026</v>
      </c>
      <c r="G9" s="2">
        <f ca="1">_xll.QMABondCalculationProperty(D9,G$8)</f>
        <v>100.26581172744504</v>
      </c>
      <c r="H9" s="2">
        <f ca="1">_xll.QMABondCalculationProperty(D9,H$8)</f>
        <v>0.32480352535046281</v>
      </c>
      <c r="I9" s="54">
        <v>100.38500000000001</v>
      </c>
      <c r="J9" s="54">
        <v>100.375</v>
      </c>
      <c r="K9" s="40">
        <v>0</v>
      </c>
      <c r="L9" s="3">
        <f>IF(LiveMarketData,_xll.BDP(B9,"PX_ASK"),I9)+$K9</f>
        <v>100.255</v>
      </c>
      <c r="M9" s="54">
        <f>IF(LiveMarketData,_xll.BDP(B9,"PX_BID"),J9)+$K9</f>
        <v>100.245</v>
      </c>
      <c r="N9" s="3" t="b">
        <f>FALSE</f>
        <v>0</v>
      </c>
      <c r="O9" s="3" t="b">
        <f>FALSE</f>
        <v>0</v>
      </c>
      <c r="P9" s="65">
        <v>1</v>
      </c>
      <c r="Q9" s="66">
        <f t="shared" ref="Q9:Q48" ca="1" si="0">R9*R9</f>
        <v>2.5001072479624527E-4</v>
      </c>
      <c r="R9" s="66">
        <f ca="1">G9-(L9+M9)/2</f>
        <v>1.5811727445040447E-2</v>
      </c>
    </row>
    <row r="10" spans="2:18" x14ac:dyDescent="0.2">
      <c r="B10" s="29" t="s">
        <v>71</v>
      </c>
      <c r="C10" s="76" t="str">
        <f ca="1">_xll.QMACreateBondCalculationParametersObject(B10&amp;"FittedCalc",$B$3,L10,M10,N10,O10,P10,YieldCrvObj)</f>
        <v>ED153094 CorpFittedCalc#1</v>
      </c>
      <c r="D10" s="69" t="str">
        <f ca="1">_xll.QMACreateBondObject("Fitted"&amp;B10,B10,C10,$C$3,TRUE)</f>
        <v>FittedED153094 Corp#1</v>
      </c>
      <c r="E10" s="25" t="str">
        <f ca="1">_xll.QMAObjectProperty(D10,E$8)</f>
        <v>UKT 4 3/4 09/07/15</v>
      </c>
      <c r="F10" s="25">
        <f ca="1">_xll.QMAObjectProperty(D10,F$8)</f>
        <v>42254</v>
      </c>
      <c r="G10" s="2">
        <f ca="1">_xll.QMABondCalculationProperty(D10,G$8)</f>
        <v>103.19241418303649</v>
      </c>
      <c r="H10" s="2">
        <f ca="1">_xll.QMABondCalculationProperty(D10,H$8)</f>
        <v>0.36920304856986152</v>
      </c>
      <c r="I10" s="54">
        <v>103.41</v>
      </c>
      <c r="J10" s="54">
        <v>103.4</v>
      </c>
      <c r="K10" s="40">
        <v>0</v>
      </c>
      <c r="L10" s="70">
        <f>IF(LiveMarketData,_xll.BDP(B10,"PX_ASK"),I10)+$K10</f>
        <v>103.18</v>
      </c>
      <c r="M10" s="70">
        <f>IF(LiveMarketData,_xll.BDP(B10,"PX_BID"),J10)+$K10</f>
        <v>103.17</v>
      </c>
      <c r="N10" s="3" t="b">
        <f>FALSE</f>
        <v>0</v>
      </c>
      <c r="O10" s="3" t="b">
        <f>FALSE</f>
        <v>0</v>
      </c>
      <c r="P10" s="65">
        <v>1</v>
      </c>
      <c r="Q10" s="66">
        <f t="shared" ca="1" si="0"/>
        <v>3.0325377082798956E-4</v>
      </c>
      <c r="R10" s="67">
        <f t="shared" ref="R10:R48" ca="1" si="1">G10-(L10+M10)/2</f>
        <v>1.7414183036478903E-2</v>
      </c>
    </row>
    <row r="11" spans="2:18" x14ac:dyDescent="0.2">
      <c r="B11" s="29" t="s">
        <v>72</v>
      </c>
      <c r="C11" s="76" t="str">
        <f ca="1">_xll.QMACreateBondCalculationParametersObject(B11&amp;"FittedCalc",$B$3,L11,M11,N11,O11,P11,YieldCrvObj)</f>
        <v>GG722763 CorpFittedCalc#1</v>
      </c>
      <c r="D11" s="69" t="str">
        <f ca="1">_xll.QMACreateBondObject("Fitted"&amp;B11,B11,C11,$C$3,TRUE)</f>
        <v>FittedGG722763 Corp#1</v>
      </c>
      <c r="E11" s="25" t="str">
        <f ca="1">_xll.QMAObjectProperty(D11,E$8)</f>
        <v>UKT 8 12/07/15</v>
      </c>
      <c r="F11" s="25">
        <f ca="1">_xll.QMAObjectProperty(D11,F$8)</f>
        <v>42345</v>
      </c>
      <c r="G11" s="2">
        <f ca="1">_xll.QMABondCalculationProperty(D11,G$8)</f>
        <v>107.39871197362828</v>
      </c>
      <c r="H11" s="2">
        <f ca="1">_xll.QMABondCalculationProperty(D11,H$8)</f>
        <v>0.34264181359285428</v>
      </c>
      <c r="I11" s="54">
        <v>107.88</v>
      </c>
      <c r="J11" s="54">
        <v>107.86</v>
      </c>
      <c r="K11" s="40">
        <v>0</v>
      </c>
      <c r="L11" s="70">
        <f>IF(LiveMarketData,_xll.BDP(B11,"PX_ASK"),I11)+$K11</f>
        <v>107.48</v>
      </c>
      <c r="M11" s="70">
        <f>IF(LiveMarketData,_xll.BDP(B11,"PX_BID"),J11)+$K11</f>
        <v>107.46</v>
      </c>
      <c r="N11" s="3" t="b">
        <f>FALSE</f>
        <v>0</v>
      </c>
      <c r="O11" s="3" t="b">
        <f>FALSE</f>
        <v>0</v>
      </c>
      <c r="P11" s="65">
        <v>1</v>
      </c>
      <c r="Q11" s="66">
        <f t="shared" ca="1" si="0"/>
        <v>5.0819827039747844E-3</v>
      </c>
      <c r="R11" s="67">
        <f t="shared" ca="1" si="1"/>
        <v>-7.1288026371718161E-2</v>
      </c>
    </row>
    <row r="12" spans="2:18" x14ac:dyDescent="0.2">
      <c r="B12" s="29" t="s">
        <v>73</v>
      </c>
      <c r="C12" s="76" t="str">
        <f ca="1">_xll.QMACreateBondCalculationParametersObject(B12&amp;"FittedCalc",$B$3,L12,M12,N12,O12,P12,YieldCrvObj)</f>
        <v>EI450338 CorpFittedCalc#1</v>
      </c>
      <c r="D12" s="69" t="str">
        <f ca="1">_xll.QMACreateBondObject("Fitted"&amp;B12,B12,C12,$C$3,TRUE)</f>
        <v>FittedEI450338 Corp#1</v>
      </c>
      <c r="E12" s="25" t="str">
        <f ca="1">_xll.QMAObjectProperty(D12,E$8)</f>
        <v>UKT 2 01/22/16</v>
      </c>
      <c r="F12" s="25">
        <f ca="1">_xll.QMAObjectProperty(D12,F$8)</f>
        <v>42391</v>
      </c>
      <c r="G12" s="2">
        <f ca="1">_xll.QMABondCalculationProperty(D12,G$8)</f>
        <v>101.71534100087736</v>
      </c>
      <c r="H12" s="2">
        <f ca="1">_xll.QMABondCalculationProperty(D12,H$8)</f>
        <v>0.42191101431391115</v>
      </c>
      <c r="I12" s="54">
        <v>101.765</v>
      </c>
      <c r="J12" s="54">
        <v>101.755</v>
      </c>
      <c r="K12" s="40">
        <v>0</v>
      </c>
      <c r="L12" s="70">
        <f>IF(LiveMarketData,_xll.BDP(B12,"PX_ASK"),I12)+$K12</f>
        <v>101.74</v>
      </c>
      <c r="M12" s="70">
        <f>IF(LiveMarketData,_xll.BDP(B12,"PX_BID"),J12)+$K12</f>
        <v>101.73</v>
      </c>
      <c r="N12" s="3" t="b">
        <f>FALSE</f>
        <v>0</v>
      </c>
      <c r="O12" s="3" t="b">
        <f>FALSE</f>
        <v>0</v>
      </c>
      <c r="P12" s="65">
        <v>1</v>
      </c>
      <c r="Q12" s="66">
        <f t="shared" ca="1" si="0"/>
        <v>3.8647624650397415E-4</v>
      </c>
      <c r="R12" s="67">
        <f t="shared" ca="1" si="1"/>
        <v>-1.9658999122640353E-2</v>
      </c>
    </row>
    <row r="13" spans="2:18" x14ac:dyDescent="0.2">
      <c r="B13" s="29" t="s">
        <v>74</v>
      </c>
      <c r="C13" s="76" t="str">
        <f ca="1">_xll.QMACreateBondCalculationParametersObject(B13&amp;"FittedCalc",$B$3,L13,M13,N13,O13,P13,YieldCrvObj)</f>
        <v>EF296277 CorpFittedCalc#1</v>
      </c>
      <c r="D13" s="69" t="str">
        <f ca="1">_xll.QMACreateBondObject("Fitted"&amp;B13,B13,C13,$C$3,TRUE)</f>
        <v>FittedEF296277 Corp#1</v>
      </c>
      <c r="E13" s="25" t="str">
        <f ca="1">_xll.QMAObjectProperty(D13,E$8)</f>
        <v>UKT 4 09/07/16</v>
      </c>
      <c r="F13" s="25">
        <f ca="1">_xll.QMAObjectProperty(D13,F$8)</f>
        <v>42620</v>
      </c>
      <c r="G13" s="2">
        <f ca="1">_xll.QMABondCalculationProperty(D13,G$8)</f>
        <v>105.9812210484951</v>
      </c>
      <c r="H13" s="2">
        <f ca="1">_xll.QMABondCalculationProperty(D13,H$8)</f>
        <v>0.462877696598055</v>
      </c>
      <c r="I13" s="54">
        <v>106.13500000000001</v>
      </c>
      <c r="J13" s="54">
        <v>106.125</v>
      </c>
      <c r="K13" s="40">
        <v>0</v>
      </c>
      <c r="L13" s="70">
        <f>IF(LiveMarketData,_xll.BDP(B13,"PX_ASK"),I13)+$K13</f>
        <v>106.08</v>
      </c>
      <c r="M13" s="70">
        <f>IF(LiveMarketData,_xll.BDP(B13,"PX_BID"),J13)+$K13</f>
        <v>106.07</v>
      </c>
      <c r="N13" s="3" t="b">
        <f>FALSE</f>
        <v>0</v>
      </c>
      <c r="O13" s="3" t="b">
        <f>FALSE</f>
        <v>0</v>
      </c>
      <c r="P13" s="65">
        <v>1</v>
      </c>
      <c r="Q13" s="66">
        <f t="shared" ca="1" si="0"/>
        <v>8.794491745356077E-3</v>
      </c>
      <c r="R13" s="67">
        <f t="shared" ca="1" si="1"/>
        <v>-9.3778951504887686E-2</v>
      </c>
    </row>
    <row r="14" spans="2:18" x14ac:dyDescent="0.2">
      <c r="B14" s="29" t="s">
        <v>75</v>
      </c>
      <c r="C14" s="76" t="str">
        <f ca="1">_xll.QMACreateBondCalculationParametersObject(B14&amp;"FittedCalc",$B$3,L14,M14,N14,O14,P14,YieldCrvObj)</f>
        <v>EI778872 CorpFittedCalc#1</v>
      </c>
      <c r="D14" s="69" t="str">
        <f ca="1">_xll.QMACreateBondObject("Fitted"&amp;B14,B14,C14,$C$3,TRUE)</f>
        <v>FittedEI778872 Corp#1</v>
      </c>
      <c r="E14" s="25" t="str">
        <f ca="1">_xll.QMAObjectProperty(D14,E$8)</f>
        <v>UKT 1 3/4 01/22/17</v>
      </c>
      <c r="F14" s="25">
        <f ca="1">_xll.QMAObjectProperty(D14,F$8)</f>
        <v>42757</v>
      </c>
      <c r="G14" s="2">
        <f ca="1">_xll.QMABondCalculationProperty(D14,G$8)</f>
        <v>102.41068825616705</v>
      </c>
      <c r="H14" s="2">
        <f ca="1">_xll.QMABondCalculationProperty(D14,H$8)</f>
        <v>0.55624708041073434</v>
      </c>
      <c r="I14" s="54">
        <v>102.4</v>
      </c>
      <c r="J14" s="54">
        <v>102.39</v>
      </c>
      <c r="K14" s="40">
        <v>0</v>
      </c>
      <c r="L14" s="70">
        <f>IF(LiveMarketData,_xll.BDP(B14,"PX_ASK"),I14)+$K14</f>
        <v>102.5</v>
      </c>
      <c r="M14" s="70">
        <f>IF(LiveMarketData,_xll.BDP(B14,"PX_BID"),J14)+$K14</f>
        <v>102.485</v>
      </c>
      <c r="N14" s="3" t="b">
        <f>FALSE</f>
        <v>0</v>
      </c>
      <c r="O14" s="3" t="b">
        <f>FALSE</f>
        <v>0</v>
      </c>
      <c r="P14" s="65">
        <v>1</v>
      </c>
      <c r="Q14" s="66">
        <f t="shared" ca="1" si="0"/>
        <v>6.693161428989537E-3</v>
      </c>
      <c r="R14" s="67">
        <f t="shared" ca="1" si="1"/>
        <v>-8.1811743832957973E-2</v>
      </c>
    </row>
    <row r="15" spans="2:18" x14ac:dyDescent="0.2">
      <c r="B15" s="29" t="s">
        <v>76</v>
      </c>
      <c r="C15" s="76" t="str">
        <f ca="1">_xll.QMACreateBondCalculationParametersObject(B15&amp;"FittedCalc",$B$3,L15,M15,N15,O15,P15,YieldCrvObj)</f>
        <v>GG712874 CorpFittedCalc#1</v>
      </c>
      <c r="D15" s="69" t="str">
        <f ca="1">_xll.QMACreateBondObject("Fitted"&amp;B15,B15,C15,$C$3,TRUE)</f>
        <v>FittedGG712874 Corp#1</v>
      </c>
      <c r="E15" s="25" t="str">
        <f ca="1">_xll.QMAObjectProperty(D15,E$8)</f>
        <v>UKT 8 3/4 08/25/17</v>
      </c>
      <c r="F15" s="25">
        <f ca="1">_xll.QMAObjectProperty(D15,F$8)</f>
        <v>42972</v>
      </c>
      <c r="G15" s="2">
        <f ca="1">_xll.QMABondCalculationProperty(D15,G$8)</f>
        <v>121.23804169514193</v>
      </c>
      <c r="H15" s="2">
        <f ca="1">_xll.QMABondCalculationProperty(D15,H$8)</f>
        <v>0.62781726135575744</v>
      </c>
      <c r="I15" s="54">
        <v>121.82</v>
      </c>
      <c r="J15" s="54">
        <v>121.8</v>
      </c>
      <c r="K15" s="40">
        <v>0</v>
      </c>
      <c r="L15" s="70">
        <f>IF(LiveMarketData,_xll.BDP(B15,"PX_ASK"),I15)+$K15</f>
        <v>121.685</v>
      </c>
      <c r="M15" s="70">
        <f>IF(LiveMarketData,_xll.BDP(B15,"PX_BID"),J15)+$K15</f>
        <v>121.66500000000001</v>
      </c>
      <c r="N15" s="3" t="b">
        <f>FALSE</f>
        <v>0</v>
      </c>
      <c r="O15" s="3" t="b">
        <f>FALSE</f>
        <v>0</v>
      </c>
      <c r="P15" s="65">
        <v>1</v>
      </c>
      <c r="Q15" s="66">
        <f t="shared" ca="1" si="0"/>
        <v>0.19093256018444743</v>
      </c>
      <c r="R15" s="67">
        <f t="shared" ca="1" si="1"/>
        <v>-0.43695830485808074</v>
      </c>
    </row>
    <row r="16" spans="2:18" x14ac:dyDescent="0.2">
      <c r="B16" s="29" t="s">
        <v>77</v>
      </c>
      <c r="C16" s="76" t="str">
        <f ca="1">_xll.QMACreateBondCalculationParametersObject(B16&amp;"FittedCalc",$B$3,L16,M16,N16,O16,P16,YieldCrvObj)</f>
        <v>EJ046916 CorpFittedCalc#1</v>
      </c>
      <c r="D16" s="69" t="str">
        <f ca="1">_xll.QMACreateBondObject("Fitted"&amp;B16,B16,C16,$C$3,TRUE)</f>
        <v>FittedEJ046916 Corp#1</v>
      </c>
      <c r="E16" s="25" t="str">
        <f ca="1">_xll.QMAObjectProperty(D16,E$8)</f>
        <v>UKT 1 09/07/17</v>
      </c>
      <c r="F16" s="25">
        <f ca="1">_xll.QMAObjectProperty(D16,F$8)</f>
        <v>42985</v>
      </c>
      <c r="G16" s="2">
        <f ca="1">_xll.QMABondCalculationProperty(D16,G$8)</f>
        <v>100.51532648265535</v>
      </c>
      <c r="H16" s="2">
        <f ca="1">_xll.QMABondCalculationProperty(D16,H$8)</f>
        <v>0.73733193240993777</v>
      </c>
      <c r="I16" s="54">
        <v>100.435</v>
      </c>
      <c r="J16" s="54">
        <v>100.425</v>
      </c>
      <c r="K16" s="40">
        <v>0</v>
      </c>
      <c r="L16" s="70">
        <f>IF(LiveMarketData,_xll.BDP(B16,"PX_ASK"),I16)+$K16</f>
        <v>100.715</v>
      </c>
      <c r="M16" s="70">
        <f>IF(LiveMarketData,_xll.BDP(B16,"PX_BID"),J16)+$K16</f>
        <v>100.7</v>
      </c>
      <c r="N16" s="3" t="b">
        <f>FALSE</f>
        <v>0</v>
      </c>
      <c r="O16" s="3" t="b">
        <f>FALSE</f>
        <v>0</v>
      </c>
      <c r="P16" s="65">
        <v>1</v>
      </c>
      <c r="Q16" s="66">
        <f t="shared" ca="1" si="0"/>
        <v>3.6930660768616945E-2</v>
      </c>
      <c r="R16" s="67">
        <f t="shared" ca="1" si="1"/>
        <v>-0.19217351734465637</v>
      </c>
    </row>
    <row r="17" spans="2:18" x14ac:dyDescent="0.2">
      <c r="B17" s="29" t="s">
        <v>78</v>
      </c>
      <c r="C17" s="76" t="str">
        <f ca="1">_xll.QMACreateBondCalculationParametersObject(B17&amp;"FittedCalc",$B$3,L17,M17,N17,O17,P17,YieldCrvObj)</f>
        <v>EG456904 CorpFittedCalc#1</v>
      </c>
      <c r="D17" s="69" t="str">
        <f ca="1">_xll.QMACreateBondObject("Fitted"&amp;B17,B17,C17,$C$3,TRUE)</f>
        <v>FittedEG456904 Corp#1</v>
      </c>
      <c r="E17" s="25" t="str">
        <f ca="1">_xll.QMAObjectProperty(D17,E$8)</f>
        <v>UKT 5 03/07/18</v>
      </c>
      <c r="F17" s="25">
        <f ca="1">_xll.QMAObjectProperty(D17,F$8)</f>
        <v>43166</v>
      </c>
      <c r="G17" s="2">
        <f ca="1">_xll.QMABondCalculationProperty(D17,G$8)</f>
        <v>112.88339350920269</v>
      </c>
      <c r="H17" s="2">
        <f ca="1">_xll.QMABondCalculationProperty(D17,H$8)</f>
        <v>0.83807333755012925</v>
      </c>
      <c r="I17" s="54">
        <v>113.065</v>
      </c>
      <c r="J17" s="54">
        <v>113.05</v>
      </c>
      <c r="K17" s="40">
        <v>0</v>
      </c>
      <c r="L17" s="70">
        <f>IF(LiveMarketData,_xll.BDP(B17,"PX_ASK"),I17)+$K17</f>
        <v>113.22499999999999</v>
      </c>
      <c r="M17" s="70">
        <f>IF(LiveMarketData,_xll.BDP(B17,"PX_BID"),J17)+$K17</f>
        <v>113.215</v>
      </c>
      <c r="N17" s="3" t="b">
        <f>FALSE</f>
        <v>0</v>
      </c>
      <c r="O17" s="3" t="b">
        <f>FALSE</f>
        <v>0</v>
      </c>
      <c r="P17" s="3">
        <v>1</v>
      </c>
      <c r="Q17" s="66">
        <f t="shared" ca="1" si="0"/>
        <v>0.11330392964687841</v>
      </c>
      <c r="R17" s="67">
        <f t="shared" ca="1" si="1"/>
        <v>-0.33660649079730831</v>
      </c>
    </row>
    <row r="18" spans="2:18" x14ac:dyDescent="0.2">
      <c r="B18" s="29" t="s">
        <v>79</v>
      </c>
      <c r="C18" s="76" t="str">
        <f ca="1">_xll.QMACreateBondCalculationParametersObject(B18&amp;"FittedCalc",$B$3,L18,M18,N18,O18,P18,YieldCrvObj)</f>
        <v>EJ545726 CorpFittedCalc#1</v>
      </c>
      <c r="D18" s="69" t="str">
        <f ca="1">_xll.QMACreateBondObject("Fitted"&amp;B18,B18,C18,$C$3,TRUE)</f>
        <v>FittedEJ545726 Corp#1</v>
      </c>
      <c r="E18" s="25" t="str">
        <f ca="1">_xll.QMAObjectProperty(D18,E$8)</f>
        <v>UKT 1 1/4 07/22/18</v>
      </c>
      <c r="F18" s="25">
        <f ca="1">_xll.QMAObjectProperty(D18,F$8)</f>
        <v>43303</v>
      </c>
      <c r="G18" s="2">
        <f ca="1">_xll.QMABondCalculationProperty(D18,G$8)</f>
        <v>100.68989797599232</v>
      </c>
      <c r="H18" s="2">
        <f ca="1">_xll.QMABondCalculationProperty(D18,H$8)</f>
        <v>1.0013690963107054</v>
      </c>
      <c r="I18" s="54">
        <v>100.49</v>
      </c>
      <c r="J18" s="54">
        <v>100.47499999999999</v>
      </c>
      <c r="K18" s="40">
        <v>0</v>
      </c>
      <c r="L18" s="70">
        <f>IF(LiveMarketData,_xll.BDP(B18,"PX_ASK"),I18)+$K18</f>
        <v>100.88500000000001</v>
      </c>
      <c r="M18" s="70">
        <f>IF(LiveMarketData,_xll.BDP(B18,"PX_BID"),J18)+$K18</f>
        <v>100.87</v>
      </c>
      <c r="N18" s="3" t="b">
        <f>FALSE</f>
        <v>0</v>
      </c>
      <c r="O18" s="3" t="b">
        <f>FALSE</f>
        <v>0</v>
      </c>
      <c r="P18" s="3">
        <v>1</v>
      </c>
      <c r="Q18" s="66">
        <f t="shared" ca="1" si="0"/>
        <v>3.5194519411775933E-2</v>
      </c>
      <c r="R18" s="67">
        <f t="shared" ca="1" si="1"/>
        <v>-0.18760202400767412</v>
      </c>
    </row>
    <row r="19" spans="2:18" x14ac:dyDescent="0.2">
      <c r="B19" s="29" t="s">
        <v>80</v>
      </c>
      <c r="C19" s="76" t="str">
        <f ca="1">_xll.QMACreateBondCalculationParametersObject(B19&amp;"FittedCalc",$B$3,L19,M19,N19,O19,P19,YieldCrvObj)</f>
        <v>EH559130 CorpFittedCalc#1</v>
      </c>
      <c r="D19" s="69" t="str">
        <f ca="1">_xll.QMACreateBondObject("Fitted"&amp;B19,B19,C19,$C$3,TRUE)</f>
        <v>FittedEH559130 Corp#1</v>
      </c>
      <c r="E19" s="25" t="str">
        <f ca="1">_xll.QMAObjectProperty(D19,E$8)</f>
        <v>UKT 4 1/2 03/07/19</v>
      </c>
      <c r="F19" s="25">
        <f ca="1">_xll.QMAObjectProperty(D19,F$8)</f>
        <v>43531</v>
      </c>
      <c r="G19" s="2">
        <f ca="1">_xll.QMABondCalculationProperty(D19,G$8)</f>
        <v>113.6410237053942</v>
      </c>
      <c r="H19" s="2">
        <f ca="1">_xll.QMABondCalculationProperty(D19,H$8)</f>
        <v>1.0735081919885647</v>
      </c>
      <c r="I19" s="54">
        <v>113.745</v>
      </c>
      <c r="J19" s="54">
        <v>113.73</v>
      </c>
      <c r="K19" s="40">
        <v>0</v>
      </c>
      <c r="L19" s="70">
        <f>IF(LiveMarketData,_xll.BDP(B19,"PX_ASK"),I19)+$K19</f>
        <v>114.125</v>
      </c>
      <c r="M19" s="70">
        <f>IF(LiveMarketData,_xll.BDP(B19,"PX_BID"),J19)+$K19</f>
        <v>114.11499999999999</v>
      </c>
      <c r="N19" s="3" t="b">
        <f>FALSE</f>
        <v>0</v>
      </c>
      <c r="O19" s="3" t="b">
        <f>FALSE</f>
        <v>0</v>
      </c>
      <c r="P19" s="3">
        <v>1</v>
      </c>
      <c r="Q19" s="66">
        <f t="shared" ca="1" si="0"/>
        <v>0.22941829079430259</v>
      </c>
      <c r="R19" s="67">
        <f t="shared" ca="1" si="1"/>
        <v>-0.47897629460580049</v>
      </c>
    </row>
    <row r="20" spans="2:18" x14ac:dyDescent="0.2">
      <c r="B20" s="29" t="s">
        <v>81</v>
      </c>
      <c r="C20" s="76" t="str">
        <f ca="1">_xll.QMACreateBondCalculationParametersObject(B20&amp;"FittedCalc",$B$3,L20,M20,N20,O20,P20,YieldCrvObj)</f>
        <v>EJ933497 CorpFittedCalc#1</v>
      </c>
      <c r="D20" s="69" t="str">
        <f ca="1">_xll.QMACreateBondObject("Fitted"&amp;B20,B20,C20,$C$3,TRUE)</f>
        <v>FittedEJ933497 Corp#1</v>
      </c>
      <c r="E20" s="25" t="str">
        <f ca="1">_xll.QMAObjectProperty(D20,E$8)</f>
        <v>UKT 1 3/4 07/22/19</v>
      </c>
      <c r="F20" s="25">
        <f ca="1">_xll.QMAObjectProperty(D20,F$8)</f>
        <v>43668</v>
      </c>
      <c r="G20" s="2">
        <f ca="1">_xll.QMABondCalculationProperty(D20,G$8)</f>
        <v>102.11423177560609</v>
      </c>
      <c r="H20" s="2">
        <f ca="1">_xll.QMABondCalculationProperty(D20,H$8)</f>
        <v>1.2133777394403364</v>
      </c>
      <c r="I20" s="54">
        <v>101.85</v>
      </c>
      <c r="J20" s="54">
        <v>101.83499999999999</v>
      </c>
      <c r="K20" s="40">
        <v>0</v>
      </c>
      <c r="L20" s="70">
        <f>IF(LiveMarketData,_xll.BDP(B20,"PX_ASK"),I20)+$K20</f>
        <v>102.4</v>
      </c>
      <c r="M20" s="70">
        <f>IF(LiveMarketData,_xll.BDP(B20,"PX_BID"),J20)+$K20</f>
        <v>102.39</v>
      </c>
      <c r="N20" s="3" t="b">
        <f>FALSE</f>
        <v>0</v>
      </c>
      <c r="O20" s="3" t="b">
        <f>FALSE</f>
        <v>0</v>
      </c>
      <c r="P20" s="3">
        <v>1</v>
      </c>
      <c r="Q20" s="66">
        <f t="shared" ca="1" si="0"/>
        <v>7.8830795829316874E-2</v>
      </c>
      <c r="R20" s="67">
        <f t="shared" ca="1" si="1"/>
        <v>-0.28076822439392402</v>
      </c>
    </row>
    <row r="21" spans="2:18" x14ac:dyDescent="0.2">
      <c r="B21" s="29" t="s">
        <v>82</v>
      </c>
      <c r="C21" s="76" t="str">
        <f ca="1">_xll.QMACreateBondCalculationParametersObject(B21&amp;"FittedCalc",$B$3,L21,M21,N21,O21,P21,YieldCrvObj)</f>
        <v>EH887630 CorpFittedCalc#1</v>
      </c>
      <c r="D21" s="69" t="str">
        <f ca="1">_xll.QMACreateBondObject("Fitted"&amp;B21,B21,C21,$C$3,TRUE)</f>
        <v>FittedEH887630 Corp#1</v>
      </c>
      <c r="E21" s="25" t="str">
        <f ca="1">_xll.QMAObjectProperty(D21,E$8)</f>
        <v>UKT 3 3/4 09/07/19</v>
      </c>
      <c r="F21" s="25">
        <f ca="1">_xll.QMAObjectProperty(D21,F$8)</f>
        <v>43715</v>
      </c>
      <c r="G21" s="2">
        <f ca="1">_xll.QMABondCalculationProperty(D21,G$8)</f>
        <v>111.26990013066001</v>
      </c>
      <c r="H21" s="2">
        <f ca="1">_xll.QMABondCalculationProperty(D21,H$8)</f>
        <v>1.189615830651463</v>
      </c>
      <c r="I21" s="54">
        <v>111.26</v>
      </c>
      <c r="J21" s="54">
        <v>111.25</v>
      </c>
      <c r="K21" s="40">
        <v>0</v>
      </c>
      <c r="L21" s="70">
        <f>IF(LiveMarketData,_xll.BDP(B21,"PX_ASK"),I21)+$K21</f>
        <v>111.74</v>
      </c>
      <c r="M21" s="70">
        <f>IF(LiveMarketData,_xll.BDP(B21,"PX_BID"),J21)+$K21</f>
        <v>111.72499999999999</v>
      </c>
      <c r="N21" s="3" t="b">
        <f>FALSE</f>
        <v>0</v>
      </c>
      <c r="O21" s="3" t="b">
        <f>FALSE</f>
        <v>0</v>
      </c>
      <c r="P21" s="3">
        <v>1</v>
      </c>
      <c r="Q21" s="66">
        <f t="shared" ca="1" si="0"/>
        <v>0.21399863911336861</v>
      </c>
      <c r="R21" s="67">
        <f t="shared" ca="1" si="1"/>
        <v>-0.46259986933998221</v>
      </c>
    </row>
    <row r="22" spans="2:18" x14ac:dyDescent="0.2">
      <c r="B22" s="29" t="s">
        <v>83</v>
      </c>
      <c r="C22" s="76" t="str">
        <f ca="1">_xll.QMACreateBondCalculationParametersObject(B22&amp;"FittedCalc",$B$3,L22,M22,N22,O22,P22,YieldCrvObj)</f>
        <v>ED860812 CorpFittedCalc#1</v>
      </c>
      <c r="D22" s="69" t="str">
        <f ca="1">_xll.QMACreateBondObject("Fitted"&amp;B22,B22,C22,$C$3,TRUE)</f>
        <v>FittedED860812 Corp#1</v>
      </c>
      <c r="E22" s="25" t="str">
        <f ca="1">_xll.QMAObjectProperty(D22,E$8)</f>
        <v>UKT 4 3/4 03/07/20</v>
      </c>
      <c r="F22" s="25">
        <f ca="1">_xll.QMAObjectProperty(D22,F$8)</f>
        <v>43897</v>
      </c>
      <c r="G22" s="2">
        <f ca="1">_xll.QMABondCalculationProperty(D22,G$8)</f>
        <v>117.0304012923891</v>
      </c>
      <c r="H22" s="2">
        <f ca="1">_xll.QMABondCalculationProperty(D22,H$8)</f>
        <v>1.2654140582299356</v>
      </c>
      <c r="I22" s="54">
        <v>116.94499999999999</v>
      </c>
      <c r="J22" s="54">
        <v>116.93</v>
      </c>
      <c r="K22" s="40">
        <v>0</v>
      </c>
      <c r="L22" s="70">
        <f>IF(LiveMarketData,_xll.BDP(B22,"PX_ASK"),I22)+$K22</f>
        <v>117.575</v>
      </c>
      <c r="M22" s="70">
        <f>IF(LiveMarketData,_xll.BDP(B22,"PX_BID"),J22)+$K22</f>
        <v>117.56</v>
      </c>
      <c r="N22" s="3" t="b">
        <f>FALSE</f>
        <v>0</v>
      </c>
      <c r="O22" s="3" t="b">
        <f>FALSE</f>
        <v>0</v>
      </c>
      <c r="P22" s="3">
        <v>1</v>
      </c>
      <c r="Q22" s="66">
        <f t="shared" ca="1" si="0"/>
        <v>0.28847502171729328</v>
      </c>
      <c r="R22" s="67">
        <f t="shared" ca="1" si="1"/>
        <v>-0.53709870761089462</v>
      </c>
    </row>
    <row r="23" spans="2:18" x14ac:dyDescent="0.2">
      <c r="B23" s="29" t="s">
        <v>84</v>
      </c>
      <c r="C23" s="76" t="str">
        <f ca="1">_xll.QMACreateBondCalculationParametersObject(B23&amp;"FittedCalc",$B$3,L23,M23,N23,O23,P23,YieldCrvObj)</f>
        <v>EI270507 CorpFittedCalc#1</v>
      </c>
      <c r="D23" s="69" t="str">
        <f ca="1">_xll.QMACreateBondObject("Fitted"&amp;B23,B23,C23,$C$3,TRUE)</f>
        <v>FittedEI270507 Corp#1</v>
      </c>
      <c r="E23" s="25" t="str">
        <f ca="1">_xll.QMAObjectProperty(D23,E$8)</f>
        <v>UKT 3 3/4 09/07/20</v>
      </c>
      <c r="F23" s="25">
        <f ca="1">_xll.QMAObjectProperty(D23,F$8)</f>
        <v>44081</v>
      </c>
      <c r="G23" s="2">
        <f ca="1">_xll.QMABondCalculationProperty(D23,G$8)</f>
        <v>112.60787220160331</v>
      </c>
      <c r="H23" s="2">
        <f ca="1">_xll.QMABondCalculationProperty(D23,H$8)</f>
        <v>1.3405094773387276</v>
      </c>
      <c r="I23" s="54">
        <v>112.47</v>
      </c>
      <c r="J23" s="54">
        <v>112.455</v>
      </c>
      <c r="K23" s="40">
        <v>0</v>
      </c>
      <c r="L23" s="70">
        <f>IF(LiveMarketData,_xll.BDP(B23,"PX_ASK"),I23)+$K23</f>
        <v>113.245</v>
      </c>
      <c r="M23" s="70">
        <f>IF(LiveMarketData,_xll.BDP(B23,"PX_BID"),J23)+$K23</f>
        <v>113.23</v>
      </c>
      <c r="N23" s="3" t="b">
        <f>FALSE</f>
        <v>0</v>
      </c>
      <c r="O23" s="3" t="b">
        <f>FALSE</f>
        <v>0</v>
      </c>
      <c r="P23" s="3">
        <v>1</v>
      </c>
      <c r="Q23" s="66">
        <f t="shared" ca="1" si="0"/>
        <v>0.39643116451387217</v>
      </c>
      <c r="R23" s="67">
        <f t="shared" ca="1" si="1"/>
        <v>-0.62962779839669736</v>
      </c>
    </row>
    <row r="24" spans="2:18" x14ac:dyDescent="0.2">
      <c r="B24" s="29" t="s">
        <v>85</v>
      </c>
      <c r="C24" s="76" t="str">
        <f ca="1">_xll.QMACreateBondCalculationParametersObject(B24&amp;"FittedCalc",$B$3,L24,M24,N24,O24,P24,YieldCrvObj)</f>
        <v>GG726786 CorpFittedCalc#1</v>
      </c>
      <c r="D24" s="69" t="str">
        <f ca="1">_xll.QMACreateBondObject("Fitted"&amp;B24,B24,C24,$C$3,TRUE)</f>
        <v>FittedGG726786 Corp#1</v>
      </c>
      <c r="E24" s="25" t="str">
        <f ca="1">_xll.QMAObjectProperty(D24,E$8)</f>
        <v>UKT 8 06/07/21</v>
      </c>
      <c r="F24" s="25">
        <f ca="1">_xll.QMAObjectProperty(D24,F$8)</f>
        <v>44354</v>
      </c>
      <c r="G24" s="2">
        <f ca="1">_xll.QMABondCalculationProperty(D24,G$8)</f>
        <v>140.04023508497838</v>
      </c>
      <c r="H24" s="2">
        <f ca="1">_xll.QMABondCalculationProperty(D24,H$8)</f>
        <v>1.3936344583370026</v>
      </c>
      <c r="I24" s="54">
        <v>139.82499999999999</v>
      </c>
      <c r="J24" s="54">
        <v>139.79499999999999</v>
      </c>
      <c r="K24" s="40">
        <v>0</v>
      </c>
      <c r="L24" s="70">
        <f>IF(LiveMarketData,_xll.BDP(B24,"PX_ASK"),I24)+$K24</f>
        <v>140.80000000000001</v>
      </c>
      <c r="M24" s="70">
        <f>IF(LiveMarketData,_xll.BDP(B24,"PX_BID"),J24)+$K24</f>
        <v>140.77000000000001</v>
      </c>
      <c r="N24" s="3" t="b">
        <f>FALSE</f>
        <v>0</v>
      </c>
      <c r="O24" s="3" t="b">
        <f>FALSE</f>
        <v>0</v>
      </c>
      <c r="P24" s="3">
        <v>1</v>
      </c>
      <c r="Q24" s="66">
        <f t="shared" ca="1" si="0"/>
        <v>0.55467477864720227</v>
      </c>
      <c r="R24" s="67">
        <f t="shared" ca="1" si="1"/>
        <v>-0.74476491502164777</v>
      </c>
    </row>
    <row r="25" spans="2:18" x14ac:dyDescent="0.2">
      <c r="B25" s="29" t="s">
        <v>86</v>
      </c>
      <c r="C25" s="76" t="str">
        <f ca="1">_xll.QMACreateBondCalculationParametersObject(B25&amp;"FittedCalc",$B$3,L25,M25,N25,O25,P25,YieldCrvObj)</f>
        <v>EI604577 CorpFittedCalc#1</v>
      </c>
      <c r="D25" s="69" t="str">
        <f ca="1">_xll.QMACreateBondObject("Fitted"&amp;B25,B25,C25,$C$3,TRUE)</f>
        <v>FittedEI604577 Corp#1</v>
      </c>
      <c r="E25" s="25" t="str">
        <f ca="1">_xll.QMAObjectProperty(D25,E$8)</f>
        <v>UKT 3 3/4 09/07/21</v>
      </c>
      <c r="F25" s="25">
        <f ca="1">_xll.QMAObjectProperty(D25,F$8)</f>
        <v>44446</v>
      </c>
      <c r="G25" s="2">
        <f ca="1">_xll.QMABondCalculationProperty(D25,G$8)</f>
        <v>113.93645446674927</v>
      </c>
      <c r="H25" s="2">
        <f ca="1">_xll.QMABondCalculationProperty(D25,H$8)</f>
        <v>1.4508173840603393</v>
      </c>
      <c r="I25" s="54">
        <v>113.595</v>
      </c>
      <c r="J25" s="54">
        <v>113.58</v>
      </c>
      <c r="K25" s="40">
        <v>0</v>
      </c>
      <c r="L25" s="70">
        <f>IF(LiveMarketData,_xll.BDP(B25,"PX_ASK"),I25)+$K25</f>
        <v>114.69</v>
      </c>
      <c r="M25" s="70">
        <f>IF(LiveMarketData,_xll.BDP(B25,"PX_BID"),J25)+$K25</f>
        <v>114.675</v>
      </c>
      <c r="N25" s="3" t="b">
        <f>FALSE</f>
        <v>0</v>
      </c>
      <c r="O25" s="3" t="b">
        <f>FALSE</f>
        <v>0</v>
      </c>
      <c r="P25" s="3">
        <v>1</v>
      </c>
      <c r="Q25" s="66">
        <f t="shared" ca="1" si="0"/>
        <v>0.55658393768337577</v>
      </c>
      <c r="R25" s="67">
        <f t="shared" ca="1" si="1"/>
        <v>-0.74604553325073653</v>
      </c>
    </row>
    <row r="26" spans="2:18" x14ac:dyDescent="0.2">
      <c r="B26" s="29" t="s">
        <v>87</v>
      </c>
      <c r="C26" s="76" t="str">
        <f ca="1">_xll.QMACreateBondCalculationParametersObject(B26&amp;"FittedCalc",$B$3,L26,M26,N26,O26,P26,YieldCrvObj)</f>
        <v>EH728200 CorpFittedCalc#1</v>
      </c>
      <c r="D26" s="69" t="str">
        <f ca="1">_xll.QMACreateBondObject("Fitted"&amp;B26,B26,C26,$C$3,TRUE)</f>
        <v>FittedEH728200 Corp#1</v>
      </c>
      <c r="E26" s="25" t="str">
        <f ca="1">_xll.QMAObjectProperty(D26,E$8)</f>
        <v>UKT 4 03/07/22</v>
      </c>
      <c r="F26" s="25">
        <f ca="1">_xll.QMAObjectProperty(D26,F$8)</f>
        <v>44627</v>
      </c>
      <c r="G26" s="2">
        <f ca="1">_xll.QMABondCalculationProperty(D26,G$8)</f>
        <v>116.22628654542675</v>
      </c>
      <c r="H26" s="2">
        <f ca="1">_xll.QMABondCalculationProperty(D26,H$8)</f>
        <v>1.4975522129146388</v>
      </c>
      <c r="I26" s="54">
        <v>115.755</v>
      </c>
      <c r="J26" s="54">
        <v>115.74</v>
      </c>
      <c r="K26" s="40">
        <v>0</v>
      </c>
      <c r="L26" s="70">
        <f>IF(LiveMarketData,_xll.BDP(B26,"PX_ASK"),I26)+$K26</f>
        <v>117.08499999999999</v>
      </c>
      <c r="M26" s="70">
        <f>IF(LiveMarketData,_xll.BDP(B26,"PX_BID"),J26)+$K26</f>
        <v>117.07</v>
      </c>
      <c r="N26" s="3" t="b">
        <f>FALSE</f>
        <v>0</v>
      </c>
      <c r="O26" s="3" t="b">
        <f>FALSE</f>
        <v>0</v>
      </c>
      <c r="P26" s="3">
        <v>1</v>
      </c>
      <c r="Q26" s="66">
        <f t="shared" ca="1" si="0"/>
        <v>0.7245643452465107</v>
      </c>
      <c r="R26" s="67">
        <f t="shared" ca="1" si="1"/>
        <v>-0.85121345457324082</v>
      </c>
    </row>
    <row r="27" spans="2:18" x14ac:dyDescent="0.2">
      <c r="B27" s="29" t="s">
        <v>88</v>
      </c>
      <c r="C27" s="76" t="str">
        <f ca="1">_xll.QMACreateBondCalculationParametersObject(B27&amp;"FittedCalc",$B$3,L27,M27,N27,O27,P27,YieldCrvObj)</f>
        <v>EJ237349 CorpFittedCalc#1</v>
      </c>
      <c r="D27" s="69" t="str">
        <f ca="1">_xll.QMACreateBondObject("Fitted"&amp;B27,B27,C27,$C$3,TRUE)</f>
        <v>FittedEJ237349 Corp#1</v>
      </c>
      <c r="E27" s="25" t="str">
        <f ca="1">_xll.QMAObjectProperty(D27,E$8)</f>
        <v>UKT 1 3/4 09/07/22</v>
      </c>
      <c r="F27" s="25">
        <f ca="1">_xll.QMAObjectProperty(D27,F$8)</f>
        <v>44811</v>
      </c>
      <c r="G27" s="2">
        <f ca="1">_xll.QMABondCalculationProperty(D27,G$8)</f>
        <v>100.35053726017301</v>
      </c>
      <c r="H27" s="2">
        <f ca="1">_xll.QMABondCalculationProperty(D27,H$8)</f>
        <v>1.5952323839692704</v>
      </c>
      <c r="I27" s="54">
        <v>99.59</v>
      </c>
      <c r="J27" s="54">
        <v>99.575000000000003</v>
      </c>
      <c r="K27" s="40">
        <v>0</v>
      </c>
      <c r="L27" s="70">
        <f>IF(LiveMarketData,_xll.BDP(B27,"PX_ASK"),I27)+$K27</f>
        <v>101.13</v>
      </c>
      <c r="M27" s="70">
        <f>IF(LiveMarketData,_xll.BDP(B27,"PX_BID"),J27)+$K27</f>
        <v>101.11</v>
      </c>
      <c r="N27" s="3" t="b">
        <f>FALSE</f>
        <v>0</v>
      </c>
      <c r="O27" s="3" t="b">
        <f>FALSE</f>
        <v>0</v>
      </c>
      <c r="P27" s="3">
        <v>1</v>
      </c>
      <c r="Q27" s="66">
        <f t="shared" ca="1" si="0"/>
        <v>0.59207290798206047</v>
      </c>
      <c r="R27" s="67">
        <f t="shared" ca="1" si="1"/>
        <v>-0.76946273982699154</v>
      </c>
    </row>
    <row r="28" spans="2:18" x14ac:dyDescent="0.2">
      <c r="B28" s="29" t="s">
        <v>12</v>
      </c>
      <c r="C28" s="76" t="str">
        <f ca="1">_xll.QMACreateBondCalculationParametersObject(B28&amp;"FittedCalc",$B$3,L28,M28,N28,O28,P28,YieldCrvObj)</f>
        <v>EJ707218 CorpFittedCalc#1</v>
      </c>
      <c r="D28" s="69" t="str">
        <f ca="1">_xll.QMACreateBondObject("Fitted"&amp;B28,B28,C28,$C$3,TRUE)</f>
        <v>FittedEJ707218 Corp#1</v>
      </c>
      <c r="E28" s="25" t="str">
        <f ca="1">_xll.QMAObjectProperty(D28,E$8)</f>
        <v>UKT 2 1/4 09/07/23</v>
      </c>
      <c r="F28" s="25">
        <f ca="1">_xll.QMAObjectProperty(D28,F$8)</f>
        <v>45176</v>
      </c>
      <c r="G28" s="2">
        <f ca="1">_xll.QMABondCalculationProperty(D28,G$8)</f>
        <v>103.56882897507569</v>
      </c>
      <c r="H28" s="2">
        <f ca="1">_xll.QMABondCalculationProperty(D28,H$8)</f>
        <v>1.6966024959988011</v>
      </c>
      <c r="I28" s="54">
        <v>102.55500000000001</v>
      </c>
      <c r="J28" s="54">
        <v>102.54</v>
      </c>
      <c r="K28" s="40">
        <v>0</v>
      </c>
      <c r="L28" s="70">
        <f>IF(LiveMarketData,_xll.BDP(B28,"PX_ASK"),I28)+$K28</f>
        <v>104.47499999999999</v>
      </c>
      <c r="M28" s="70">
        <f>IF(LiveMarketData,_xll.BDP(B28,"PX_BID"),J28)+$K28</f>
        <v>104.465</v>
      </c>
      <c r="N28" s="3" t="b">
        <f>FALSE</f>
        <v>0</v>
      </c>
      <c r="O28" s="3" t="b">
        <f>FALSE</f>
        <v>0</v>
      </c>
      <c r="P28" s="3">
        <v>1</v>
      </c>
      <c r="Q28" s="66">
        <f t="shared" ca="1" si="0"/>
        <v>0.81210921616313037</v>
      </c>
      <c r="R28" s="67">
        <f t="shared" ca="1" si="1"/>
        <v>-0.90117102492430945</v>
      </c>
    </row>
    <row r="29" spans="2:18" x14ac:dyDescent="0.2">
      <c r="B29" s="29" t="s">
        <v>13</v>
      </c>
      <c r="C29" s="76" t="str">
        <f ca="1">_xll.QMACreateBondCalculationParametersObject(B29&amp;"FittedCalc",$B$3,L29,M29,N29,O29,P29,YieldCrvObj)</f>
        <v>EK109396 CorpFittedCalc#1</v>
      </c>
      <c r="D29" s="69" t="str">
        <f ca="1">_xll.QMACreateBondObject("Fitted"&amp;B29,B29,C29,$C$3,TRUE)</f>
        <v>FittedEK109396 Corp#1</v>
      </c>
      <c r="E29" s="25" t="str">
        <f ca="1">_xll.QMAObjectProperty(D29,E$8)</f>
        <v>UKT 2 3/4 09/07/24</v>
      </c>
      <c r="F29" s="25">
        <f ca="1">_xll.QMAObjectProperty(D29,F$8)</f>
        <v>45542</v>
      </c>
      <c r="G29" s="2">
        <f ca="1">_xll.QMABondCalculationProperty(D29,G$8)</f>
        <v>107.56241786899514</v>
      </c>
      <c r="H29" s="2">
        <f ca="1">_xll.QMABondCalculationProperty(D29,H$8)</f>
        <v>1.7992253984244564</v>
      </c>
      <c r="I29" s="54">
        <v>106.21</v>
      </c>
      <c r="J29" s="54">
        <v>106.19499999999999</v>
      </c>
      <c r="K29" s="40">
        <v>0</v>
      </c>
      <c r="L29" s="70">
        <f>IF(LiveMarketData,_xll.BDP(B29,"PX_ASK"),I29)+$K29</f>
        <v>108.455</v>
      </c>
      <c r="M29" s="70">
        <f>IF(LiveMarketData,_xll.BDP(B29,"PX_BID"),J29)+$K29</f>
        <v>108.44</v>
      </c>
      <c r="N29" s="3" t="b">
        <f>FALSE</f>
        <v>0</v>
      </c>
      <c r="O29" s="3" t="b">
        <f>FALSE</f>
        <v>0</v>
      </c>
      <c r="P29" s="3">
        <v>1</v>
      </c>
      <c r="Q29" s="66">
        <f t="shared" ca="1" si="0"/>
        <v>0.78337037862408687</v>
      </c>
      <c r="R29" s="67">
        <f t="shared" ca="1" si="1"/>
        <v>-0.88508213100485023</v>
      </c>
    </row>
    <row r="30" spans="2:18" x14ac:dyDescent="0.2">
      <c r="B30" s="29" t="s">
        <v>14</v>
      </c>
      <c r="C30" s="76" t="str">
        <f ca="1">_xll.QMACreateBondCalculationParametersObject(B30&amp;"FittedCalc",$B$3,L30,M30,N30,O30,P30,YieldCrvObj)</f>
        <v>EC453273 CorpFittedCalc#1</v>
      </c>
      <c r="D30" s="69" t="str">
        <f ca="1">_xll.QMACreateBondObject("Fitted"&amp;B30,B30,C30,$C$3,TRUE)</f>
        <v>FittedEC453273 Corp#1</v>
      </c>
      <c r="E30" s="25" t="str">
        <f ca="1">_xll.QMAObjectProperty(D30,E$8)</f>
        <v>UKT 5 03/07/25</v>
      </c>
      <c r="F30" s="25">
        <f ca="1">_xll.QMAObjectProperty(D30,F$8)</f>
        <v>45723</v>
      </c>
      <c r="G30" s="2">
        <f ca="1">_xll.QMABondCalculationProperty(D30,G$8)</f>
        <v>128.68745462040695</v>
      </c>
      <c r="H30" s="2">
        <f ca="1">_xll.QMABondCalculationProperty(D30,H$8)</f>
        <v>1.7804087733643579</v>
      </c>
      <c r="I30" s="54">
        <v>127.41500000000001</v>
      </c>
      <c r="J30" s="54">
        <v>127.405</v>
      </c>
      <c r="K30" s="40">
        <v>0</v>
      </c>
      <c r="L30" s="70">
        <f>IF(LiveMarketData,_xll.BDP(B30,"PX_ASK"),I30)+$K30</f>
        <v>129.98500000000001</v>
      </c>
      <c r="M30" s="70">
        <f>IF(LiveMarketData,_xll.BDP(B30,"PX_BID"),J30)+$K30</f>
        <v>129.97</v>
      </c>
      <c r="N30" s="3" t="b">
        <f>FALSE</f>
        <v>0</v>
      </c>
      <c r="O30" s="3" t="b">
        <f>FALSE</f>
        <v>0</v>
      </c>
      <c r="P30" s="3">
        <v>1</v>
      </c>
      <c r="Q30" s="66">
        <f t="shared" ca="1" si="0"/>
        <v>1.664217081409421</v>
      </c>
      <c r="R30" s="67">
        <f t="shared" ca="1" si="1"/>
        <v>-1.2900453795930673</v>
      </c>
    </row>
    <row r="31" spans="2:18" x14ac:dyDescent="0.2">
      <c r="B31" s="29" t="s">
        <v>15</v>
      </c>
      <c r="C31" s="76" t="str">
        <f ca="1">_xll.QMACreateBondCalculationParametersObject(B31&amp;"FittedCalc",$B$3,L31,M31,N31,O31,P31,YieldCrvObj)</f>
        <v>EF670373 CorpFittedCalc#1</v>
      </c>
      <c r="D31" s="69" t="str">
        <f ca="1">_xll.QMACreateBondObject("Fitted"&amp;B31,B31,C31,$C$3,TRUE)</f>
        <v>FittedEF670373 Corp#1</v>
      </c>
      <c r="E31" s="25" t="str">
        <f ca="1">_xll.QMAObjectProperty(D31,E$8)</f>
        <v>UKT 4 1/4 12/07/27</v>
      </c>
      <c r="F31" s="25">
        <f ca="1">_xll.QMAObjectProperty(D31,F$8)</f>
        <v>46728</v>
      </c>
      <c r="G31" s="2">
        <f ca="1">_xll.QMABondCalculationProperty(D31,G$8)</f>
        <v>124.26515291578677</v>
      </c>
      <c r="H31" s="2">
        <f ca="1">_xll.QMABondCalculationProperty(D31,H$8)</f>
        <v>2.0066210748224655</v>
      </c>
      <c r="I31" s="54">
        <v>122.13500000000001</v>
      </c>
      <c r="J31" s="54">
        <v>122.11499999999999</v>
      </c>
      <c r="K31" s="40">
        <v>0</v>
      </c>
      <c r="L31" s="70">
        <f>IF(LiveMarketData,_xll.BDP(B31,"PX_ASK"),I31)+$K31</f>
        <v>125.535</v>
      </c>
      <c r="M31" s="70">
        <f>IF(LiveMarketData,_xll.BDP(B31,"PX_BID"),J31)+$K31</f>
        <v>125.505</v>
      </c>
      <c r="N31" s="3" t="b">
        <f>FALSE</f>
        <v>0</v>
      </c>
      <c r="O31" s="3" t="b">
        <f>FALSE</f>
        <v>0</v>
      </c>
      <c r="P31" s="3">
        <v>1</v>
      </c>
      <c r="Q31" s="66">
        <f t="shared" ca="1" si="0"/>
        <v>1.5746412047584317</v>
      </c>
      <c r="R31" s="67">
        <f t="shared" ca="1" si="1"/>
        <v>-1.2548470842132247</v>
      </c>
    </row>
    <row r="32" spans="2:18" x14ac:dyDescent="0.2">
      <c r="B32" s="29" t="s">
        <v>16</v>
      </c>
      <c r="C32" s="76" t="str">
        <f ca="1">_xll.QMACreateBondCalculationParametersObject(B32&amp;"FittedCalc",$B$3,L32,M32,N32,O32,P32,YieldCrvObj)</f>
        <v>GG737572 CorpFittedCalc#1</v>
      </c>
      <c r="D32" s="69" t="str">
        <f ca="1">_xll.QMACreateBondObject("Fitted"&amp;B32,B32,C32,$C$3,TRUE)</f>
        <v>FittedGG737572 Corp#1</v>
      </c>
      <c r="E32" s="25" t="str">
        <f ca="1">_xll.QMAObjectProperty(D32,E$8)</f>
        <v>UKT 6 12/07/28</v>
      </c>
      <c r="F32" s="25">
        <f ca="1">_xll.QMAObjectProperty(D32,F$8)</f>
        <v>47094</v>
      </c>
      <c r="G32" s="2">
        <f ca="1">_xll.QMABondCalculationProperty(D32,G$8)</f>
        <v>146.46215225310331</v>
      </c>
      <c r="H32" s="2">
        <f ca="1">_xll.QMABondCalculationProperty(D32,H$8)</f>
        <v>2.0170570123506861</v>
      </c>
      <c r="I32" s="54">
        <v>144.375</v>
      </c>
      <c r="J32" s="54">
        <v>144.345</v>
      </c>
      <c r="K32" s="40">
        <v>0</v>
      </c>
      <c r="L32" s="70">
        <f>IF(LiveMarketData,_xll.BDP(B32,"PX_ASK"),I32)+$K32</f>
        <v>148.32</v>
      </c>
      <c r="M32" s="70">
        <f>IF(LiveMarketData,_xll.BDP(B32,"PX_BID"),J32)+$K32</f>
        <v>148.285</v>
      </c>
      <c r="N32" s="3" t="b">
        <f>FALSE</f>
        <v>0</v>
      </c>
      <c r="O32" s="3" t="b">
        <f>FALSE</f>
        <v>0</v>
      </c>
      <c r="P32" s="3">
        <v>1</v>
      </c>
      <c r="Q32" s="66">
        <f t="shared" ca="1" si="0"/>
        <v>3.3868798295077487</v>
      </c>
      <c r="R32" s="67">
        <f t="shared" ca="1" si="1"/>
        <v>-1.8403477468966969</v>
      </c>
    </row>
    <row r="33" spans="2:18" x14ac:dyDescent="0.2">
      <c r="B33" s="29" t="s">
        <v>17</v>
      </c>
      <c r="C33" s="76" t="str">
        <f ca="1">_xll.QMACreateBondCalculationParametersObject(B33&amp;"FittedCalc",$B$3,L33,M33,N33,O33,P33,YieldCrvObj)</f>
        <v>EG872949 CorpFittedCalc#1</v>
      </c>
      <c r="D33" s="69" t="str">
        <f ca="1">_xll.QMACreateBondObject("Fitted"&amp;B33,B33,C33,$C$3,TRUE)</f>
        <v>FittedEG872949 Corp#1</v>
      </c>
      <c r="E33" s="25" t="str">
        <f ca="1">_xll.QMAObjectProperty(D33,E$8)</f>
        <v>UKT 4 3/4 12/07/30</v>
      </c>
      <c r="F33" s="25">
        <f ca="1">_xll.QMAObjectProperty(D33,F$8)</f>
        <v>47824</v>
      </c>
      <c r="G33" s="2">
        <f ca="1">_xll.QMABondCalculationProperty(D33,G$8)</f>
        <v>132.99659870448096</v>
      </c>
      <c r="H33" s="2">
        <f ca="1">_xll.QMABondCalculationProperty(D33,H$8)</f>
        <v>2.1879089848383542</v>
      </c>
      <c r="I33" s="54">
        <v>130.02000000000001</v>
      </c>
      <c r="J33" s="54">
        <v>129.98500000000001</v>
      </c>
      <c r="K33" s="40">
        <v>0</v>
      </c>
      <c r="L33" s="70">
        <f>IF(LiveMarketData,_xll.BDP(B33,"PX_ASK"),I33)+$K33</f>
        <v>134.41</v>
      </c>
      <c r="M33" s="70">
        <f>IF(LiveMarketData,_xll.BDP(B33,"PX_BID"),J33)+$K33</f>
        <v>134.37</v>
      </c>
      <c r="N33" s="3" t="b">
        <f>FALSE</f>
        <v>0</v>
      </c>
      <c r="O33" s="3" t="b">
        <f>FALSE</f>
        <v>0</v>
      </c>
      <c r="P33" s="3">
        <v>1</v>
      </c>
      <c r="Q33" s="66">
        <f t="shared" ca="1" si="0"/>
        <v>1.9415671703541026</v>
      </c>
      <c r="R33" s="67">
        <f t="shared" ca="1" si="1"/>
        <v>-1.3934012955190269</v>
      </c>
    </row>
    <row r="34" spans="2:18" x14ac:dyDescent="0.2">
      <c r="B34" s="29" t="s">
        <v>18</v>
      </c>
      <c r="C34" s="76" t="str">
        <f ca="1">_xll.QMACreateBondCalculationParametersObject(B34&amp;"FittedCalc",$B$3,L34,M34,N34,O34,P34,YieldCrvObj)</f>
        <v>EC256595 CorpFittedCalc#1</v>
      </c>
      <c r="D34" s="69" t="str">
        <f ca="1">_xll.QMACreateBondObject("Fitted"&amp;B34,B34,C34,$C$3,TRUE)</f>
        <v>FittedEC256595 Corp#1</v>
      </c>
      <c r="E34" s="25" t="str">
        <f ca="1">_xll.QMAObjectProperty(D34,E$8)</f>
        <v>UKT 4 1/4 06/07/32</v>
      </c>
      <c r="F34" s="25">
        <f ca="1">_xll.QMAObjectProperty(D34,F$8)</f>
        <v>48372</v>
      </c>
      <c r="G34" s="2">
        <f ca="1">_xll.QMABondCalculationProperty(D34,G$8)</f>
        <v>126.8231224302816</v>
      </c>
      <c r="H34" s="2">
        <f ca="1">_xll.QMABondCalculationProperty(D34,H$8)</f>
        <v>2.2681605268352536</v>
      </c>
      <c r="I34" s="54">
        <v>123.79</v>
      </c>
      <c r="J34" s="54">
        <v>123.76</v>
      </c>
      <c r="K34" s="40">
        <v>0</v>
      </c>
      <c r="L34" s="70">
        <f>IF(LiveMarketData,_xll.BDP(B34,"PX_ASK"),I34)+$K34</f>
        <v>128.48500000000001</v>
      </c>
      <c r="M34" s="70">
        <f>IF(LiveMarketData,_xll.BDP(B34,"PX_BID"),J34)+$K34</f>
        <v>128.44499999999999</v>
      </c>
      <c r="N34" s="3" t="b">
        <f>FALSE</f>
        <v>0</v>
      </c>
      <c r="O34" s="3" t="b">
        <f>FALSE</f>
        <v>0</v>
      </c>
      <c r="P34" s="3">
        <v>1</v>
      </c>
      <c r="Q34" s="66">
        <f t="shared" ca="1" si="0"/>
        <v>2.6957619539444098</v>
      </c>
      <c r="R34" s="67">
        <f t="shared" ca="1" si="1"/>
        <v>-1.6418775697184032</v>
      </c>
    </row>
    <row r="35" spans="2:18" x14ac:dyDescent="0.2">
      <c r="B35" s="29" t="s">
        <v>19</v>
      </c>
      <c r="C35" s="76" t="str">
        <f ca="1">_xll.QMACreateBondCalculationParametersObject(B35&amp;"FittedCalc",$B$3,L35,M35,N35,O35,P35,YieldCrvObj)</f>
        <v>EH867755 CorpFittedCalc#1</v>
      </c>
      <c r="D35" s="69" t="str">
        <f ca="1">_xll.QMACreateBondObject("Fitted"&amp;B35,B35,C35,$C$3,TRUE)</f>
        <v>FittedEH867755 Corp#1</v>
      </c>
      <c r="E35" s="25" t="str">
        <f ca="1">_xll.QMAObjectProperty(D35,E$8)</f>
        <v>UKT 4 1/2 09/07/34</v>
      </c>
      <c r="F35" s="25">
        <f ca="1">_xll.QMAObjectProperty(D35,F$8)</f>
        <v>49194</v>
      </c>
      <c r="G35" s="2">
        <f ca="1">_xll.QMABondCalculationProperty(D35,G$8)</f>
        <v>131.87802083115415</v>
      </c>
      <c r="H35" s="2">
        <f ca="1">_xll.QMABondCalculationProperty(D35,H$8)</f>
        <v>2.3584002247123603</v>
      </c>
      <c r="I35" s="54">
        <v>128.41999999999999</v>
      </c>
      <c r="J35" s="54">
        <v>128.38499999999999</v>
      </c>
      <c r="K35" s="40">
        <v>0</v>
      </c>
      <c r="L35" s="70">
        <f>IF(LiveMarketData,_xll.BDP(B35,"PX_ASK"),I35)+$K35</f>
        <v>133.63999999999999</v>
      </c>
      <c r="M35" s="70">
        <f>IF(LiveMarketData,_xll.BDP(B35,"PX_BID"),J35)+$K35</f>
        <v>133.60499999999999</v>
      </c>
      <c r="N35" s="3" t="b">
        <f>FALSE</f>
        <v>0</v>
      </c>
      <c r="O35" s="3" t="b">
        <f>FALSE</f>
        <v>0</v>
      </c>
      <c r="P35" s="3">
        <v>1</v>
      </c>
      <c r="Q35" s="66">
        <f t="shared" ca="1" si="0"/>
        <v>3.0432075705371302</v>
      </c>
      <c r="R35" s="67">
        <f t="shared" ca="1" si="1"/>
        <v>-1.7444791688458565</v>
      </c>
    </row>
    <row r="36" spans="2:18" x14ac:dyDescent="0.2">
      <c r="B36" s="29" t="s">
        <v>20</v>
      </c>
      <c r="C36" s="76" t="str">
        <f ca="1">_xll.QMACreateBondCalculationParametersObject(B36&amp;"FittedCalc",$B$3,L36,M36,N36,O36,P36,YieldCrvObj)</f>
        <v>EC867711 CorpFittedCalc#1</v>
      </c>
      <c r="D36" s="69" t="str">
        <f ca="1">_xll.QMACreateBondObject("Fitted"&amp;B36,B36,C36,$C$3,TRUE)</f>
        <v>FittedEC867711 Corp#1</v>
      </c>
      <c r="E36" s="25" t="str">
        <f ca="1">_xll.QMAObjectProperty(D36,E$8)</f>
        <v>UKT 4 1/4 03/07/36</v>
      </c>
      <c r="F36" s="25">
        <f ca="1">_xll.QMAObjectProperty(D36,F$8)</f>
        <v>49741</v>
      </c>
      <c r="G36" s="2">
        <f ca="1">_xll.QMABondCalculationProperty(D36,G$8)</f>
        <v>128.60366826874497</v>
      </c>
      <c r="H36" s="2">
        <f ca="1">_xll.QMABondCalculationProperty(D36,H$8)</f>
        <v>2.4122870472804165</v>
      </c>
      <c r="I36" s="54">
        <v>124.91</v>
      </c>
      <c r="J36" s="54">
        <v>124.87</v>
      </c>
      <c r="K36" s="40">
        <v>0</v>
      </c>
      <c r="L36" s="70">
        <f>IF(LiveMarketData,_xll.BDP(B36,"PX_ASK"),I36)+$K36</f>
        <v>130.4</v>
      </c>
      <c r="M36" s="70">
        <f>IF(LiveMarketData,_xll.BDP(B36,"PX_BID"),J36)+$K36</f>
        <v>130.37</v>
      </c>
      <c r="N36" s="3" t="b">
        <f>FALSE</f>
        <v>0</v>
      </c>
      <c r="O36" s="3" t="b">
        <f>FALSE</f>
        <v>0</v>
      </c>
      <c r="P36" s="3">
        <v>1</v>
      </c>
      <c r="Q36" s="66">
        <f t="shared" ca="1" si="0"/>
        <v>3.1731427367760157</v>
      </c>
      <c r="R36" s="67">
        <f t="shared" ca="1" si="1"/>
        <v>-1.7813317312550225</v>
      </c>
    </row>
    <row r="37" spans="2:18" x14ac:dyDescent="0.2">
      <c r="B37" s="29" t="s">
        <v>89</v>
      </c>
      <c r="C37" s="76" t="str">
        <f ca="1">_xll.QMACreateBondCalculationParametersObject(B37&amp;"FittedCalc",$B$3,L37,M37,N37,O37,P37,YieldCrvObj)</f>
        <v>ED422520 CorpFittedCalc#1</v>
      </c>
      <c r="D37" s="69" t="str">
        <f ca="1">_xll.QMACreateBondObject("Fitted"&amp;B37,B37,C37,$C$3,TRUE)</f>
        <v>FittedED422520 Corp#1</v>
      </c>
      <c r="E37" s="25" t="str">
        <f ca="1">_xll.QMAObjectProperty(D37,E$8)</f>
        <v>UKT 4 3/4 12/07/38</v>
      </c>
      <c r="F37" s="25">
        <f ca="1">_xll.QMAObjectProperty(D37,F$8)</f>
        <v>50746</v>
      </c>
      <c r="G37" s="2">
        <f ca="1">_xll.QMABondCalculationProperty(D37,G$8)</f>
        <v>139.47293721698949</v>
      </c>
      <c r="H37" s="2">
        <f ca="1">_xll.QMABondCalculationProperty(D37,H$8)</f>
        <v>2.4397993181761999</v>
      </c>
      <c r="I37" s="54">
        <v>135.38</v>
      </c>
      <c r="J37" s="54">
        <v>135.34</v>
      </c>
      <c r="K37" s="40">
        <v>0</v>
      </c>
      <c r="L37" s="70">
        <f>IF(LiveMarketData,_xll.BDP(B37,"PX_ASK"),I37)+$K37</f>
        <v>141.77000000000001</v>
      </c>
      <c r="M37" s="70">
        <f>IF(LiveMarketData,_xll.BDP(B37,"PX_BID"),J37)+$K37</f>
        <v>141.72999999999999</v>
      </c>
      <c r="N37" s="3" t="b">
        <f>FALSE</f>
        <v>0</v>
      </c>
      <c r="O37" s="3" t="b">
        <f>FALSE</f>
        <v>0</v>
      </c>
      <c r="P37" s="3">
        <v>1</v>
      </c>
      <c r="Q37" s="66">
        <f t="shared" ca="1" si="0"/>
        <v>5.1850149177715554</v>
      </c>
      <c r="R37" s="67">
        <f t="shared" ca="1" si="1"/>
        <v>-2.277062783010507</v>
      </c>
    </row>
    <row r="38" spans="2:18" x14ac:dyDescent="0.2">
      <c r="B38" s="29" t="s">
        <v>90</v>
      </c>
      <c r="C38" s="76" t="str">
        <f ca="1">_xll.QMACreateBondCalculationParametersObject(B38&amp;"FittedCalc",$B$3,L38,M38,N38,O38,P38,YieldCrvObj)</f>
        <v>EH736811 CorpFittedCalc#1</v>
      </c>
      <c r="D38" s="69" t="str">
        <f ca="1">_xll.QMACreateBondObject("Fitted"&amp;B38,B38,C38,$C$3,TRUE)</f>
        <v>FittedEH736811 Corp#1</v>
      </c>
      <c r="E38" s="25" t="str">
        <f ca="1">_xll.QMAObjectProperty(D38,E$8)</f>
        <v>UKT 4 1/4 09/07/39</v>
      </c>
      <c r="F38" s="25">
        <f ca="1">_xll.QMAObjectProperty(D38,F$8)</f>
        <v>51020</v>
      </c>
      <c r="G38" s="2">
        <f ca="1">_xll.QMABondCalculationProperty(D38,G$8)</f>
        <v>130.73273906531711</v>
      </c>
      <c r="H38" s="2">
        <f ca="1">_xll.QMABondCalculationProperty(D38,H$8)</f>
        <v>2.4691005400705479</v>
      </c>
      <c r="I38" s="54">
        <v>126.565</v>
      </c>
      <c r="J38" s="54">
        <v>126.52500000000001</v>
      </c>
      <c r="K38" s="40">
        <v>0</v>
      </c>
      <c r="L38" s="70">
        <f>IF(LiveMarketData,_xll.BDP(B38,"PX_ASK"),I38)+$K38</f>
        <v>132.83000000000001</v>
      </c>
      <c r="M38" s="70">
        <f>IF(LiveMarketData,_xll.BDP(B38,"PX_BID"),J38)+$K38</f>
        <v>132.785</v>
      </c>
      <c r="N38" s="3" t="b">
        <f>FALSE</f>
        <v>0</v>
      </c>
      <c r="O38" s="3" t="b">
        <f>FALSE</f>
        <v>0</v>
      </c>
      <c r="P38" s="3">
        <v>1</v>
      </c>
      <c r="Q38" s="66">
        <f t="shared" ca="1" si="0"/>
        <v>4.304632936086259</v>
      </c>
      <c r="R38" s="67">
        <f t="shared" ca="1" si="1"/>
        <v>-2.0747609346828995</v>
      </c>
    </row>
    <row r="39" spans="2:18" x14ac:dyDescent="0.2">
      <c r="B39" s="29" t="s">
        <v>91</v>
      </c>
      <c r="C39" s="76" t="str">
        <f ca="1">_xll.QMACreateBondCalculationParametersObject(B39&amp;"FittedCalc",$B$3,L39,M39,N39,O39,P39,YieldCrvObj)</f>
        <v>EI291005 CorpFittedCalc#1</v>
      </c>
      <c r="D39" s="69" t="str">
        <f ca="1">_xll.QMACreateBondObject("Fitted"&amp;B39,B39,C39,$C$3,TRUE)</f>
        <v>FittedEI291005 Corp#1</v>
      </c>
      <c r="E39" s="25" t="str">
        <f ca="1">_xll.QMAObjectProperty(D39,E$8)</f>
        <v>UKT 4 1/4 12/07/40</v>
      </c>
      <c r="F39" s="25">
        <f ca="1">_xll.QMAObjectProperty(D39,F$8)</f>
        <v>51477</v>
      </c>
      <c r="G39" s="2">
        <f ca="1">_xll.QMABondCalculationProperty(D39,G$8)</f>
        <v>131.4418978836899</v>
      </c>
      <c r="H39" s="2">
        <f ca="1">_xll.QMABondCalculationProperty(D39,H$8)</f>
        <v>2.4990696033045641</v>
      </c>
      <c r="I39" s="54">
        <v>126.94499999999999</v>
      </c>
      <c r="J39" s="54">
        <v>126.905</v>
      </c>
      <c r="K39" s="40">
        <v>0</v>
      </c>
      <c r="L39" s="70">
        <f>IF(LiveMarketData,_xll.BDP(B39,"PX_ASK"),I39)+$K39</f>
        <v>133.33000000000001</v>
      </c>
      <c r="M39" s="70">
        <f>IF(LiveMarketData,_xll.BDP(B39,"PX_BID"),J39)+$K39</f>
        <v>133.29</v>
      </c>
      <c r="N39" s="3" t="b">
        <f>FALSE</f>
        <v>0</v>
      </c>
      <c r="O39" s="3" t="b">
        <f>FALSE</f>
        <v>0</v>
      </c>
      <c r="P39" s="3">
        <v>1</v>
      </c>
      <c r="Q39" s="66">
        <f t="shared" ca="1" si="0"/>
        <v>3.4898055169622668</v>
      </c>
      <c r="R39" s="67">
        <f t="shared" ca="1" si="1"/>
        <v>-1.8681021163100979</v>
      </c>
    </row>
    <row r="40" spans="2:18" x14ac:dyDescent="0.2">
      <c r="B40" s="29" t="s">
        <v>92</v>
      </c>
      <c r="C40" s="76" t="str">
        <f ca="1">_xll.QMACreateBondCalculationParametersObject(B40&amp;"FittedCalc",$B$3,L40,M40,N40,O40,P40,YieldCrvObj)</f>
        <v>EG506481 CorpFittedCalc#1</v>
      </c>
      <c r="D40" s="69" t="str">
        <f ca="1">_xll.QMACreateBondObject("Fitted"&amp;B40,B40,C40,$C$3,TRUE)</f>
        <v>FittedEG506481 Corp#1</v>
      </c>
      <c r="E40" s="25" t="str">
        <f ca="1">_xll.QMAObjectProperty(D40,E$8)</f>
        <v>UKT 4 1/2 12/07/42</v>
      </c>
      <c r="F40" s="25">
        <f ca="1">_xll.QMAObjectProperty(D40,F$8)</f>
        <v>52207</v>
      </c>
      <c r="G40" s="2">
        <f ca="1">_xll.QMABondCalculationProperty(D40,G$8)</f>
        <v>137.66713223902619</v>
      </c>
      <c r="H40" s="2">
        <f ca="1">_xll.QMABondCalculationProperty(D40,H$8)</f>
        <v>2.5005212955122706</v>
      </c>
      <c r="I40" s="54">
        <v>133.11500000000001</v>
      </c>
      <c r="J40" s="54">
        <v>133.07</v>
      </c>
      <c r="K40" s="40">
        <v>0</v>
      </c>
      <c r="L40" s="70">
        <f>IF(LiveMarketData,_xll.BDP(B40,"PX_ASK"),I40)+$K40</f>
        <v>140.08500000000001</v>
      </c>
      <c r="M40" s="70">
        <f>IF(LiveMarketData,_xll.BDP(B40,"PX_BID"),J40)+$K40</f>
        <v>140.04499999999999</v>
      </c>
      <c r="N40" s="3" t="b">
        <f>FALSE</f>
        <v>0</v>
      </c>
      <c r="O40" s="3" t="b">
        <f>FALSE</f>
        <v>0</v>
      </c>
      <c r="P40" s="3">
        <v>1</v>
      </c>
      <c r="Q40" s="66">
        <f t="shared" ca="1" si="0"/>
        <v>5.7497697991175523</v>
      </c>
      <c r="R40" s="67">
        <f t="shared" ca="1" si="1"/>
        <v>-2.3978677609738099</v>
      </c>
    </row>
    <row r="41" spans="2:18" x14ac:dyDescent="0.2">
      <c r="B41" s="29" t="s">
        <v>93</v>
      </c>
      <c r="C41" s="76" t="str">
        <f ca="1">_xll.QMACreateBondCalculationParametersObject(B41&amp;"FittedCalc",$B$3,L41,M41,N41,O41,P41,YieldCrvObj)</f>
        <v>EJ407307 CorpFittedCalc#1</v>
      </c>
      <c r="D41" s="69" t="str">
        <f ca="1">_xll.QMACreateBondObject("Fitted"&amp;B41,B41,C41,$C$3,TRUE)</f>
        <v>FittedEJ407307 Corp#1</v>
      </c>
      <c r="E41" s="25" t="str">
        <f ca="1">_xll.QMAObjectProperty(D41,E$8)</f>
        <v>UKT 3 1/4 01/22/44</v>
      </c>
      <c r="F41" s="25">
        <f ca="1">_xll.QMAObjectProperty(D41,F$8)</f>
        <v>52618</v>
      </c>
      <c r="G41" s="2">
        <f ca="1">_xll.QMABondCalculationProperty(D41,G$8)</f>
        <v>112.44077203696912</v>
      </c>
      <c r="H41" s="2">
        <f ca="1">_xll.QMABondCalculationProperty(D41,H$8)</f>
        <v>2.5456750667909951</v>
      </c>
      <c r="I41" s="54">
        <v>108.24</v>
      </c>
      <c r="J41" s="54">
        <v>108.2</v>
      </c>
      <c r="K41" s="40">
        <v>0</v>
      </c>
      <c r="L41" s="70">
        <f>IF(LiveMarketData,_xll.BDP(B41,"PX_ASK"),I41)+$K41</f>
        <v>114.435</v>
      </c>
      <c r="M41" s="70">
        <f>IF(LiveMarketData,_xll.BDP(B41,"PX_BID"),J41)+$K41</f>
        <v>114.395</v>
      </c>
      <c r="N41" s="3" t="b">
        <f>FALSE</f>
        <v>0</v>
      </c>
      <c r="O41" s="3" t="b">
        <f>FALSE</f>
        <v>0</v>
      </c>
      <c r="P41" s="3">
        <v>1</v>
      </c>
      <c r="Q41" s="66">
        <f t="shared" ca="1" si="0"/>
        <v>3.8975760500130185</v>
      </c>
      <c r="R41" s="67">
        <f t="shared" ca="1" si="1"/>
        <v>-1.9742279630308701</v>
      </c>
    </row>
    <row r="42" spans="2:18" x14ac:dyDescent="0.2">
      <c r="B42" s="29" t="s">
        <v>94</v>
      </c>
      <c r="C42" s="76" t="str">
        <f ca="1">_xll.QMACreateBondCalculationParametersObject(B42&amp;"FittedCalc",$B$3,L42,M42,N42,O42,P42,YieldCrvObj)</f>
        <v>EK333934 CorpFittedCalc#1</v>
      </c>
      <c r="D42" s="69" t="str">
        <f ca="1">_xll.QMACreateBondObject("Fitted"&amp;B42,B42,C42,$C$3,TRUE)</f>
        <v>FittedEK333934 Corp#1</v>
      </c>
      <c r="E42" s="25" t="str">
        <f ca="1">_xll.QMAObjectProperty(D42,E$8)</f>
        <v>UKT 3 1/2 01/22/45</v>
      </c>
      <c r="F42" s="25">
        <f ca="1">_xll.QMAObjectProperty(D42,F$8)</f>
        <v>52984</v>
      </c>
      <c r="G42" s="2">
        <f ca="1">_xll.QMABondCalculationProperty(D42,G$8)</f>
        <v>117.98242228146172</v>
      </c>
      <c r="H42" s="2">
        <f ca="1">_xll.QMABondCalculationProperty(D42,H$8)</f>
        <v>2.5519281333901396</v>
      </c>
      <c r="I42" s="54">
        <v>113.30500000000001</v>
      </c>
      <c r="J42" s="54">
        <v>113.265</v>
      </c>
      <c r="K42" s="40">
        <v>0</v>
      </c>
      <c r="L42" s="70">
        <f>IF(LiveMarketData,_xll.BDP(B42,"PX_ASK"),I42)+$K42</f>
        <v>119.85</v>
      </c>
      <c r="M42" s="70">
        <f>IF(LiveMarketData,_xll.BDP(B42,"PX_BID"),J42)+$K42</f>
        <v>119.815</v>
      </c>
      <c r="N42" s="3" t="b">
        <f>FALSE</f>
        <v>0</v>
      </c>
      <c r="O42" s="3" t="b">
        <f>FALSE</f>
        <v>0</v>
      </c>
      <c r="P42" s="3">
        <v>1</v>
      </c>
      <c r="Q42" s="66">
        <f t="shared" ca="1" si="0"/>
        <v>3.4227875646317814</v>
      </c>
      <c r="R42" s="67">
        <f t="shared" ca="1" si="1"/>
        <v>-1.8500777185382731</v>
      </c>
    </row>
    <row r="43" spans="2:18" x14ac:dyDescent="0.2">
      <c r="B43" s="29" t="s">
        <v>95</v>
      </c>
      <c r="C43" s="76" t="str">
        <f ca="1">_xll.QMACreateBondCalculationParametersObject(B43&amp;"FittedCalc",$B$3,L43,M43,N43,O43,P43,YieldCrvObj)</f>
        <v>EF396423 CorpFittedCalc#1</v>
      </c>
      <c r="D43" s="69" t="str">
        <f ca="1">_xll.QMACreateBondObject("Fitted"&amp;B43,B43,C43,$C$3,TRUE)</f>
        <v>FittedEF396423 Corp#1</v>
      </c>
      <c r="E43" s="25" t="str">
        <f ca="1">_xll.QMAObjectProperty(D43,E$8)</f>
        <v>UKT 4 1/4 12/07/46</v>
      </c>
      <c r="F43" s="25">
        <f ca="1">_xll.QMAObjectProperty(D43,F$8)</f>
        <v>53668</v>
      </c>
      <c r="G43" s="2">
        <f ca="1">_xll.QMABondCalculationProperty(D43,G$8)</f>
        <v>135.23951561313905</v>
      </c>
      <c r="H43" s="2">
        <f ca="1">_xll.QMABondCalculationProperty(D43,H$8)</f>
        <v>2.5202199773387757</v>
      </c>
      <c r="I43" s="54">
        <v>130.26</v>
      </c>
      <c r="J43" s="54">
        <v>130.21</v>
      </c>
      <c r="K43" s="40">
        <v>0</v>
      </c>
      <c r="L43" s="70">
        <f>IF(LiveMarketData,_xll.BDP(B43,"PX_ASK"),I43)+$K43</f>
        <v>137.845</v>
      </c>
      <c r="M43" s="70">
        <f>IF(LiveMarketData,_xll.BDP(B43,"PX_BID"),J43)+$K43</f>
        <v>137.80000000000001</v>
      </c>
      <c r="N43" s="3" t="b">
        <f>FALSE</f>
        <v>0</v>
      </c>
      <c r="O43" s="3" t="b">
        <f>FALSE</f>
        <v>0</v>
      </c>
      <c r="P43" s="3">
        <v>1</v>
      </c>
      <c r="Q43" s="66">
        <f t="shared" ca="1" si="0"/>
        <v>6.6718083427674015</v>
      </c>
      <c r="R43" s="67">
        <f t="shared" ca="1" si="1"/>
        <v>-2.582984386860943</v>
      </c>
    </row>
    <row r="44" spans="2:18" x14ac:dyDescent="0.2">
      <c r="B44" s="29" t="s">
        <v>96</v>
      </c>
      <c r="C44" s="76" t="str">
        <f ca="1">_xll.QMACreateBondCalculationParametersObject(B44&amp;"FittedCalc",$B$3,L44,M44,N44,O44,P44,YieldCrvObj)</f>
        <v>EH529579 CorpFittedCalc#1</v>
      </c>
      <c r="D44" s="69" t="str">
        <f ca="1">_xll.QMACreateBondObject("Fitted"&amp;B44,B44,C44,$C$3,TRUE)</f>
        <v>FittedEH529579 Corp#1</v>
      </c>
      <c r="E44" s="25" t="str">
        <f ca="1">_xll.QMAObjectProperty(D44,E$8)</f>
        <v>UKT 4 1/4 12/07/49</v>
      </c>
      <c r="F44" s="25">
        <f ca="1">_xll.QMAObjectProperty(D44,F$8)</f>
        <v>54764</v>
      </c>
      <c r="G44" s="2">
        <f ca="1">_xll.QMABondCalculationProperty(D44,G$8)</f>
        <v>137.5172060698203</v>
      </c>
      <c r="H44" s="2">
        <f ca="1">_xll.QMABondCalculationProperty(D44,H$8)</f>
        <v>2.5088510152393737</v>
      </c>
      <c r="I44" s="54">
        <v>132.11500000000001</v>
      </c>
      <c r="J44" s="54">
        <v>132.065</v>
      </c>
      <c r="K44" s="40">
        <v>0</v>
      </c>
      <c r="L44" s="70">
        <f>IF(LiveMarketData,_xll.BDP(B44,"PX_ASK"),I44)+$K44</f>
        <v>140.41</v>
      </c>
      <c r="M44" s="70">
        <f>IF(LiveMarketData,_xll.BDP(B44,"PX_BID"),J44)+$K44</f>
        <v>140.36000000000001</v>
      </c>
      <c r="N44" s="3" t="b">
        <f>FALSE</f>
        <v>0</v>
      </c>
      <c r="O44" s="3" t="b">
        <f>FALSE</f>
        <v>0</v>
      </c>
      <c r="P44" s="3">
        <v>1</v>
      </c>
      <c r="Q44" s="66">
        <f t="shared" ca="1" si="0"/>
        <v>8.224242025975455</v>
      </c>
      <c r="R44" s="67">
        <f t="shared" ca="1" si="1"/>
        <v>-2.8677939301796869</v>
      </c>
    </row>
    <row r="45" spans="2:18" x14ac:dyDescent="0.2">
      <c r="B45" s="29" t="s">
        <v>97</v>
      </c>
      <c r="C45" s="76" t="str">
        <f ca="1">_xll.QMACreateBondCalculationParametersObject(B45&amp;"FittedCalc",$B$3,L45,M45,N45,O45,P45,YieldCrvObj)</f>
        <v>EI825311 CorpFittedCalc#1</v>
      </c>
      <c r="D45" s="69" t="str">
        <f ca="1">_xll.QMACreateBondObject("Fitted"&amp;B45,B45,C45,$C$3,TRUE)</f>
        <v>FittedEI825311 Corp#1</v>
      </c>
      <c r="E45" s="25" t="str">
        <f ca="1">_xll.QMAObjectProperty(D45,E$8)</f>
        <v>UKT 3 3/4 07/22/52</v>
      </c>
      <c r="F45" s="25">
        <f ca="1">_xll.QMAObjectProperty(D45,F$8)</f>
        <v>55722</v>
      </c>
      <c r="G45" s="2">
        <f ca="1">_xll.QMABondCalculationProperty(D45,G$8)</f>
        <v>127.42279404352675</v>
      </c>
      <c r="H45" s="2">
        <f ca="1">_xll.QMABondCalculationProperty(D45,H$8)</f>
        <v>2.5277202980911722</v>
      </c>
      <c r="I45" s="54">
        <v>121.325</v>
      </c>
      <c r="J45" s="54">
        <v>121.27500000000001</v>
      </c>
      <c r="K45" s="40">
        <v>0</v>
      </c>
      <c r="L45" s="70">
        <f>IF(LiveMarketData,_xll.BDP(B45,"PX_ASK"),I45)+$K45</f>
        <v>129.57499999999999</v>
      </c>
      <c r="M45" s="70">
        <f>IF(LiveMarketData,_xll.BDP(B45,"PX_BID"),J45)+$K45</f>
        <v>129.52500000000001</v>
      </c>
      <c r="N45" s="3" t="b">
        <f>FALSE</f>
        <v>0</v>
      </c>
      <c r="O45" s="3" t="b">
        <f>FALSE</f>
        <v>0</v>
      </c>
      <c r="P45" s="3">
        <v>1</v>
      </c>
      <c r="Q45" s="66">
        <f t="shared" ca="1" si="0"/>
        <v>4.5250051812553229</v>
      </c>
      <c r="R45" s="67">
        <f t="shared" ca="1" si="1"/>
        <v>-2.1272059564732615</v>
      </c>
    </row>
    <row r="46" spans="2:18" x14ac:dyDescent="0.2">
      <c r="B46" s="29" t="s">
        <v>98</v>
      </c>
      <c r="C46" s="76" t="str">
        <f ca="1">_xll.QMACreateBondCalculationParametersObject(B46&amp;"FittedCalc",$B$3,L46,M46,N46,O46,P46,YieldCrvObj)</f>
        <v>ED946246 CorpFittedCalc#1</v>
      </c>
      <c r="D46" s="69" t="str">
        <f ca="1">_xll.QMACreateBondObject("Fitted"&amp;B46,B46,C46,$C$3,TRUE)</f>
        <v>FittedED946246 Corp#1</v>
      </c>
      <c r="E46" s="25" t="str">
        <f ca="1">_xll.QMAObjectProperty(D46,E$8)</f>
        <v>UKT 4 1/4 12/07/55</v>
      </c>
      <c r="F46" s="25">
        <f ca="1">_xll.QMAObjectProperty(D46,F$8)</f>
        <v>56955</v>
      </c>
      <c r="G46" s="2">
        <f ca="1">_xll.QMABondCalculationProperty(D46,G$8)</f>
        <v>141.77729709341997</v>
      </c>
      <c r="H46" s="2">
        <f ca="1">_xll.QMABondCalculationProperty(D46,H$8)</f>
        <v>2.4925479419670431</v>
      </c>
      <c r="I46" s="54">
        <v>135.29499999999999</v>
      </c>
      <c r="J46" s="54">
        <v>135.24</v>
      </c>
      <c r="K46" s="40">
        <v>0</v>
      </c>
      <c r="L46" s="70">
        <f>IF(LiveMarketData,_xll.BDP(B46,"PX_ASK"),I46)+$K46</f>
        <v>144.98500000000001</v>
      </c>
      <c r="M46" s="70">
        <f>IF(LiveMarketData,_xll.BDP(B46,"PX_BID"),J46)+$K46</f>
        <v>144.93</v>
      </c>
      <c r="N46" s="3" t="b">
        <f>FALSE</f>
        <v>0</v>
      </c>
      <c r="O46" s="3" t="b">
        <f>FALSE</f>
        <v>0</v>
      </c>
      <c r="P46" s="3">
        <v>1</v>
      </c>
      <c r="Q46" s="66">
        <f t="shared" ca="1" si="0"/>
        <v>10.113690527020106</v>
      </c>
      <c r="R46" s="67">
        <f t="shared" ca="1" si="1"/>
        <v>-3.1802029065800355</v>
      </c>
    </row>
    <row r="47" spans="2:18" x14ac:dyDescent="0.2">
      <c r="B47" s="29" t="s">
        <v>99</v>
      </c>
      <c r="C47" s="76" t="str">
        <f ca="1">_xll.QMACreateBondCalculationParametersObject(B47&amp;"FittedCalc",$B$3,L47,M47,N47,O47,P47,YieldCrvObj)</f>
        <v>EH998789 CorpFittedCalc#1</v>
      </c>
      <c r="D47" s="69" t="str">
        <f ca="1">_xll.QMACreateBondObject("Fitted"&amp;B47,B47,C47,$C$3,TRUE)</f>
        <v>FittedEH998789 Corp#1</v>
      </c>
      <c r="E47" s="25" t="str">
        <f ca="1">_xll.QMAObjectProperty(D47,E$8)</f>
        <v>UKT 4 01/22/60</v>
      </c>
      <c r="F47" s="25">
        <f ca="1">_xll.QMAObjectProperty(D47,F$8)</f>
        <v>58462</v>
      </c>
      <c r="G47" s="2">
        <f ca="1">_xll.QMABondCalculationProperty(D47,G$8)</f>
        <v>137.36694313190452</v>
      </c>
      <c r="H47" s="2">
        <f ca="1">_xll.QMABondCalculationProperty(D47,H$8)</f>
        <v>2.5021878155205046</v>
      </c>
      <c r="I47" s="54">
        <v>130.405</v>
      </c>
      <c r="J47" s="54">
        <v>130.35</v>
      </c>
      <c r="K47" s="40">
        <v>0</v>
      </c>
      <c r="L47" s="70">
        <f>IF(LiveMarketData,_xll.BDP(B47,"PX_ASK"),I47)+$K47</f>
        <v>140.38499999999999</v>
      </c>
      <c r="M47" s="70">
        <f>IF(LiveMarketData,_xll.BDP(B47,"PX_BID"),J47)+$K47</f>
        <v>140.33000000000001</v>
      </c>
      <c r="N47" s="3" t="b">
        <f>FALSE</f>
        <v>0</v>
      </c>
      <c r="O47" s="3" t="b">
        <f>FALSE</f>
        <v>0</v>
      </c>
      <c r="P47" s="3">
        <v>1</v>
      </c>
      <c r="Q47" s="66">
        <f t="shared" ca="1" si="0"/>
        <v>8.9434303813131404</v>
      </c>
      <c r="R47" s="67">
        <f t="shared" ca="1" si="1"/>
        <v>-2.9905568680954957</v>
      </c>
    </row>
    <row r="48" spans="2:18" x14ac:dyDescent="0.2">
      <c r="B48" s="30" t="s">
        <v>100</v>
      </c>
      <c r="C48" s="76" t="str">
        <f ca="1">_xll.QMACreateBondCalculationParametersObject(B48&amp;"FittedCalc",$B$3,L48,M48,N48,O48,P48,YieldCrvObj)</f>
        <v>EJ712548 CorpFittedCalc#1</v>
      </c>
      <c r="D48" s="69" t="str">
        <f ca="1">_xll.QMACreateBondObject("Fitted"&amp;B48,B48,C48,$C$3,TRUE)</f>
        <v>FittedEJ712548 Corp#1</v>
      </c>
      <c r="E48" s="25" t="str">
        <f ca="1">_xll.QMAObjectProperty(D48,E$8)</f>
        <v>UKT 3 1/2 07/22/68</v>
      </c>
      <c r="F48" s="25">
        <f ca="1">_xll.QMAObjectProperty(D48,F$8)</f>
        <v>61566</v>
      </c>
      <c r="G48" s="2">
        <f ca="1">_xll.QMABondCalculationProperty(D48,G$8)</f>
        <v>125.58904122345882</v>
      </c>
      <c r="H48" s="2">
        <f ca="1">_xll.QMABondCalculationProperty(D48,H$8)</f>
        <v>2.5212237632985333</v>
      </c>
      <c r="I48" s="54">
        <v>118.455</v>
      </c>
      <c r="J48" s="54">
        <v>118.405</v>
      </c>
      <c r="K48" s="40">
        <v>0</v>
      </c>
      <c r="L48" s="70">
        <f>IF(LiveMarketData,_xll.BDP(B48,"PX_ASK"),I48)+$K48</f>
        <v>128.71</v>
      </c>
      <c r="M48" s="70">
        <f>IF(LiveMarketData,_xll.BDP(B48,"PX_BID"),J48)+$K48</f>
        <v>128.66</v>
      </c>
      <c r="N48" s="3" t="b">
        <f>FALSE</f>
        <v>0</v>
      </c>
      <c r="O48" s="3" t="b">
        <f>FALSE</f>
        <v>0</v>
      </c>
      <c r="P48" s="3">
        <v>1</v>
      </c>
      <c r="Q48" s="66">
        <f t="shared" ca="1" si="0"/>
        <v>9.5849607460423663</v>
      </c>
      <c r="R48" s="67">
        <f t="shared" ca="1" si="1"/>
        <v>-3.0959587765411811</v>
      </c>
    </row>
    <row r="49" spans="3:13" x14ac:dyDescent="0.2">
      <c r="C49" s="49"/>
      <c r="G49" s="2"/>
      <c r="H49" s="2"/>
      <c r="L49" s="55"/>
      <c r="M49" s="55"/>
    </row>
    <row r="50" spans="3:13" x14ac:dyDescent="0.2">
      <c r="C50" s="49"/>
      <c r="G50" s="2"/>
      <c r="H50" s="2"/>
      <c r="L50" s="55"/>
      <c r="M50" s="55"/>
    </row>
    <row r="51" spans="3:13" x14ac:dyDescent="0.2">
      <c r="C51" s="49"/>
      <c r="G51" s="2"/>
      <c r="H51" s="2"/>
      <c r="L51" s="55"/>
      <c r="M51" s="55"/>
    </row>
    <row r="52" spans="3:13" x14ac:dyDescent="0.2">
      <c r="C52" s="49"/>
      <c r="G52" s="2"/>
      <c r="H52" s="2"/>
      <c r="L52" s="55"/>
      <c r="M52" s="55"/>
    </row>
    <row r="53" spans="3:13" x14ac:dyDescent="0.2">
      <c r="C53" s="49"/>
      <c r="G53" s="2"/>
      <c r="H53" s="2"/>
      <c r="L53" s="55"/>
      <c r="M53" s="55"/>
    </row>
    <row r="54" spans="3:13" x14ac:dyDescent="0.2">
      <c r="C54" s="49"/>
      <c r="G54" s="2"/>
      <c r="H54" s="2"/>
      <c r="L54" s="55"/>
      <c r="M54" s="55"/>
    </row>
    <row r="55" spans="3:13" x14ac:dyDescent="0.2">
      <c r="C55" s="49"/>
      <c r="G55" s="2"/>
      <c r="H55" s="2"/>
      <c r="L55" s="55"/>
      <c r="M55" s="55"/>
    </row>
    <row r="56" spans="3:13" x14ac:dyDescent="0.2">
      <c r="C56" s="49"/>
      <c r="G56" s="2"/>
      <c r="H56" s="2"/>
      <c r="L56" s="55"/>
      <c r="M56" s="55"/>
    </row>
    <row r="57" spans="3:13" x14ac:dyDescent="0.2">
      <c r="C57" s="49"/>
      <c r="G57" s="2"/>
      <c r="H57" s="2"/>
      <c r="L57" s="55"/>
      <c r="M57" s="55"/>
    </row>
    <row r="58" spans="3:13" x14ac:dyDescent="0.2">
      <c r="C58" s="49"/>
      <c r="G58" s="2"/>
      <c r="H58" s="2"/>
      <c r="L58" s="55"/>
      <c r="M58" s="55"/>
    </row>
    <row r="59" spans="3:13" x14ac:dyDescent="0.2">
      <c r="C59" s="49"/>
      <c r="G59" s="2"/>
      <c r="H59" s="2"/>
      <c r="L59" s="55"/>
      <c r="M59" s="55"/>
    </row>
    <row r="60" spans="3:13" x14ac:dyDescent="0.2">
      <c r="C60" s="49"/>
      <c r="G60" s="2"/>
      <c r="H60" s="2"/>
      <c r="L60" s="55"/>
      <c r="M60" s="55"/>
    </row>
    <row r="61" spans="3:13" x14ac:dyDescent="0.2">
      <c r="C61" s="49"/>
      <c r="G61" s="2"/>
      <c r="H61" s="2"/>
      <c r="L61" s="55"/>
      <c r="M61" s="55"/>
    </row>
    <row r="62" spans="3:13" x14ac:dyDescent="0.2">
      <c r="C62" s="49"/>
      <c r="G62" s="2"/>
      <c r="H62" s="2"/>
      <c r="L62" s="55"/>
      <c r="M62" s="55"/>
    </row>
    <row r="63" spans="3:13" x14ac:dyDescent="0.2">
      <c r="C63" s="49"/>
      <c r="G63" s="2"/>
      <c r="H63" s="2"/>
      <c r="L63" s="55"/>
      <c r="M63" s="55"/>
    </row>
    <row r="64" spans="3:13" x14ac:dyDescent="0.2">
      <c r="C64" s="49"/>
      <c r="G64" s="2"/>
      <c r="H64" s="2"/>
      <c r="L64" s="55"/>
      <c r="M64" s="55"/>
    </row>
    <row r="65" spans="3:13" x14ac:dyDescent="0.2">
      <c r="C65" s="49"/>
      <c r="G65" s="2"/>
      <c r="H65" s="2"/>
      <c r="L65" s="55"/>
      <c r="M65" s="55"/>
    </row>
    <row r="66" spans="3:13" x14ac:dyDescent="0.2">
      <c r="C66" s="49"/>
      <c r="G66" s="2"/>
      <c r="H66" s="2"/>
      <c r="L66" s="55"/>
      <c r="M66" s="55"/>
    </row>
    <row r="67" spans="3:13" x14ac:dyDescent="0.2">
      <c r="C67" s="49"/>
      <c r="G67" s="2"/>
      <c r="H67" s="2"/>
      <c r="L67" s="55"/>
      <c r="M67" s="55"/>
    </row>
    <row r="68" spans="3:13" x14ac:dyDescent="0.2">
      <c r="C68" s="49"/>
      <c r="G68" s="2"/>
      <c r="H68" s="2"/>
      <c r="L68" s="55"/>
      <c r="M68" s="55"/>
    </row>
    <row r="69" spans="3:13" x14ac:dyDescent="0.2">
      <c r="C69" s="49"/>
      <c r="G69" s="2"/>
      <c r="H69" s="2"/>
      <c r="L69" s="55"/>
      <c r="M69" s="55"/>
    </row>
    <row r="70" spans="3:13" x14ac:dyDescent="0.2">
      <c r="C70" s="49"/>
      <c r="G70" s="2"/>
      <c r="H70" s="2"/>
      <c r="L70" s="55"/>
      <c r="M70" s="55"/>
    </row>
    <row r="71" spans="3:13" x14ac:dyDescent="0.2">
      <c r="C71" s="49"/>
      <c r="G71" s="2"/>
      <c r="H71" s="2"/>
      <c r="L71" s="55"/>
      <c r="M71" s="55"/>
    </row>
    <row r="72" spans="3:13" x14ac:dyDescent="0.2">
      <c r="C72" s="49"/>
      <c r="G72" s="2"/>
      <c r="H72" s="2"/>
      <c r="L72" s="55"/>
      <c r="M72" s="55"/>
    </row>
    <row r="73" spans="3:13" x14ac:dyDescent="0.2">
      <c r="C73" s="49"/>
      <c r="G73" s="2"/>
      <c r="H73" s="2"/>
      <c r="L73" s="55"/>
      <c r="M73" s="55"/>
    </row>
    <row r="74" spans="3:13" x14ac:dyDescent="0.2">
      <c r="C74" s="49"/>
      <c r="G74" s="2"/>
      <c r="H74" s="2"/>
      <c r="L74" s="55"/>
      <c r="M74" s="55"/>
    </row>
    <row r="75" spans="3:13" x14ac:dyDescent="0.2">
      <c r="C75" s="49"/>
      <c r="G75" s="2"/>
      <c r="H75" s="2"/>
      <c r="L75" s="55"/>
      <c r="M75" s="55"/>
    </row>
    <row r="76" spans="3:13" x14ac:dyDescent="0.2">
      <c r="C76" s="49"/>
      <c r="G76" s="2"/>
      <c r="H76" s="2"/>
      <c r="L76" s="55"/>
      <c r="M76" s="55"/>
    </row>
    <row r="77" spans="3:13" x14ac:dyDescent="0.2">
      <c r="C77" s="49"/>
      <c r="G77" s="2"/>
      <c r="H77" s="2"/>
      <c r="L77" s="55"/>
      <c r="M77" s="55"/>
    </row>
    <row r="78" spans="3:13" x14ac:dyDescent="0.2">
      <c r="C78" s="49"/>
      <c r="G78" s="2"/>
      <c r="H78" s="2"/>
      <c r="L78" s="55"/>
      <c r="M78" s="55"/>
    </row>
    <row r="79" spans="3:13" x14ac:dyDescent="0.2">
      <c r="C79" s="49"/>
      <c r="G79" s="2"/>
      <c r="H79" s="2"/>
      <c r="L79" s="55"/>
      <c r="M79" s="55"/>
    </row>
    <row r="80" spans="3:13" x14ac:dyDescent="0.2">
      <c r="C80" s="49"/>
      <c r="G80" s="2"/>
      <c r="H80" s="2"/>
      <c r="L80" s="55"/>
      <c r="M80" s="55"/>
    </row>
    <row r="81" spans="3:13" x14ac:dyDescent="0.2">
      <c r="C81" s="49"/>
      <c r="G81" s="2"/>
      <c r="H81" s="2"/>
      <c r="L81" s="55"/>
      <c r="M81" s="55"/>
    </row>
    <row r="82" spans="3:13" x14ac:dyDescent="0.2">
      <c r="C82" s="49"/>
      <c r="G82" s="2"/>
      <c r="H82" s="2"/>
      <c r="L82" s="55"/>
      <c r="M82" s="55"/>
    </row>
    <row r="83" spans="3:13" x14ac:dyDescent="0.2">
      <c r="C83" s="49"/>
      <c r="G83" s="2"/>
      <c r="H83" s="2"/>
      <c r="L83" s="55"/>
      <c r="M83" s="55"/>
    </row>
    <row r="84" spans="3:13" x14ac:dyDescent="0.2">
      <c r="C84" s="49"/>
      <c r="G84" s="2"/>
      <c r="H84" s="2"/>
      <c r="L84" s="55"/>
      <c r="M84" s="55"/>
    </row>
    <row r="85" spans="3:13" x14ac:dyDescent="0.2">
      <c r="C85" s="49"/>
      <c r="G85" s="2"/>
      <c r="H85" s="2"/>
      <c r="L85" s="55"/>
      <c r="M85" s="55"/>
    </row>
    <row r="86" spans="3:13" x14ac:dyDescent="0.2">
      <c r="C86" s="49"/>
      <c r="G86" s="2"/>
      <c r="H86" s="2"/>
      <c r="L86" s="55"/>
      <c r="M86" s="55"/>
    </row>
    <row r="87" spans="3:13" x14ac:dyDescent="0.2">
      <c r="C87" s="49"/>
      <c r="G87" s="2"/>
      <c r="H87" s="2"/>
      <c r="L87" s="55"/>
      <c r="M87" s="55"/>
    </row>
    <row r="88" spans="3:13" x14ac:dyDescent="0.2">
      <c r="C88" s="49"/>
      <c r="G88" s="2"/>
      <c r="H88" s="2"/>
      <c r="L88" s="55"/>
      <c r="M88" s="55"/>
    </row>
    <row r="89" spans="3:13" x14ac:dyDescent="0.2">
      <c r="C89" s="49"/>
      <c r="G89" s="2"/>
      <c r="H89" s="2"/>
      <c r="L89" s="55"/>
      <c r="M89" s="55"/>
    </row>
    <row r="90" spans="3:13" x14ac:dyDescent="0.2">
      <c r="C90" s="49"/>
      <c r="G90" s="2"/>
      <c r="H90" s="2"/>
      <c r="L90" s="55"/>
      <c r="M90" s="55"/>
    </row>
    <row r="91" spans="3:13" x14ac:dyDescent="0.2">
      <c r="C91" s="49"/>
      <c r="G91" s="2"/>
      <c r="H91" s="2"/>
      <c r="L91" s="55"/>
      <c r="M91" s="55"/>
    </row>
    <row r="92" spans="3:13" x14ac:dyDescent="0.2">
      <c r="C92" s="49"/>
      <c r="G92" s="2"/>
      <c r="H92" s="2"/>
      <c r="L92" s="55"/>
      <c r="M92" s="55"/>
    </row>
    <row r="93" spans="3:13" x14ac:dyDescent="0.2">
      <c r="C93" s="49"/>
      <c r="G93" s="2"/>
      <c r="H93" s="2"/>
      <c r="L93" s="55"/>
      <c r="M93" s="55"/>
    </row>
    <row r="94" spans="3:13" x14ac:dyDescent="0.2">
      <c r="C94" s="49"/>
      <c r="G94" s="2"/>
      <c r="H94" s="2"/>
      <c r="L94" s="55"/>
      <c r="M94" s="55"/>
    </row>
    <row r="95" spans="3:13" x14ac:dyDescent="0.2">
      <c r="C95" s="49"/>
      <c r="G95" s="2"/>
      <c r="H95" s="2"/>
      <c r="L95" s="55"/>
      <c r="M95" s="55"/>
    </row>
    <row r="96" spans="3:13" x14ac:dyDescent="0.2">
      <c r="C96" s="49"/>
      <c r="G96" s="2"/>
      <c r="H96" s="2"/>
      <c r="L96" s="55"/>
      <c r="M96" s="55"/>
    </row>
    <row r="97" spans="3:13" x14ac:dyDescent="0.2">
      <c r="C97" s="49"/>
      <c r="G97" s="2"/>
      <c r="H97" s="2"/>
      <c r="L97" s="55"/>
      <c r="M97" s="55"/>
    </row>
    <row r="98" spans="3:13" x14ac:dyDescent="0.2">
      <c r="C98" s="49"/>
      <c r="G98" s="2"/>
      <c r="H98" s="2"/>
      <c r="L98" s="55"/>
      <c r="M98" s="55"/>
    </row>
    <row r="99" spans="3:13" x14ac:dyDescent="0.2">
      <c r="C99" s="49"/>
      <c r="G99" s="2"/>
      <c r="H99" s="2"/>
      <c r="L99" s="55"/>
      <c r="M99" s="55"/>
    </row>
    <row r="100" spans="3:13" x14ac:dyDescent="0.2">
      <c r="C100" s="49"/>
      <c r="G100" s="2"/>
      <c r="H100" s="2"/>
      <c r="L100" s="55"/>
      <c r="M100" s="55"/>
    </row>
    <row r="101" spans="3:13" x14ac:dyDescent="0.2">
      <c r="C101" s="49"/>
      <c r="G101" s="2"/>
      <c r="H101" s="2"/>
      <c r="L101" s="55"/>
      <c r="M101" s="55"/>
    </row>
    <row r="102" spans="3:13" x14ac:dyDescent="0.2">
      <c r="C102" s="49"/>
      <c r="G102" s="2"/>
      <c r="H102" s="2"/>
      <c r="L102" s="55"/>
      <c r="M102" s="55"/>
    </row>
    <row r="103" spans="3:13" x14ac:dyDescent="0.2">
      <c r="C103" s="49"/>
      <c r="G103" s="2"/>
      <c r="H103" s="2"/>
      <c r="L103" s="55"/>
      <c r="M103" s="55"/>
    </row>
    <row r="104" spans="3:13" x14ac:dyDescent="0.2">
      <c r="C104" s="49"/>
      <c r="G104" s="2"/>
      <c r="H104" s="2"/>
      <c r="L104" s="55"/>
      <c r="M104" s="55"/>
    </row>
    <row r="105" spans="3:13" x14ac:dyDescent="0.2">
      <c r="C105" s="49"/>
      <c r="G105" s="2"/>
      <c r="H105" s="2"/>
      <c r="L105" s="55"/>
      <c r="M105" s="55"/>
    </row>
    <row r="106" spans="3:13" x14ac:dyDescent="0.2">
      <c r="C106" s="49"/>
      <c r="G106" s="2"/>
      <c r="H106" s="2"/>
      <c r="L106" s="55"/>
      <c r="M106" s="55"/>
    </row>
    <row r="107" spans="3:13" x14ac:dyDescent="0.2">
      <c r="C107" s="49"/>
      <c r="G107" s="2"/>
      <c r="H107" s="2"/>
      <c r="L107" s="55"/>
      <c r="M107" s="55"/>
    </row>
    <row r="108" spans="3:13" x14ac:dyDescent="0.2">
      <c r="C108" s="49"/>
      <c r="G108" s="2"/>
      <c r="H108" s="2"/>
      <c r="L108" s="55"/>
      <c r="M108" s="55"/>
    </row>
    <row r="109" spans="3:13" x14ac:dyDescent="0.2">
      <c r="C109" s="49"/>
      <c r="G109" s="2"/>
      <c r="H109" s="2"/>
      <c r="L109" s="55"/>
      <c r="M109" s="55"/>
    </row>
    <row r="110" spans="3:13" x14ac:dyDescent="0.2">
      <c r="C110" s="49"/>
      <c r="G110" s="2"/>
      <c r="H110" s="2"/>
      <c r="L110" s="55"/>
      <c r="M110" s="55"/>
    </row>
    <row r="111" spans="3:13" x14ac:dyDescent="0.2">
      <c r="C111" s="49"/>
      <c r="G111" s="2"/>
      <c r="H111" s="2"/>
      <c r="L111" s="55"/>
      <c r="M111" s="55"/>
    </row>
    <row r="112" spans="3:13" x14ac:dyDescent="0.2">
      <c r="C112" s="49"/>
      <c r="G112" s="2"/>
      <c r="H112" s="2"/>
      <c r="L112" s="55"/>
      <c r="M112" s="55"/>
    </row>
    <row r="113" spans="3:13" x14ac:dyDescent="0.2">
      <c r="C113" s="49"/>
      <c r="G113" s="2"/>
      <c r="H113" s="2"/>
      <c r="L113" s="55"/>
      <c r="M113" s="55"/>
    </row>
    <row r="114" spans="3:13" x14ac:dyDescent="0.2">
      <c r="C114" s="49"/>
      <c r="G114" s="2"/>
      <c r="H114" s="2"/>
      <c r="L114" s="55"/>
      <c r="M114" s="55"/>
    </row>
    <row r="115" spans="3:13" x14ac:dyDescent="0.2">
      <c r="C115" s="49"/>
      <c r="G115" s="2"/>
      <c r="H115" s="2"/>
      <c r="L115" s="55"/>
      <c r="M115" s="55"/>
    </row>
    <row r="116" spans="3:13" x14ac:dyDescent="0.2">
      <c r="C116" s="49"/>
      <c r="G116" s="2"/>
      <c r="H116" s="2"/>
      <c r="L116" s="55"/>
      <c r="M116" s="55"/>
    </row>
    <row r="117" spans="3:13" x14ac:dyDescent="0.2">
      <c r="C117" s="49"/>
      <c r="G117" s="2"/>
      <c r="H117" s="2"/>
      <c r="L117" s="55"/>
      <c r="M117" s="55"/>
    </row>
    <row r="118" spans="3:13" x14ac:dyDescent="0.2">
      <c r="C118" s="49"/>
      <c r="G118" s="2"/>
      <c r="H118" s="2"/>
      <c r="L118" s="55"/>
      <c r="M118" s="55"/>
    </row>
    <row r="119" spans="3:13" x14ac:dyDescent="0.2">
      <c r="C119" s="49"/>
      <c r="G119" s="2"/>
      <c r="H119" s="2"/>
      <c r="L119" s="55"/>
      <c r="M119" s="55"/>
    </row>
    <row r="120" spans="3:13" x14ac:dyDescent="0.2">
      <c r="C120" s="49"/>
      <c r="G120" s="2"/>
      <c r="H120" s="2"/>
      <c r="L120" s="55"/>
      <c r="M120" s="55"/>
    </row>
    <row r="121" spans="3:13" x14ac:dyDescent="0.2">
      <c r="C121" s="49"/>
      <c r="G121" s="2"/>
      <c r="H121" s="2"/>
      <c r="L121" s="55"/>
      <c r="M121" s="55"/>
    </row>
    <row r="122" spans="3:13" x14ac:dyDescent="0.2">
      <c r="C122" s="49"/>
      <c r="G122" s="2"/>
      <c r="H122" s="2"/>
      <c r="L122" s="55"/>
      <c r="M122" s="55"/>
    </row>
    <row r="123" spans="3:13" x14ac:dyDescent="0.2">
      <c r="C123" s="49"/>
      <c r="G123" s="2"/>
      <c r="H123" s="2"/>
      <c r="L123" s="55"/>
      <c r="M123" s="55"/>
    </row>
    <row r="124" spans="3:13" x14ac:dyDescent="0.2">
      <c r="C124" s="49"/>
      <c r="G124" s="2"/>
      <c r="H124" s="2"/>
      <c r="L124" s="55"/>
      <c r="M124" s="55"/>
    </row>
    <row r="125" spans="3:13" x14ac:dyDescent="0.2">
      <c r="C125" s="49"/>
      <c r="G125" s="2"/>
      <c r="H125" s="2"/>
      <c r="L125" s="55"/>
      <c r="M125" s="55"/>
    </row>
    <row r="126" spans="3:13" x14ac:dyDescent="0.2">
      <c r="C126" s="49"/>
      <c r="G126" s="2"/>
      <c r="H126" s="2"/>
      <c r="L126" s="55"/>
      <c r="M126" s="55"/>
    </row>
    <row r="127" spans="3:13" x14ac:dyDescent="0.2">
      <c r="C127" s="49"/>
      <c r="G127" s="2"/>
      <c r="H127" s="2"/>
      <c r="L127" s="55"/>
      <c r="M127" s="55"/>
    </row>
    <row r="128" spans="3:13" x14ac:dyDescent="0.2">
      <c r="C128" s="49"/>
      <c r="G128" s="2"/>
      <c r="H128" s="2"/>
      <c r="L128" s="55"/>
      <c r="M128" s="55"/>
    </row>
    <row r="129" spans="3:13" x14ac:dyDescent="0.2">
      <c r="C129" s="49"/>
      <c r="G129" s="2"/>
      <c r="H129" s="2"/>
      <c r="L129" s="55"/>
      <c r="M129" s="55"/>
    </row>
    <row r="130" spans="3:13" x14ac:dyDescent="0.2">
      <c r="C130" s="49"/>
      <c r="G130" s="2"/>
      <c r="H130" s="2"/>
      <c r="L130" s="55"/>
      <c r="M130" s="55"/>
    </row>
    <row r="131" spans="3:13" x14ac:dyDescent="0.2">
      <c r="C131" s="49"/>
      <c r="G131" s="2"/>
      <c r="H131" s="2"/>
      <c r="L131" s="55"/>
      <c r="M131" s="55"/>
    </row>
    <row r="132" spans="3:13" x14ac:dyDescent="0.2">
      <c r="C132" s="49"/>
      <c r="G132" s="2"/>
      <c r="H132" s="2"/>
      <c r="L132" s="55"/>
      <c r="M132" s="55"/>
    </row>
    <row r="133" spans="3:13" x14ac:dyDescent="0.2">
      <c r="C133" s="49"/>
      <c r="G133" s="2"/>
      <c r="H133" s="2"/>
      <c r="L133" s="55"/>
      <c r="M133" s="55"/>
    </row>
    <row r="134" spans="3:13" x14ac:dyDescent="0.2">
      <c r="C134" s="49"/>
      <c r="G134" s="2"/>
      <c r="H134" s="2"/>
      <c r="L134" s="55"/>
      <c r="M134" s="55"/>
    </row>
    <row r="135" spans="3:13" x14ac:dyDescent="0.2">
      <c r="C135" s="49"/>
      <c r="G135" s="2"/>
      <c r="H135" s="2"/>
      <c r="L135" s="55"/>
      <c r="M135" s="55"/>
    </row>
    <row r="136" spans="3:13" x14ac:dyDescent="0.2">
      <c r="C136" s="49"/>
      <c r="G136" s="2"/>
      <c r="H136" s="2"/>
      <c r="L136" s="55"/>
      <c r="M136" s="55"/>
    </row>
    <row r="137" spans="3:13" x14ac:dyDescent="0.2">
      <c r="C137" s="49"/>
      <c r="G137" s="2"/>
      <c r="H137" s="2"/>
      <c r="L137" s="55"/>
      <c r="M137" s="55"/>
    </row>
    <row r="138" spans="3:13" x14ac:dyDescent="0.2">
      <c r="C138" s="49"/>
      <c r="G138" s="2"/>
      <c r="H138" s="2"/>
      <c r="L138" s="55"/>
      <c r="M138" s="55"/>
    </row>
    <row r="139" spans="3:13" x14ac:dyDescent="0.2">
      <c r="C139" s="49"/>
      <c r="G139" s="2"/>
      <c r="H139" s="2"/>
      <c r="L139" s="55"/>
      <c r="M139" s="55"/>
    </row>
    <row r="140" spans="3:13" x14ac:dyDescent="0.2">
      <c r="C140" s="49"/>
      <c r="G140" s="2"/>
      <c r="H140" s="2"/>
      <c r="L140" s="55"/>
      <c r="M140" s="55"/>
    </row>
    <row r="141" spans="3:13" x14ac:dyDescent="0.2">
      <c r="C141" s="49"/>
      <c r="G141" s="2"/>
      <c r="H141" s="2"/>
      <c r="L141" s="55"/>
      <c r="M141" s="55"/>
    </row>
    <row r="142" spans="3:13" x14ac:dyDescent="0.2">
      <c r="C142" s="49"/>
      <c r="G142" s="2"/>
      <c r="H142" s="2"/>
      <c r="L142" s="55"/>
      <c r="M142" s="55"/>
    </row>
    <row r="143" spans="3:13" x14ac:dyDescent="0.2">
      <c r="C143" s="49"/>
      <c r="G143" s="2"/>
      <c r="H143" s="2"/>
      <c r="L143" s="55"/>
      <c r="M143" s="55"/>
    </row>
    <row r="144" spans="3:13" x14ac:dyDescent="0.2">
      <c r="C144" s="49"/>
      <c r="G144" s="2"/>
      <c r="H144" s="2"/>
      <c r="L144" s="55"/>
      <c r="M144" s="55"/>
    </row>
    <row r="145" spans="3:13" x14ac:dyDescent="0.2">
      <c r="C145" s="49"/>
      <c r="G145" s="2"/>
      <c r="H145" s="2"/>
      <c r="L145" s="55"/>
      <c r="M145" s="55"/>
    </row>
    <row r="146" spans="3:13" x14ac:dyDescent="0.2">
      <c r="C146" s="49"/>
      <c r="G146" s="2"/>
      <c r="H146" s="2"/>
      <c r="L146" s="55"/>
      <c r="M146" s="55"/>
    </row>
    <row r="147" spans="3:13" x14ac:dyDescent="0.2">
      <c r="C147" s="49"/>
      <c r="G147" s="2"/>
      <c r="H147" s="2"/>
      <c r="L147" s="55"/>
      <c r="M147" s="55"/>
    </row>
    <row r="148" spans="3:13" x14ac:dyDescent="0.2">
      <c r="C148" s="49"/>
      <c r="G148" s="2"/>
      <c r="H148" s="2"/>
      <c r="L148" s="55"/>
      <c r="M148" s="55"/>
    </row>
    <row r="149" spans="3:13" x14ac:dyDescent="0.2">
      <c r="C149" s="49"/>
      <c r="G149" s="2"/>
      <c r="H149" s="2"/>
      <c r="L149" s="55"/>
      <c r="M149" s="55"/>
    </row>
    <row r="150" spans="3:13" x14ac:dyDescent="0.2">
      <c r="C150" s="49"/>
      <c r="G150" s="2"/>
      <c r="H150" s="2"/>
      <c r="L150" s="55"/>
      <c r="M150" s="55"/>
    </row>
    <row r="151" spans="3:13" x14ac:dyDescent="0.2">
      <c r="C151" s="49"/>
      <c r="G151" s="2"/>
      <c r="H151" s="2"/>
      <c r="L151" s="55"/>
      <c r="M151" s="55"/>
    </row>
    <row r="152" spans="3:13" x14ac:dyDescent="0.2">
      <c r="C152" s="49"/>
      <c r="G152" s="2"/>
      <c r="H152" s="2"/>
      <c r="L152" s="55"/>
      <c r="M152" s="55"/>
    </row>
    <row r="153" spans="3:13" x14ac:dyDescent="0.2">
      <c r="C153" s="49"/>
      <c r="G153" s="2"/>
      <c r="H153" s="2"/>
      <c r="L153" s="55"/>
      <c r="M153" s="55"/>
    </row>
    <row r="154" spans="3:13" x14ac:dyDescent="0.2">
      <c r="C154" s="49"/>
      <c r="G154" s="2"/>
      <c r="H154" s="2"/>
      <c r="L154" s="55"/>
      <c r="M154" s="55"/>
    </row>
    <row r="155" spans="3:13" x14ac:dyDescent="0.2">
      <c r="C155" s="49"/>
      <c r="G155" s="2"/>
      <c r="H155" s="2"/>
      <c r="L155" s="55"/>
      <c r="M155" s="55"/>
    </row>
    <row r="156" spans="3:13" x14ac:dyDescent="0.2">
      <c r="C156" s="49"/>
      <c r="G156" s="2"/>
      <c r="H156" s="2"/>
      <c r="L156" s="55"/>
      <c r="M156" s="55"/>
    </row>
    <row r="157" spans="3:13" x14ac:dyDescent="0.2">
      <c r="C157" s="49"/>
      <c r="G157" s="2"/>
      <c r="H157" s="2"/>
      <c r="L157" s="55"/>
      <c r="M157" s="55"/>
    </row>
    <row r="158" spans="3:13" x14ac:dyDescent="0.2">
      <c r="C158" s="49"/>
      <c r="G158" s="2"/>
      <c r="H158" s="2"/>
      <c r="L158" s="55"/>
      <c r="M158" s="55"/>
    </row>
    <row r="159" spans="3:13" x14ac:dyDescent="0.2">
      <c r="C159" s="49"/>
      <c r="G159" s="2"/>
      <c r="H159" s="2"/>
      <c r="L159" s="55"/>
      <c r="M159" s="55"/>
    </row>
    <row r="160" spans="3:13" x14ac:dyDescent="0.2">
      <c r="C160" s="49"/>
      <c r="G160" s="2"/>
      <c r="H160" s="2"/>
      <c r="L160" s="55"/>
      <c r="M160" s="55"/>
    </row>
    <row r="161" spans="3:13" x14ac:dyDescent="0.2">
      <c r="C161" s="49"/>
      <c r="G161" s="2"/>
      <c r="H161" s="2"/>
      <c r="L161" s="55"/>
      <c r="M161" s="55"/>
    </row>
    <row r="162" spans="3:13" x14ac:dyDescent="0.2">
      <c r="C162" s="49"/>
      <c r="G162" s="2"/>
      <c r="H162" s="2"/>
      <c r="L162" s="55"/>
      <c r="M162" s="55"/>
    </row>
    <row r="163" spans="3:13" x14ac:dyDescent="0.2">
      <c r="C163" s="49"/>
      <c r="G163" s="2"/>
      <c r="H163" s="2"/>
      <c r="L163" s="55"/>
      <c r="M163" s="55"/>
    </row>
    <row r="164" spans="3:13" x14ac:dyDescent="0.2">
      <c r="C164" s="49"/>
      <c r="G164" s="2"/>
      <c r="H164" s="2"/>
      <c r="L164" s="55"/>
      <c r="M164" s="55"/>
    </row>
    <row r="165" spans="3:13" x14ac:dyDescent="0.2">
      <c r="C165" s="49"/>
      <c r="G165" s="2"/>
      <c r="H165" s="2"/>
      <c r="L165" s="55"/>
      <c r="M165" s="55"/>
    </row>
    <row r="166" spans="3:13" x14ac:dyDescent="0.2">
      <c r="C166" s="49"/>
      <c r="G166" s="2"/>
      <c r="H166" s="2"/>
      <c r="L166" s="55"/>
      <c r="M166" s="55"/>
    </row>
    <row r="167" spans="3:13" x14ac:dyDescent="0.2">
      <c r="C167" s="49"/>
      <c r="G167" s="2"/>
      <c r="H167" s="2"/>
      <c r="L167" s="55"/>
      <c r="M167" s="55"/>
    </row>
    <row r="168" spans="3:13" x14ac:dyDescent="0.2">
      <c r="C168" s="49"/>
      <c r="G168" s="2"/>
      <c r="H168" s="2"/>
      <c r="L168" s="55"/>
      <c r="M168" s="55"/>
    </row>
    <row r="169" spans="3:13" x14ac:dyDescent="0.2">
      <c r="C169" s="49"/>
      <c r="G169" s="2"/>
      <c r="H169" s="2"/>
      <c r="L169" s="55"/>
      <c r="M169" s="55"/>
    </row>
    <row r="170" spans="3:13" x14ac:dyDescent="0.2">
      <c r="C170" s="49"/>
      <c r="G170" s="2"/>
      <c r="H170" s="2"/>
      <c r="L170" s="55"/>
      <c r="M170" s="55"/>
    </row>
    <row r="171" spans="3:13" x14ac:dyDescent="0.2">
      <c r="C171" s="49"/>
      <c r="G171" s="2"/>
      <c r="H171" s="2"/>
      <c r="L171" s="55"/>
      <c r="M171" s="55"/>
    </row>
    <row r="172" spans="3:13" x14ac:dyDescent="0.2">
      <c r="C172" s="49"/>
      <c r="G172" s="2"/>
      <c r="H172" s="2"/>
      <c r="L172" s="55"/>
      <c r="M172" s="55"/>
    </row>
    <row r="173" spans="3:13" x14ac:dyDescent="0.2">
      <c r="C173" s="49"/>
      <c r="G173" s="2"/>
      <c r="H173" s="2"/>
      <c r="L173" s="55"/>
      <c r="M173" s="55"/>
    </row>
    <row r="174" spans="3:13" x14ac:dyDescent="0.2">
      <c r="C174" s="49"/>
      <c r="G174" s="2"/>
      <c r="H174" s="2"/>
      <c r="L174" s="55"/>
      <c r="M174" s="55"/>
    </row>
    <row r="175" spans="3:13" x14ac:dyDescent="0.2">
      <c r="C175" s="49"/>
      <c r="G175" s="2"/>
      <c r="H175" s="2"/>
      <c r="L175" s="55"/>
      <c r="M175" s="55"/>
    </row>
    <row r="176" spans="3:13" x14ac:dyDescent="0.2">
      <c r="C176" s="49"/>
      <c r="G176" s="2"/>
      <c r="H176" s="2"/>
      <c r="L176" s="55"/>
      <c r="M176" s="55"/>
    </row>
    <row r="177" spans="3:13" x14ac:dyDescent="0.2">
      <c r="C177" s="49"/>
      <c r="G177" s="2"/>
      <c r="H177" s="2"/>
      <c r="L177" s="55"/>
      <c r="M177" s="55"/>
    </row>
    <row r="178" spans="3:13" x14ac:dyDescent="0.2">
      <c r="C178" s="49"/>
      <c r="G178" s="2"/>
      <c r="H178" s="2"/>
      <c r="L178" s="55"/>
      <c r="M178" s="55"/>
    </row>
    <row r="179" spans="3:13" x14ac:dyDescent="0.2">
      <c r="C179" s="49"/>
      <c r="G179" s="2"/>
      <c r="H179" s="2"/>
      <c r="L179" s="55"/>
      <c r="M179" s="55"/>
    </row>
    <row r="180" spans="3:13" x14ac:dyDescent="0.2">
      <c r="C180" s="49"/>
      <c r="G180" s="2"/>
      <c r="H180" s="2"/>
      <c r="L180" s="55"/>
      <c r="M180" s="55"/>
    </row>
    <row r="181" spans="3:13" x14ac:dyDescent="0.2">
      <c r="C181" s="49"/>
      <c r="G181" s="2"/>
      <c r="H181" s="2"/>
      <c r="L181" s="55"/>
      <c r="M181" s="55"/>
    </row>
    <row r="182" spans="3:13" x14ac:dyDescent="0.2">
      <c r="C182" s="49"/>
      <c r="G182" s="2"/>
      <c r="H182" s="2"/>
      <c r="L182" s="55"/>
      <c r="M182" s="55"/>
    </row>
    <row r="183" spans="3:13" x14ac:dyDescent="0.2">
      <c r="C183" s="49"/>
      <c r="G183" s="2"/>
      <c r="H183" s="2"/>
      <c r="L183" s="55"/>
      <c r="M183" s="55"/>
    </row>
    <row r="184" spans="3:13" x14ac:dyDescent="0.2">
      <c r="C184" s="49"/>
      <c r="G184" s="2"/>
      <c r="H184" s="2"/>
      <c r="L184" s="55"/>
      <c r="M184" s="55"/>
    </row>
    <row r="185" spans="3:13" x14ac:dyDescent="0.2">
      <c r="C185" s="49"/>
      <c r="G185" s="2"/>
      <c r="H185" s="2"/>
      <c r="L185" s="55"/>
      <c r="M185" s="55"/>
    </row>
    <row r="186" spans="3:13" x14ac:dyDescent="0.2">
      <c r="C186" s="49"/>
      <c r="G186" s="2"/>
      <c r="H186" s="2"/>
      <c r="L186" s="55"/>
      <c r="M186" s="55"/>
    </row>
    <row r="187" spans="3:13" x14ac:dyDescent="0.2">
      <c r="C187" s="49"/>
      <c r="G187" s="2"/>
      <c r="H187" s="2"/>
      <c r="L187" s="55"/>
      <c r="M187" s="55"/>
    </row>
    <row r="188" spans="3:13" x14ac:dyDescent="0.2">
      <c r="C188" s="49"/>
      <c r="G188" s="2"/>
      <c r="H188" s="2"/>
      <c r="L188" s="55"/>
      <c r="M188" s="55"/>
    </row>
    <row r="189" spans="3:13" x14ac:dyDescent="0.2">
      <c r="C189" s="49"/>
      <c r="G189" s="2"/>
      <c r="H189" s="2"/>
      <c r="L189" s="55"/>
      <c r="M189" s="55"/>
    </row>
    <row r="190" spans="3:13" x14ac:dyDescent="0.2">
      <c r="C190" s="49"/>
      <c r="G190" s="2"/>
      <c r="H190" s="2"/>
      <c r="L190" s="55"/>
      <c r="M190" s="55"/>
    </row>
    <row r="191" spans="3:13" x14ac:dyDescent="0.2">
      <c r="C191" s="49"/>
      <c r="G191" s="2"/>
      <c r="H191" s="2"/>
      <c r="L191" s="55"/>
      <c r="M191" s="55"/>
    </row>
    <row r="192" spans="3:13" x14ac:dyDescent="0.2">
      <c r="C192" s="49"/>
      <c r="G192" s="2"/>
      <c r="H192" s="2"/>
      <c r="L192" s="55"/>
      <c r="M192" s="55"/>
    </row>
    <row r="193" spans="3:13" x14ac:dyDescent="0.2">
      <c r="C193" s="49"/>
      <c r="G193" s="2"/>
      <c r="H193" s="2"/>
      <c r="L193" s="55"/>
      <c r="M193" s="55"/>
    </row>
    <row r="194" spans="3:13" x14ac:dyDescent="0.2">
      <c r="C194" s="49"/>
      <c r="G194" s="2"/>
      <c r="H194" s="2"/>
      <c r="L194" s="55"/>
      <c r="M194" s="55"/>
    </row>
    <row r="195" spans="3:13" x14ac:dyDescent="0.2">
      <c r="C195" s="49"/>
      <c r="G195" s="2"/>
      <c r="H195" s="2"/>
      <c r="L195" s="55"/>
      <c r="M195" s="55"/>
    </row>
    <row r="196" spans="3:13" x14ac:dyDescent="0.2">
      <c r="C196" s="49"/>
      <c r="G196" s="2"/>
      <c r="H196" s="2"/>
      <c r="L196" s="55"/>
      <c r="M196" s="55"/>
    </row>
    <row r="197" spans="3:13" x14ac:dyDescent="0.2">
      <c r="C197" s="49"/>
      <c r="G197" s="2"/>
      <c r="H197" s="2"/>
      <c r="L197" s="55"/>
      <c r="M197" s="55"/>
    </row>
    <row r="198" spans="3:13" x14ac:dyDescent="0.2">
      <c r="C198" s="49"/>
      <c r="G198" s="2"/>
      <c r="H198" s="2"/>
      <c r="L198" s="55"/>
      <c r="M198" s="55"/>
    </row>
    <row r="199" spans="3:13" x14ac:dyDescent="0.2">
      <c r="C199" s="49"/>
      <c r="G199" s="2"/>
      <c r="H199" s="2"/>
      <c r="L199" s="55"/>
      <c r="M199" s="55"/>
    </row>
    <row r="200" spans="3:13" x14ac:dyDescent="0.2">
      <c r="C200" s="49"/>
      <c r="G200" s="2"/>
      <c r="H200" s="2"/>
      <c r="L200" s="55"/>
      <c r="M200" s="55"/>
    </row>
    <row r="201" spans="3:13" x14ac:dyDescent="0.2">
      <c r="C201" s="49"/>
      <c r="G201" s="2"/>
      <c r="H201" s="2"/>
      <c r="L201" s="55"/>
      <c r="M201" s="55"/>
    </row>
    <row r="202" spans="3:13" x14ac:dyDescent="0.2">
      <c r="C202" s="49"/>
      <c r="G202" s="2"/>
      <c r="H202" s="2"/>
      <c r="L202" s="55"/>
      <c r="M202" s="55"/>
    </row>
    <row r="203" spans="3:13" x14ac:dyDescent="0.2">
      <c r="C203" s="49"/>
      <c r="G203" s="2"/>
      <c r="H203" s="2"/>
      <c r="L203" s="55"/>
      <c r="M203" s="55"/>
    </row>
    <row r="204" spans="3:13" x14ac:dyDescent="0.2">
      <c r="C204" s="49"/>
      <c r="G204" s="2"/>
      <c r="H204" s="2"/>
      <c r="L204" s="55"/>
      <c r="M204" s="55"/>
    </row>
    <row r="205" spans="3:13" x14ac:dyDescent="0.2">
      <c r="C205" s="49"/>
      <c r="G205" s="2"/>
      <c r="H205" s="2"/>
      <c r="L205" s="55"/>
      <c r="M205" s="55"/>
    </row>
    <row r="206" spans="3:13" x14ac:dyDescent="0.2">
      <c r="C206" s="49"/>
      <c r="G206" s="2"/>
      <c r="H206" s="2"/>
      <c r="L206" s="55"/>
      <c r="M206" s="55"/>
    </row>
    <row r="207" spans="3:13" x14ac:dyDescent="0.2">
      <c r="C207" s="49"/>
      <c r="G207" s="2"/>
      <c r="H207" s="2"/>
      <c r="L207" s="55"/>
      <c r="M207" s="55"/>
    </row>
    <row r="208" spans="3:13" x14ac:dyDescent="0.2">
      <c r="C208" s="49"/>
      <c r="G208" s="2"/>
      <c r="H208" s="2"/>
      <c r="L208" s="55"/>
      <c r="M208" s="55"/>
    </row>
    <row r="209" spans="3:13" x14ac:dyDescent="0.2">
      <c r="C209" s="49"/>
      <c r="G209" s="2"/>
      <c r="H209" s="2"/>
      <c r="L209" s="55"/>
      <c r="M209" s="55"/>
    </row>
    <row r="210" spans="3:13" x14ac:dyDescent="0.2">
      <c r="C210" s="49"/>
      <c r="G210" s="2"/>
      <c r="H210" s="2"/>
      <c r="L210" s="55"/>
      <c r="M210" s="55"/>
    </row>
    <row r="211" spans="3:13" x14ac:dyDescent="0.2">
      <c r="C211" s="49"/>
      <c r="G211" s="2"/>
      <c r="H211" s="2"/>
      <c r="L211" s="55"/>
      <c r="M211" s="55"/>
    </row>
    <row r="212" spans="3:13" x14ac:dyDescent="0.2">
      <c r="C212" s="49"/>
      <c r="G212" s="2"/>
      <c r="H212" s="2"/>
      <c r="L212" s="55"/>
      <c r="M212" s="55"/>
    </row>
    <row r="213" spans="3:13" x14ac:dyDescent="0.2">
      <c r="C213" s="49"/>
      <c r="G213" s="2"/>
      <c r="H213" s="2"/>
      <c r="L213" s="55"/>
      <c r="M213" s="55"/>
    </row>
    <row r="214" spans="3:13" x14ac:dyDescent="0.2">
      <c r="C214" s="49"/>
      <c r="G214" s="2"/>
      <c r="H214" s="2"/>
      <c r="L214" s="55"/>
      <c r="M214" s="55"/>
    </row>
    <row r="215" spans="3:13" x14ac:dyDescent="0.2">
      <c r="C215" s="49"/>
      <c r="G215" s="2"/>
      <c r="H215" s="2"/>
      <c r="L215" s="55"/>
      <c r="M215" s="55"/>
    </row>
    <row r="216" spans="3:13" x14ac:dyDescent="0.2">
      <c r="C216" s="49"/>
      <c r="G216" s="2"/>
      <c r="H216" s="2"/>
      <c r="L216" s="55"/>
      <c r="M216" s="55"/>
    </row>
    <row r="217" spans="3:13" x14ac:dyDescent="0.2">
      <c r="C217" s="49"/>
      <c r="G217" s="2"/>
      <c r="H217" s="2"/>
      <c r="L217" s="55"/>
      <c r="M217" s="55"/>
    </row>
    <row r="218" spans="3:13" x14ac:dyDescent="0.2">
      <c r="C218" s="49"/>
      <c r="G218" s="2"/>
      <c r="H218" s="2"/>
      <c r="L218" s="55"/>
      <c r="M218" s="55"/>
    </row>
    <row r="219" spans="3:13" x14ac:dyDescent="0.2">
      <c r="C219" s="49"/>
      <c r="G219" s="2"/>
      <c r="H219" s="2"/>
      <c r="L219" s="55"/>
      <c r="M219" s="55"/>
    </row>
    <row r="220" spans="3:13" x14ac:dyDescent="0.2">
      <c r="C220" s="49"/>
      <c r="G220" s="2"/>
      <c r="H220" s="2"/>
      <c r="L220" s="55"/>
      <c r="M220" s="55"/>
    </row>
    <row r="221" spans="3:13" x14ac:dyDescent="0.2">
      <c r="C221" s="49"/>
      <c r="G221" s="2"/>
      <c r="H221" s="2"/>
      <c r="L221" s="55"/>
      <c r="M221" s="55"/>
    </row>
    <row r="222" spans="3:13" x14ac:dyDescent="0.2">
      <c r="C222" s="49"/>
      <c r="G222" s="2"/>
      <c r="H222" s="2"/>
      <c r="L222" s="55"/>
      <c r="M222" s="55"/>
    </row>
    <row r="223" spans="3:13" x14ac:dyDescent="0.2">
      <c r="C223" s="49"/>
      <c r="G223" s="2"/>
      <c r="H223" s="2"/>
      <c r="L223" s="55"/>
      <c r="M223" s="55"/>
    </row>
    <row r="224" spans="3:13" x14ac:dyDescent="0.2">
      <c r="C224" s="49"/>
      <c r="G224" s="2"/>
      <c r="H224" s="2"/>
      <c r="L224" s="55"/>
      <c r="M224" s="55"/>
    </row>
    <row r="225" spans="3:13" x14ac:dyDescent="0.2">
      <c r="C225" s="49"/>
      <c r="G225" s="2"/>
      <c r="H225" s="2"/>
      <c r="L225" s="55"/>
      <c r="M225" s="55"/>
    </row>
    <row r="226" spans="3:13" x14ac:dyDescent="0.2">
      <c r="C226" s="49"/>
      <c r="G226" s="2"/>
      <c r="H226" s="2"/>
      <c r="L226" s="55"/>
      <c r="M226" s="55"/>
    </row>
    <row r="227" spans="3:13" x14ac:dyDescent="0.2">
      <c r="C227" s="49"/>
      <c r="G227" s="2"/>
      <c r="H227" s="2"/>
      <c r="L227" s="55"/>
      <c r="M227" s="55"/>
    </row>
    <row r="228" spans="3:13" x14ac:dyDescent="0.2">
      <c r="C228" s="49"/>
      <c r="G228" s="2"/>
      <c r="H228" s="2"/>
      <c r="L228" s="55"/>
      <c r="M228" s="55"/>
    </row>
    <row r="229" spans="3:13" x14ac:dyDescent="0.2">
      <c r="C229" s="49"/>
      <c r="G229" s="2"/>
      <c r="H229" s="2"/>
      <c r="L229" s="55"/>
      <c r="M229" s="55"/>
    </row>
    <row r="230" spans="3:13" x14ac:dyDescent="0.2">
      <c r="C230" s="49"/>
      <c r="G230" s="2"/>
      <c r="H230" s="2"/>
      <c r="L230" s="55"/>
      <c r="M230" s="55"/>
    </row>
    <row r="231" spans="3:13" x14ac:dyDescent="0.2">
      <c r="C231" s="49"/>
      <c r="G231" s="2"/>
      <c r="H231" s="2"/>
      <c r="L231" s="55"/>
      <c r="M231" s="55"/>
    </row>
    <row r="232" spans="3:13" x14ac:dyDescent="0.2">
      <c r="C232" s="49"/>
      <c r="G232" s="2"/>
      <c r="H232" s="2"/>
      <c r="L232" s="55"/>
      <c r="M232" s="55"/>
    </row>
    <row r="233" spans="3:13" x14ac:dyDescent="0.2">
      <c r="C233" s="49"/>
      <c r="G233" s="2"/>
      <c r="H233" s="2"/>
      <c r="L233" s="55"/>
      <c r="M233" s="55"/>
    </row>
    <row r="234" spans="3:13" x14ac:dyDescent="0.2">
      <c r="C234" s="49"/>
      <c r="G234" s="2"/>
      <c r="H234" s="2"/>
      <c r="L234" s="55"/>
      <c r="M234" s="55"/>
    </row>
    <row r="235" spans="3:13" x14ac:dyDescent="0.2">
      <c r="C235" s="49"/>
      <c r="G235" s="2"/>
      <c r="H235" s="2"/>
      <c r="L235" s="55"/>
      <c r="M235" s="55"/>
    </row>
    <row r="236" spans="3:13" x14ac:dyDescent="0.2">
      <c r="C236" s="49"/>
      <c r="G236" s="2"/>
      <c r="H236" s="2"/>
      <c r="L236" s="55"/>
      <c r="M236" s="55"/>
    </row>
    <row r="237" spans="3:13" x14ac:dyDescent="0.2">
      <c r="C237" s="49"/>
      <c r="G237" s="2"/>
      <c r="H237" s="2"/>
      <c r="L237" s="55"/>
      <c r="M237" s="55"/>
    </row>
    <row r="238" spans="3:13" x14ac:dyDescent="0.2">
      <c r="C238" s="49"/>
      <c r="G238" s="2"/>
      <c r="H238" s="2"/>
      <c r="L238" s="55"/>
      <c r="M238" s="55"/>
    </row>
    <row r="239" spans="3:13" x14ac:dyDescent="0.2">
      <c r="C239" s="49"/>
      <c r="G239" s="2"/>
      <c r="H239" s="2"/>
      <c r="L239" s="55"/>
      <c r="M239" s="55"/>
    </row>
    <row r="240" spans="3:13" x14ac:dyDescent="0.2">
      <c r="C240" s="49"/>
      <c r="G240" s="2"/>
      <c r="H240" s="2"/>
      <c r="L240" s="55"/>
      <c r="M240" s="55"/>
    </row>
    <row r="241" spans="3:13" x14ac:dyDescent="0.2">
      <c r="C241" s="49"/>
      <c r="G241" s="2"/>
      <c r="H241" s="2"/>
      <c r="L241" s="55"/>
      <c r="M241" s="55"/>
    </row>
    <row r="242" spans="3:13" x14ac:dyDescent="0.2">
      <c r="C242" s="49"/>
      <c r="G242" s="2"/>
      <c r="H242" s="2"/>
      <c r="L242" s="55"/>
      <c r="M242" s="55"/>
    </row>
    <row r="243" spans="3:13" x14ac:dyDescent="0.2">
      <c r="C243" s="49"/>
      <c r="G243" s="2"/>
      <c r="H243" s="2"/>
      <c r="L243" s="55"/>
      <c r="M243" s="55"/>
    </row>
    <row r="244" spans="3:13" x14ac:dyDescent="0.2">
      <c r="C244" s="49"/>
      <c r="G244" s="2"/>
      <c r="H244" s="2"/>
      <c r="L244" s="55"/>
      <c r="M244" s="55"/>
    </row>
    <row r="245" spans="3:13" x14ac:dyDescent="0.2">
      <c r="C245" s="49"/>
      <c r="G245" s="2"/>
      <c r="H245" s="2"/>
      <c r="L245" s="55"/>
      <c r="M245" s="55"/>
    </row>
    <row r="246" spans="3:13" x14ac:dyDescent="0.2">
      <c r="C246" s="49"/>
      <c r="G246" s="2"/>
      <c r="H246" s="2"/>
      <c r="L246" s="55"/>
      <c r="M246" s="55"/>
    </row>
    <row r="247" spans="3:13" x14ac:dyDescent="0.2">
      <c r="C247" s="49"/>
      <c r="G247" s="2"/>
      <c r="H247" s="2"/>
      <c r="L247" s="55"/>
      <c r="M247" s="55"/>
    </row>
    <row r="248" spans="3:13" x14ac:dyDescent="0.2">
      <c r="C248" s="49"/>
      <c r="G248" s="2"/>
      <c r="H248" s="2"/>
      <c r="L248" s="55"/>
      <c r="M248" s="55"/>
    </row>
    <row r="249" spans="3:13" x14ac:dyDescent="0.2">
      <c r="C249" s="49"/>
      <c r="G249" s="2"/>
      <c r="H249" s="2"/>
      <c r="L249" s="55"/>
      <c r="M249" s="55"/>
    </row>
    <row r="250" spans="3:13" x14ac:dyDescent="0.2">
      <c r="C250" s="49"/>
      <c r="G250" s="2"/>
      <c r="H250" s="2"/>
      <c r="L250" s="55"/>
      <c r="M250" s="55"/>
    </row>
    <row r="251" spans="3:13" x14ac:dyDescent="0.2">
      <c r="C251" s="49"/>
      <c r="G251" s="2"/>
      <c r="H251" s="2"/>
      <c r="L251" s="55"/>
      <c r="M251" s="55"/>
    </row>
    <row r="252" spans="3:13" x14ac:dyDescent="0.2">
      <c r="C252" s="49"/>
      <c r="G252" s="2"/>
      <c r="H252" s="2"/>
      <c r="L252" s="55"/>
      <c r="M252" s="55"/>
    </row>
    <row r="253" spans="3:13" x14ac:dyDescent="0.2">
      <c r="C253" s="49"/>
      <c r="G253" s="2"/>
      <c r="H253" s="2"/>
      <c r="L253" s="55"/>
      <c r="M253" s="55"/>
    </row>
    <row r="254" spans="3:13" x14ac:dyDescent="0.2">
      <c r="C254" s="49"/>
      <c r="G254" s="2"/>
      <c r="H254" s="2"/>
      <c r="L254" s="55"/>
      <c r="M254" s="55"/>
    </row>
    <row r="255" spans="3:13" x14ac:dyDescent="0.2">
      <c r="C255" s="49"/>
      <c r="G255" s="2"/>
      <c r="H255" s="2"/>
      <c r="L255" s="55"/>
      <c r="M255" s="55"/>
    </row>
    <row r="256" spans="3:13" x14ac:dyDescent="0.2">
      <c r="C256" s="49"/>
      <c r="G256" s="2"/>
      <c r="H256" s="2"/>
      <c r="L256" s="55"/>
      <c r="M256" s="55"/>
    </row>
    <row r="257" spans="3:13" x14ac:dyDescent="0.2">
      <c r="C257" s="49"/>
      <c r="G257" s="2"/>
      <c r="H257" s="2"/>
      <c r="L257" s="55"/>
      <c r="M257" s="55"/>
    </row>
    <row r="258" spans="3:13" x14ac:dyDescent="0.2">
      <c r="C258" s="49"/>
      <c r="G258" s="2"/>
      <c r="H258" s="2"/>
      <c r="L258" s="55"/>
      <c r="M258" s="55"/>
    </row>
    <row r="259" spans="3:13" x14ac:dyDescent="0.2">
      <c r="C259" s="49"/>
      <c r="G259" s="2"/>
      <c r="H259" s="2"/>
      <c r="L259" s="55"/>
      <c r="M259" s="55"/>
    </row>
    <row r="260" spans="3:13" x14ac:dyDescent="0.2">
      <c r="C260" s="49"/>
      <c r="G260" s="2"/>
      <c r="H260" s="2"/>
      <c r="L260" s="55"/>
      <c r="M260" s="55"/>
    </row>
    <row r="261" spans="3:13" x14ac:dyDescent="0.2">
      <c r="C261" s="49"/>
      <c r="G261" s="2"/>
      <c r="H261" s="2"/>
      <c r="L261" s="55"/>
      <c r="M261" s="55"/>
    </row>
    <row r="262" spans="3:13" x14ac:dyDescent="0.2">
      <c r="C262" s="49"/>
      <c r="G262" s="2"/>
      <c r="H262" s="2"/>
      <c r="L262" s="55"/>
      <c r="M262" s="55"/>
    </row>
    <row r="263" spans="3:13" x14ac:dyDescent="0.2">
      <c r="C263" s="49"/>
      <c r="G263" s="2"/>
      <c r="H263" s="2"/>
      <c r="L263" s="55"/>
      <c r="M263" s="55"/>
    </row>
    <row r="264" spans="3:13" x14ac:dyDescent="0.2">
      <c r="C264" s="49"/>
      <c r="G264" s="2"/>
      <c r="H264" s="2"/>
      <c r="L264" s="55"/>
      <c r="M264" s="55"/>
    </row>
    <row r="265" spans="3:13" x14ac:dyDescent="0.2">
      <c r="C265" s="49"/>
      <c r="G265" s="2"/>
      <c r="H265" s="2"/>
      <c r="L265" s="55"/>
      <c r="M265" s="55"/>
    </row>
    <row r="266" spans="3:13" x14ac:dyDescent="0.2">
      <c r="C266" s="49"/>
      <c r="G266" s="2"/>
      <c r="H266" s="2"/>
      <c r="L266" s="55"/>
      <c r="M266" s="55"/>
    </row>
    <row r="267" spans="3:13" x14ac:dyDescent="0.2">
      <c r="C267" s="49"/>
      <c r="G267" s="2"/>
      <c r="H267" s="2"/>
      <c r="L267" s="55"/>
      <c r="M267" s="55"/>
    </row>
    <row r="268" spans="3:13" x14ac:dyDescent="0.2">
      <c r="C268" s="49"/>
      <c r="G268" s="2"/>
      <c r="H268" s="2"/>
      <c r="L268" s="55"/>
      <c r="M268" s="55"/>
    </row>
    <row r="269" spans="3:13" x14ac:dyDescent="0.2">
      <c r="C269" s="49"/>
      <c r="G269" s="2"/>
      <c r="H269" s="2"/>
      <c r="L269" s="55"/>
      <c r="M269" s="55"/>
    </row>
    <row r="270" spans="3:13" x14ac:dyDescent="0.2">
      <c r="C270" s="49"/>
      <c r="G270" s="2"/>
      <c r="H270" s="2"/>
      <c r="L270" s="55"/>
      <c r="M270" s="55"/>
    </row>
    <row r="271" spans="3:13" x14ac:dyDescent="0.2">
      <c r="C271" s="49"/>
      <c r="G271" s="2"/>
      <c r="H271" s="2"/>
      <c r="L271" s="55"/>
      <c r="M271" s="55"/>
    </row>
    <row r="272" spans="3:13" x14ac:dyDescent="0.2">
      <c r="C272" s="49"/>
      <c r="G272" s="2"/>
      <c r="H272" s="2"/>
      <c r="L272" s="55"/>
      <c r="M272" s="55"/>
    </row>
    <row r="273" spans="3:13" x14ac:dyDescent="0.2">
      <c r="C273" s="49"/>
      <c r="G273" s="2"/>
      <c r="H273" s="2"/>
      <c r="L273" s="55"/>
      <c r="M273" s="55"/>
    </row>
    <row r="274" spans="3:13" x14ac:dyDescent="0.2">
      <c r="C274" s="49"/>
      <c r="G274" s="2"/>
      <c r="H274" s="2"/>
      <c r="L274" s="55"/>
      <c r="M274" s="55"/>
    </row>
    <row r="275" spans="3:13" x14ac:dyDescent="0.2">
      <c r="C275" s="49"/>
      <c r="G275" s="2"/>
      <c r="H275" s="2"/>
      <c r="L275" s="55"/>
      <c r="M275" s="55"/>
    </row>
    <row r="276" spans="3:13" x14ac:dyDescent="0.2">
      <c r="C276" s="49"/>
      <c r="G276" s="2"/>
      <c r="H276" s="2"/>
      <c r="L276" s="55"/>
      <c r="M276" s="55"/>
    </row>
    <row r="277" spans="3:13" x14ac:dyDescent="0.2">
      <c r="C277" s="49"/>
      <c r="G277" s="2"/>
      <c r="H277" s="2"/>
      <c r="L277" s="55"/>
      <c r="M277" s="55"/>
    </row>
    <row r="278" spans="3:13" x14ac:dyDescent="0.2">
      <c r="C278" s="49"/>
      <c r="G278" s="2"/>
      <c r="H278" s="2"/>
      <c r="L278" s="55"/>
      <c r="M278" s="55"/>
    </row>
    <row r="279" spans="3:13" x14ac:dyDescent="0.2">
      <c r="C279" s="49"/>
      <c r="G279" s="2"/>
      <c r="H279" s="2"/>
      <c r="L279" s="55"/>
      <c r="M279" s="55"/>
    </row>
    <row r="280" spans="3:13" x14ac:dyDescent="0.2">
      <c r="C280" s="49"/>
      <c r="G280" s="2"/>
      <c r="H280" s="2"/>
      <c r="L280" s="55"/>
      <c r="M280" s="55"/>
    </row>
    <row r="281" spans="3:13" x14ac:dyDescent="0.2">
      <c r="C281" s="49"/>
      <c r="G281" s="2"/>
      <c r="H281" s="2"/>
      <c r="L281" s="55"/>
      <c r="M281" s="55"/>
    </row>
    <row r="282" spans="3:13" x14ac:dyDescent="0.2">
      <c r="C282" s="49"/>
      <c r="G282" s="2"/>
      <c r="H282" s="2"/>
      <c r="L282" s="55"/>
      <c r="M282" s="55"/>
    </row>
    <row r="283" spans="3:13" x14ac:dyDescent="0.2">
      <c r="C283" s="49"/>
      <c r="G283" s="2"/>
      <c r="H283" s="2"/>
      <c r="L283" s="55"/>
      <c r="M283" s="55"/>
    </row>
    <row r="284" spans="3:13" x14ac:dyDescent="0.2">
      <c r="C284" s="49"/>
      <c r="G284" s="2"/>
      <c r="H284" s="2"/>
      <c r="L284" s="55"/>
      <c r="M284" s="55"/>
    </row>
    <row r="285" spans="3:13" x14ac:dyDescent="0.2">
      <c r="C285" s="49"/>
      <c r="G285" s="2"/>
      <c r="H285" s="2"/>
      <c r="L285" s="55"/>
      <c r="M285" s="55"/>
    </row>
    <row r="286" spans="3:13" x14ac:dyDescent="0.2">
      <c r="C286" s="49"/>
      <c r="G286" s="2"/>
      <c r="H286" s="2"/>
      <c r="L286" s="55"/>
      <c r="M286" s="55"/>
    </row>
    <row r="287" spans="3:13" x14ac:dyDescent="0.2">
      <c r="C287" s="49"/>
      <c r="G287" s="2"/>
      <c r="H287" s="2"/>
      <c r="L287" s="55"/>
      <c r="M287" s="55"/>
    </row>
    <row r="288" spans="3:13" x14ac:dyDescent="0.2">
      <c r="C288" s="49"/>
      <c r="G288" s="2"/>
      <c r="H288" s="2"/>
      <c r="L288" s="55"/>
      <c r="M288" s="55"/>
    </row>
    <row r="289" spans="3:13" x14ac:dyDescent="0.2">
      <c r="C289" s="49"/>
      <c r="G289" s="2"/>
      <c r="H289" s="2"/>
      <c r="L289" s="55"/>
      <c r="M289" s="55"/>
    </row>
    <row r="290" spans="3:13" x14ac:dyDescent="0.2">
      <c r="C290" s="49"/>
      <c r="G290" s="2"/>
      <c r="H290" s="2"/>
      <c r="L290" s="55"/>
      <c r="M290" s="55"/>
    </row>
    <row r="291" spans="3:13" x14ac:dyDescent="0.2">
      <c r="C291" s="49"/>
      <c r="G291" s="2"/>
      <c r="H291" s="2"/>
      <c r="L291" s="55"/>
      <c r="M291" s="55"/>
    </row>
    <row r="292" spans="3:13" x14ac:dyDescent="0.2">
      <c r="C292" s="49"/>
      <c r="G292" s="2"/>
      <c r="H292" s="2"/>
      <c r="L292" s="55"/>
      <c r="M292" s="55"/>
    </row>
    <row r="293" spans="3:13" x14ac:dyDescent="0.2">
      <c r="C293" s="49"/>
      <c r="G293" s="2"/>
      <c r="H293" s="2"/>
      <c r="L293" s="55"/>
      <c r="M293" s="55"/>
    </row>
    <row r="294" spans="3:13" x14ac:dyDescent="0.2">
      <c r="C294" s="49"/>
      <c r="G294" s="2"/>
      <c r="H294" s="2"/>
      <c r="L294" s="55"/>
      <c r="M294" s="55"/>
    </row>
    <row r="295" spans="3:13" x14ac:dyDescent="0.2">
      <c r="C295" s="49"/>
      <c r="G295" s="2"/>
      <c r="H295" s="2"/>
      <c r="L295" s="55"/>
      <c r="M295" s="55"/>
    </row>
    <row r="296" spans="3:13" x14ac:dyDescent="0.2">
      <c r="C296" s="49"/>
      <c r="G296" s="2"/>
      <c r="H296" s="2"/>
      <c r="L296" s="55"/>
      <c r="M296" s="55"/>
    </row>
    <row r="297" spans="3:13" x14ac:dyDescent="0.2">
      <c r="C297" s="49"/>
      <c r="G297" s="2"/>
      <c r="H297" s="2"/>
      <c r="L297" s="55"/>
      <c r="M297" s="55"/>
    </row>
    <row r="298" spans="3:13" x14ac:dyDescent="0.2">
      <c r="C298" s="49"/>
      <c r="G298" s="2"/>
      <c r="H298" s="2"/>
      <c r="L298" s="55"/>
      <c r="M298" s="55"/>
    </row>
    <row r="299" spans="3:13" x14ac:dyDescent="0.2">
      <c r="C299" s="49"/>
      <c r="G299" s="2"/>
      <c r="H299" s="2"/>
      <c r="L299" s="55"/>
      <c r="M299" s="55"/>
    </row>
    <row r="300" spans="3:13" x14ac:dyDescent="0.2">
      <c r="C300" s="49"/>
      <c r="G300" s="2"/>
      <c r="H300" s="2"/>
      <c r="L300" s="55"/>
      <c r="M300" s="55"/>
    </row>
    <row r="301" spans="3:13" x14ac:dyDescent="0.2">
      <c r="C301" s="49"/>
      <c r="G301" s="2"/>
      <c r="H301" s="2"/>
      <c r="L301" s="55"/>
      <c r="M301" s="55"/>
    </row>
    <row r="302" spans="3:13" x14ac:dyDescent="0.2">
      <c r="C302" s="49"/>
      <c r="G302" s="2"/>
      <c r="H302" s="2"/>
      <c r="L302" s="55"/>
      <c r="M302" s="55"/>
    </row>
    <row r="303" spans="3:13" x14ac:dyDescent="0.2">
      <c r="C303" s="49"/>
      <c r="G303" s="2"/>
      <c r="H303" s="2"/>
      <c r="L303" s="55"/>
      <c r="M303" s="55"/>
    </row>
    <row r="304" spans="3:13" x14ac:dyDescent="0.2">
      <c r="C304" s="49"/>
      <c r="G304" s="2"/>
      <c r="H304" s="2"/>
      <c r="L304" s="55"/>
      <c r="M304" s="55"/>
    </row>
    <row r="305" spans="3:13" x14ac:dyDescent="0.2">
      <c r="C305" s="49"/>
      <c r="G305" s="2"/>
      <c r="H305" s="2"/>
      <c r="L305" s="55"/>
      <c r="M305" s="55"/>
    </row>
    <row r="306" spans="3:13" x14ac:dyDescent="0.2">
      <c r="C306" s="49"/>
      <c r="G306" s="2"/>
      <c r="H306" s="2"/>
      <c r="L306" s="55"/>
      <c r="M306" s="55"/>
    </row>
    <row r="307" spans="3:13" x14ac:dyDescent="0.2">
      <c r="C307" s="49"/>
      <c r="G307" s="2"/>
      <c r="H307" s="2"/>
      <c r="L307" s="55"/>
      <c r="M307" s="55"/>
    </row>
    <row r="308" spans="3:13" x14ac:dyDescent="0.2">
      <c r="C308" s="49"/>
      <c r="G308" s="2"/>
      <c r="H308" s="2"/>
      <c r="L308" s="55"/>
      <c r="M308" s="55"/>
    </row>
    <row r="309" spans="3:13" x14ac:dyDescent="0.2">
      <c r="C309" s="49"/>
      <c r="G309" s="2"/>
      <c r="H309" s="2"/>
      <c r="L309" s="55"/>
      <c r="M309" s="55"/>
    </row>
    <row r="310" spans="3:13" x14ac:dyDescent="0.2">
      <c r="C310" s="49"/>
      <c r="G310" s="2"/>
      <c r="H310" s="2"/>
      <c r="L310" s="55"/>
      <c r="M310" s="55"/>
    </row>
    <row r="311" spans="3:13" x14ac:dyDescent="0.2">
      <c r="C311" s="49"/>
      <c r="G311" s="2"/>
      <c r="H311" s="2"/>
      <c r="L311" s="55"/>
      <c r="M311" s="55"/>
    </row>
    <row r="312" spans="3:13" x14ac:dyDescent="0.2">
      <c r="C312" s="49"/>
      <c r="G312" s="2"/>
      <c r="H312" s="2"/>
      <c r="L312" s="55"/>
      <c r="M312" s="55"/>
    </row>
    <row r="313" spans="3:13" x14ac:dyDescent="0.2">
      <c r="C313" s="49"/>
      <c r="G313" s="2"/>
      <c r="H313" s="2"/>
      <c r="L313" s="55"/>
      <c r="M313" s="55"/>
    </row>
    <row r="314" spans="3:13" x14ac:dyDescent="0.2">
      <c r="C314" s="49"/>
      <c r="G314" s="2"/>
      <c r="H314" s="2"/>
      <c r="L314" s="55"/>
      <c r="M314" s="55"/>
    </row>
    <row r="315" spans="3:13" x14ac:dyDescent="0.2">
      <c r="C315" s="49"/>
      <c r="G315" s="2"/>
      <c r="H315" s="2"/>
      <c r="L315" s="55"/>
      <c r="M315" s="55"/>
    </row>
    <row r="316" spans="3:13" x14ac:dyDescent="0.2">
      <c r="C316" s="49"/>
      <c r="G316" s="2"/>
      <c r="H316" s="2"/>
      <c r="L316" s="55"/>
      <c r="M316" s="55"/>
    </row>
    <row r="317" spans="3:13" x14ac:dyDescent="0.2">
      <c r="C317" s="49"/>
      <c r="G317" s="2"/>
      <c r="H317" s="2"/>
      <c r="L317" s="55"/>
      <c r="M317" s="55"/>
    </row>
    <row r="318" spans="3:13" x14ac:dyDescent="0.2">
      <c r="C318" s="49"/>
      <c r="G318" s="2"/>
      <c r="H318" s="2"/>
      <c r="L318" s="55"/>
      <c r="M318" s="55"/>
    </row>
    <row r="319" spans="3:13" x14ac:dyDescent="0.2">
      <c r="C319" s="49"/>
      <c r="G319" s="2"/>
      <c r="H319" s="2"/>
      <c r="L319" s="55"/>
      <c r="M319" s="55"/>
    </row>
    <row r="320" spans="3:13" x14ac:dyDescent="0.2">
      <c r="C320" s="49"/>
      <c r="G320" s="2"/>
      <c r="H320" s="2"/>
      <c r="L320" s="55"/>
      <c r="M320" s="55"/>
    </row>
    <row r="321" spans="3:13" x14ac:dyDescent="0.2">
      <c r="C321" s="49"/>
      <c r="G321" s="2"/>
      <c r="H321" s="2"/>
      <c r="L321" s="55"/>
      <c r="M321" s="55"/>
    </row>
    <row r="322" spans="3:13" x14ac:dyDescent="0.2">
      <c r="C322" s="49"/>
      <c r="G322" s="2"/>
      <c r="H322" s="2"/>
      <c r="L322" s="55"/>
      <c r="M322" s="55"/>
    </row>
    <row r="323" spans="3:13" x14ac:dyDescent="0.2">
      <c r="C323" s="49"/>
      <c r="G323" s="2"/>
      <c r="H323" s="2"/>
      <c r="L323" s="55"/>
      <c r="M323" s="55"/>
    </row>
    <row r="324" spans="3:13" x14ac:dyDescent="0.2">
      <c r="C324" s="49"/>
      <c r="G324" s="2"/>
      <c r="H324" s="2"/>
      <c r="L324" s="55"/>
      <c r="M324" s="55"/>
    </row>
    <row r="325" spans="3:13" x14ac:dyDescent="0.2">
      <c r="C325" s="49"/>
      <c r="G325" s="2"/>
      <c r="H325" s="2"/>
      <c r="L325" s="55"/>
      <c r="M325" s="55"/>
    </row>
    <row r="326" spans="3:13" x14ac:dyDescent="0.2">
      <c r="C326" s="49"/>
      <c r="G326" s="2"/>
      <c r="H326" s="2"/>
      <c r="L326" s="55"/>
      <c r="M326" s="55"/>
    </row>
    <row r="327" spans="3:13" x14ac:dyDescent="0.2">
      <c r="C327" s="49"/>
      <c r="G327" s="2"/>
      <c r="H327" s="2"/>
      <c r="L327" s="55"/>
      <c r="M327" s="55"/>
    </row>
    <row r="328" spans="3:13" x14ac:dyDescent="0.2">
      <c r="C328" s="49"/>
      <c r="G328" s="2"/>
      <c r="H328" s="2"/>
      <c r="L328" s="55"/>
      <c r="M328" s="55"/>
    </row>
    <row r="329" spans="3:13" x14ac:dyDescent="0.2">
      <c r="C329" s="49"/>
      <c r="G329" s="2"/>
      <c r="H329" s="2"/>
      <c r="L329" s="55"/>
      <c r="M329" s="55"/>
    </row>
    <row r="330" spans="3:13" x14ac:dyDescent="0.2">
      <c r="C330" s="49"/>
      <c r="G330" s="2"/>
      <c r="H330" s="2"/>
      <c r="L330" s="55"/>
      <c r="M330" s="55"/>
    </row>
    <row r="331" spans="3:13" x14ac:dyDescent="0.2">
      <c r="C331" s="49"/>
      <c r="G331" s="2"/>
      <c r="H331" s="2"/>
      <c r="L331" s="55"/>
      <c r="M331" s="55"/>
    </row>
    <row r="332" spans="3:13" x14ac:dyDescent="0.2">
      <c r="C332" s="49"/>
      <c r="G332" s="2"/>
      <c r="H332" s="2"/>
      <c r="L332" s="55"/>
      <c r="M332" s="55"/>
    </row>
    <row r="333" spans="3:13" x14ac:dyDescent="0.2">
      <c r="C333" s="49"/>
      <c r="G333" s="2"/>
      <c r="H333" s="2"/>
      <c r="L333" s="55"/>
      <c r="M333" s="55"/>
    </row>
    <row r="334" spans="3:13" x14ac:dyDescent="0.2">
      <c r="C334" s="49"/>
      <c r="G334" s="2"/>
      <c r="H334" s="2"/>
      <c r="L334" s="55"/>
      <c r="M334" s="55"/>
    </row>
    <row r="335" spans="3:13" x14ac:dyDescent="0.2">
      <c r="C335" s="49"/>
      <c r="G335" s="2"/>
      <c r="H335" s="2"/>
      <c r="L335" s="55"/>
      <c r="M335" s="55"/>
    </row>
    <row r="336" spans="3:13" x14ac:dyDescent="0.2">
      <c r="C336" s="49"/>
      <c r="G336" s="2"/>
      <c r="H336" s="2"/>
      <c r="L336" s="55"/>
      <c r="M336" s="55"/>
    </row>
    <row r="337" spans="3:13" x14ac:dyDescent="0.2">
      <c r="C337" s="49"/>
      <c r="G337" s="2"/>
      <c r="H337" s="2"/>
      <c r="L337" s="55"/>
      <c r="M337" s="55"/>
    </row>
    <row r="338" spans="3:13" x14ac:dyDescent="0.2">
      <c r="C338" s="49"/>
      <c r="G338" s="2"/>
      <c r="H338" s="2"/>
      <c r="L338" s="55"/>
      <c r="M338" s="55"/>
    </row>
    <row r="339" spans="3:13" x14ac:dyDescent="0.2">
      <c r="C339" s="49"/>
      <c r="G339" s="2"/>
      <c r="H339" s="2"/>
      <c r="L339" s="55"/>
      <c r="M339" s="55"/>
    </row>
    <row r="340" spans="3:13" x14ac:dyDescent="0.2">
      <c r="C340" s="49"/>
      <c r="G340" s="2"/>
      <c r="H340" s="2"/>
      <c r="L340" s="55"/>
      <c r="M340" s="55"/>
    </row>
    <row r="341" spans="3:13" x14ac:dyDescent="0.2">
      <c r="C341" s="49"/>
      <c r="G341" s="2"/>
      <c r="H341" s="2"/>
      <c r="L341" s="55"/>
      <c r="M341" s="55"/>
    </row>
    <row r="342" spans="3:13" x14ac:dyDescent="0.2">
      <c r="C342" s="49"/>
      <c r="G342" s="2"/>
      <c r="H342" s="2"/>
      <c r="L342" s="55"/>
      <c r="M342" s="55"/>
    </row>
    <row r="343" spans="3:13" x14ac:dyDescent="0.2">
      <c r="C343" s="49"/>
      <c r="G343" s="2"/>
      <c r="H343" s="2"/>
      <c r="L343" s="55"/>
      <c r="M343" s="55"/>
    </row>
    <row r="344" spans="3:13" x14ac:dyDescent="0.2">
      <c r="C344" s="49"/>
      <c r="G344" s="2"/>
      <c r="H344" s="2"/>
      <c r="L344" s="55"/>
      <c r="M344" s="55"/>
    </row>
    <row r="345" spans="3:13" x14ac:dyDescent="0.2">
      <c r="C345" s="49"/>
      <c r="G345" s="2"/>
      <c r="H345" s="2"/>
      <c r="L345" s="55"/>
      <c r="M345" s="55"/>
    </row>
    <row r="346" spans="3:13" x14ac:dyDescent="0.2">
      <c r="C346" s="49"/>
      <c r="G346" s="2"/>
      <c r="H346" s="2"/>
      <c r="L346" s="55"/>
      <c r="M346" s="55"/>
    </row>
    <row r="347" spans="3:13" x14ac:dyDescent="0.2">
      <c r="C347" s="49"/>
      <c r="G347" s="2"/>
      <c r="H347" s="2"/>
      <c r="L347" s="55"/>
      <c r="M347" s="55"/>
    </row>
    <row r="348" spans="3:13" x14ac:dyDescent="0.2">
      <c r="C348" s="49"/>
      <c r="G348" s="2"/>
      <c r="H348" s="2"/>
      <c r="L348" s="55"/>
      <c r="M348" s="55"/>
    </row>
    <row r="349" spans="3:13" x14ac:dyDescent="0.2">
      <c r="C349" s="49"/>
      <c r="G349" s="2"/>
      <c r="H349" s="2"/>
      <c r="L349" s="55"/>
      <c r="M349" s="55"/>
    </row>
    <row r="350" spans="3:13" x14ac:dyDescent="0.2">
      <c r="C350" s="49"/>
      <c r="G350" s="2"/>
      <c r="H350" s="2"/>
      <c r="L350" s="55"/>
      <c r="M350" s="55"/>
    </row>
    <row r="351" spans="3:13" x14ac:dyDescent="0.2">
      <c r="C351" s="49"/>
      <c r="G351" s="2"/>
      <c r="H351" s="2"/>
      <c r="L351" s="55"/>
      <c r="M351" s="55"/>
    </row>
    <row r="352" spans="3:13" x14ac:dyDescent="0.2">
      <c r="C352" s="49"/>
      <c r="G352" s="2"/>
      <c r="H352" s="2"/>
      <c r="L352" s="55"/>
      <c r="M352" s="55"/>
    </row>
    <row r="353" spans="3:13" x14ac:dyDescent="0.2">
      <c r="C353" s="49"/>
      <c r="G353" s="2"/>
      <c r="H353" s="2"/>
      <c r="L353" s="55"/>
      <c r="M353" s="55"/>
    </row>
    <row r="354" spans="3:13" x14ac:dyDescent="0.2">
      <c r="C354" s="49"/>
      <c r="G354" s="2"/>
      <c r="H354" s="2"/>
      <c r="L354" s="55"/>
      <c r="M354" s="55"/>
    </row>
    <row r="355" spans="3:13" x14ac:dyDescent="0.2">
      <c r="C355" s="49"/>
      <c r="G355" s="2"/>
      <c r="H355" s="2"/>
      <c r="L355" s="55"/>
      <c r="M355" s="55"/>
    </row>
    <row r="356" spans="3:13" x14ac:dyDescent="0.2">
      <c r="C356" s="49"/>
      <c r="G356" s="2"/>
      <c r="H356" s="2"/>
      <c r="L356" s="55"/>
      <c r="M356" s="55"/>
    </row>
    <row r="357" spans="3:13" x14ac:dyDescent="0.2">
      <c r="C357" s="49"/>
      <c r="G357" s="2"/>
      <c r="H357" s="2"/>
      <c r="L357" s="55"/>
      <c r="M357" s="55"/>
    </row>
    <row r="358" spans="3:13" x14ac:dyDescent="0.2">
      <c r="C358" s="49"/>
      <c r="G358" s="2"/>
      <c r="H358" s="2"/>
      <c r="L358" s="55"/>
      <c r="M358" s="55"/>
    </row>
    <row r="359" spans="3:13" x14ac:dyDescent="0.2">
      <c r="C359" s="49"/>
      <c r="G359" s="2"/>
      <c r="H359" s="2"/>
      <c r="L359" s="55"/>
      <c r="M359" s="55"/>
    </row>
    <row r="360" spans="3:13" x14ac:dyDescent="0.2">
      <c r="C360" s="49"/>
      <c r="G360" s="2"/>
      <c r="H360" s="2"/>
      <c r="L360" s="55"/>
      <c r="M360" s="55"/>
    </row>
    <row r="361" spans="3:13" x14ac:dyDescent="0.2">
      <c r="C361" s="49"/>
      <c r="G361" s="2"/>
      <c r="H361" s="2"/>
      <c r="L361" s="55"/>
      <c r="M361" s="55"/>
    </row>
    <row r="362" spans="3:13" x14ac:dyDescent="0.2">
      <c r="C362" s="49"/>
      <c r="G362" s="2"/>
      <c r="H362" s="2"/>
      <c r="L362" s="55"/>
      <c r="M362" s="55"/>
    </row>
    <row r="363" spans="3:13" x14ac:dyDescent="0.2">
      <c r="C363" s="49"/>
      <c r="G363" s="2"/>
      <c r="H363" s="2"/>
      <c r="L363" s="55"/>
      <c r="M363" s="55"/>
    </row>
    <row r="364" spans="3:13" x14ac:dyDescent="0.2">
      <c r="C364" s="49"/>
      <c r="G364" s="2"/>
      <c r="H364" s="2"/>
      <c r="L364" s="55"/>
      <c r="M364" s="55"/>
    </row>
    <row r="365" spans="3:13" x14ac:dyDescent="0.2">
      <c r="C365" s="49"/>
      <c r="G365" s="2"/>
      <c r="H365" s="2"/>
      <c r="L365" s="55"/>
      <c r="M365" s="55"/>
    </row>
    <row r="366" spans="3:13" x14ac:dyDescent="0.2">
      <c r="C366" s="49"/>
      <c r="G366" s="2"/>
      <c r="H366" s="2"/>
      <c r="L366" s="55"/>
      <c r="M366" s="55"/>
    </row>
    <row r="367" spans="3:13" x14ac:dyDescent="0.2">
      <c r="C367" s="49"/>
      <c r="G367" s="2"/>
      <c r="H367" s="2"/>
      <c r="L367" s="55"/>
      <c r="M367" s="55"/>
    </row>
    <row r="368" spans="3:13" x14ac:dyDescent="0.2">
      <c r="C368" s="49"/>
      <c r="G368" s="2"/>
      <c r="H368" s="2"/>
      <c r="L368" s="55"/>
      <c r="M368" s="55"/>
    </row>
    <row r="369" spans="3:13" x14ac:dyDescent="0.2">
      <c r="C369" s="49"/>
      <c r="G369" s="2"/>
      <c r="H369" s="2"/>
      <c r="L369" s="55"/>
      <c r="M369" s="55"/>
    </row>
    <row r="370" spans="3:13" x14ac:dyDescent="0.2">
      <c r="C370" s="49"/>
      <c r="G370" s="2"/>
      <c r="H370" s="2"/>
      <c r="L370" s="55"/>
      <c r="M370" s="55"/>
    </row>
    <row r="371" spans="3:13" x14ac:dyDescent="0.2">
      <c r="C371" s="49"/>
      <c r="G371" s="2"/>
      <c r="H371" s="2"/>
      <c r="L371" s="55"/>
      <c r="M371" s="55"/>
    </row>
    <row r="372" spans="3:13" x14ac:dyDescent="0.2">
      <c r="C372" s="49"/>
      <c r="G372" s="2"/>
      <c r="H372" s="2"/>
      <c r="L372" s="55"/>
      <c r="M372" s="55"/>
    </row>
    <row r="373" spans="3:13" x14ac:dyDescent="0.2">
      <c r="C373" s="49"/>
      <c r="G373" s="2"/>
      <c r="H373" s="2"/>
      <c r="L373" s="55"/>
      <c r="M373" s="55"/>
    </row>
    <row r="374" spans="3:13" x14ac:dyDescent="0.2">
      <c r="C374" s="49"/>
      <c r="G374" s="2"/>
      <c r="H374" s="2"/>
      <c r="L374" s="55"/>
      <c r="M374" s="55"/>
    </row>
    <row r="375" spans="3:13" x14ac:dyDescent="0.2">
      <c r="C375" s="49"/>
      <c r="G375" s="2"/>
      <c r="H375" s="2"/>
      <c r="L375" s="55"/>
      <c r="M375" s="55"/>
    </row>
    <row r="376" spans="3:13" x14ac:dyDescent="0.2">
      <c r="C376" s="49"/>
      <c r="G376" s="2"/>
      <c r="H376" s="2"/>
      <c r="L376" s="55"/>
      <c r="M376" s="55"/>
    </row>
    <row r="377" spans="3:13" x14ac:dyDescent="0.2">
      <c r="C377" s="49"/>
      <c r="G377" s="2"/>
      <c r="H377" s="2"/>
      <c r="L377" s="55"/>
      <c r="M377" s="55"/>
    </row>
    <row r="378" spans="3:13" x14ac:dyDescent="0.2">
      <c r="C378" s="49"/>
      <c r="G378" s="2"/>
      <c r="H378" s="2"/>
      <c r="L378" s="55"/>
      <c r="M378" s="55"/>
    </row>
    <row r="379" spans="3:13" x14ac:dyDescent="0.2">
      <c r="C379" s="49"/>
      <c r="G379" s="2"/>
      <c r="H379" s="2"/>
      <c r="L379" s="55"/>
      <c r="M379" s="55"/>
    </row>
    <row r="380" spans="3:13" x14ac:dyDescent="0.2">
      <c r="C380" s="49"/>
      <c r="G380" s="2"/>
      <c r="H380" s="2"/>
      <c r="L380" s="55"/>
      <c r="M380" s="55"/>
    </row>
    <row r="381" spans="3:13" x14ac:dyDescent="0.2">
      <c r="C381" s="49"/>
      <c r="G381" s="2"/>
      <c r="H381" s="2"/>
      <c r="L381" s="55"/>
      <c r="M381" s="55"/>
    </row>
    <row r="382" spans="3:13" x14ac:dyDescent="0.2">
      <c r="C382" s="49"/>
      <c r="G382" s="2"/>
      <c r="H382" s="2"/>
      <c r="L382" s="55"/>
      <c r="M382" s="55"/>
    </row>
    <row r="383" spans="3:13" x14ac:dyDescent="0.2">
      <c r="C383" s="49"/>
      <c r="G383" s="2"/>
      <c r="H383" s="2"/>
      <c r="L383" s="55"/>
      <c r="M383" s="55"/>
    </row>
    <row r="384" spans="3:13" x14ac:dyDescent="0.2">
      <c r="C384" s="49"/>
      <c r="G384" s="2"/>
      <c r="H384" s="2"/>
      <c r="L384" s="55"/>
      <c r="M384" s="55"/>
    </row>
    <row r="385" spans="3:13" x14ac:dyDescent="0.2">
      <c r="C385" s="49"/>
      <c r="G385" s="2"/>
      <c r="H385" s="2"/>
      <c r="L385" s="55"/>
      <c r="M385" s="55"/>
    </row>
    <row r="386" spans="3:13" x14ac:dyDescent="0.2">
      <c r="C386" s="49"/>
      <c r="G386" s="2"/>
      <c r="H386" s="2"/>
      <c r="L386" s="55"/>
      <c r="M386" s="55"/>
    </row>
    <row r="387" spans="3:13" x14ac:dyDescent="0.2">
      <c r="C387" s="49"/>
      <c r="G387" s="2"/>
      <c r="H387" s="2"/>
      <c r="L387" s="55"/>
      <c r="M387" s="55"/>
    </row>
    <row r="388" spans="3:13" x14ac:dyDescent="0.2">
      <c r="C388" s="49"/>
      <c r="G388" s="2"/>
      <c r="H388" s="2"/>
      <c r="L388" s="55"/>
      <c r="M388" s="55"/>
    </row>
    <row r="389" spans="3:13" x14ac:dyDescent="0.2">
      <c r="C389" s="49"/>
      <c r="G389" s="2"/>
      <c r="H389" s="2"/>
      <c r="L389" s="55"/>
      <c r="M389" s="55"/>
    </row>
    <row r="390" spans="3:13" x14ac:dyDescent="0.2">
      <c r="C390" s="49"/>
      <c r="G390" s="2"/>
      <c r="H390" s="2"/>
      <c r="L390" s="55"/>
      <c r="M390" s="55"/>
    </row>
    <row r="391" spans="3:13" x14ac:dyDescent="0.2">
      <c r="C391" s="49"/>
      <c r="G391" s="2"/>
      <c r="H391" s="2"/>
      <c r="L391" s="55"/>
      <c r="M391" s="55"/>
    </row>
    <row r="392" spans="3:13" x14ac:dyDescent="0.2">
      <c r="C392" s="49"/>
      <c r="G392" s="2"/>
      <c r="H392" s="2"/>
      <c r="L392" s="55"/>
      <c r="M392" s="55"/>
    </row>
    <row r="393" spans="3:13" x14ac:dyDescent="0.2">
      <c r="C393" s="49"/>
      <c r="G393" s="2"/>
      <c r="H393" s="2"/>
      <c r="L393" s="55"/>
      <c r="M393" s="55"/>
    </row>
    <row r="394" spans="3:13" x14ac:dyDescent="0.2">
      <c r="C394" s="49"/>
      <c r="G394" s="2"/>
      <c r="H394" s="2"/>
      <c r="L394" s="55"/>
      <c r="M394" s="55"/>
    </row>
    <row r="395" spans="3:13" x14ac:dyDescent="0.2">
      <c r="C395" s="49"/>
      <c r="G395" s="2"/>
      <c r="H395" s="2"/>
      <c r="L395" s="55"/>
      <c r="M395" s="55"/>
    </row>
    <row r="396" spans="3:13" x14ac:dyDescent="0.2">
      <c r="C396" s="49"/>
      <c r="G396" s="2"/>
      <c r="H396" s="2"/>
      <c r="L396" s="55"/>
      <c r="M396" s="55"/>
    </row>
    <row r="397" spans="3:13" x14ac:dyDescent="0.2">
      <c r="C397" s="49"/>
      <c r="G397" s="2"/>
      <c r="H397" s="2"/>
      <c r="L397" s="55"/>
      <c r="M397" s="55"/>
    </row>
    <row r="398" spans="3:13" x14ac:dyDescent="0.2">
      <c r="C398" s="49"/>
      <c r="G398" s="2"/>
      <c r="H398" s="2"/>
      <c r="L398" s="55"/>
      <c r="M398" s="55"/>
    </row>
    <row r="399" spans="3:13" x14ac:dyDescent="0.2">
      <c r="C399" s="49"/>
      <c r="G399" s="2"/>
      <c r="H399" s="2"/>
      <c r="L399" s="55"/>
      <c r="M399" s="55"/>
    </row>
    <row r="400" spans="3:13" x14ac:dyDescent="0.2">
      <c r="C400" s="49"/>
      <c r="G400" s="2"/>
      <c r="H400" s="2"/>
      <c r="L400" s="55"/>
      <c r="M400" s="55"/>
    </row>
    <row r="401" spans="3:13" x14ac:dyDescent="0.2">
      <c r="C401" s="49"/>
      <c r="G401" s="2"/>
      <c r="H401" s="2"/>
      <c r="L401" s="55"/>
      <c r="M401" s="55"/>
    </row>
    <row r="402" spans="3:13" x14ac:dyDescent="0.2">
      <c r="C402" s="49"/>
      <c r="G402" s="2"/>
      <c r="H402" s="2"/>
      <c r="L402" s="55"/>
      <c r="M402" s="55"/>
    </row>
    <row r="403" spans="3:13" x14ac:dyDescent="0.2">
      <c r="C403" s="49"/>
      <c r="G403" s="2"/>
      <c r="H403" s="2"/>
      <c r="L403" s="55"/>
      <c r="M403" s="55"/>
    </row>
    <row r="404" spans="3:13" x14ac:dyDescent="0.2">
      <c r="C404" s="49"/>
      <c r="G404" s="2"/>
      <c r="H404" s="2"/>
      <c r="L404" s="55"/>
      <c r="M404" s="55"/>
    </row>
    <row r="405" spans="3:13" x14ac:dyDescent="0.2">
      <c r="C405" s="49"/>
      <c r="G405" s="2"/>
      <c r="H405" s="2"/>
      <c r="L405" s="55"/>
      <c r="M405" s="55"/>
    </row>
    <row r="406" spans="3:13" x14ac:dyDescent="0.2">
      <c r="C406" s="49"/>
      <c r="G406" s="2"/>
      <c r="H406" s="2"/>
      <c r="L406" s="55"/>
      <c r="M406" s="55"/>
    </row>
    <row r="407" spans="3:13" x14ac:dyDescent="0.2">
      <c r="C407" s="49"/>
      <c r="G407" s="2"/>
      <c r="H407" s="2"/>
      <c r="L407" s="55"/>
      <c r="M407" s="55"/>
    </row>
    <row r="408" spans="3:13" x14ac:dyDescent="0.2">
      <c r="C408" s="49"/>
      <c r="G408" s="2"/>
      <c r="H408" s="2"/>
      <c r="L408" s="55"/>
      <c r="M408" s="55"/>
    </row>
    <row r="409" spans="3:13" x14ac:dyDescent="0.2">
      <c r="C409" s="49"/>
      <c r="G409" s="2"/>
      <c r="H409" s="2"/>
      <c r="L409" s="55"/>
      <c r="M409" s="55"/>
    </row>
    <row r="410" spans="3:13" x14ac:dyDescent="0.2">
      <c r="C410" s="49"/>
      <c r="G410" s="2"/>
      <c r="H410" s="2"/>
      <c r="L410" s="55"/>
      <c r="M410" s="55"/>
    </row>
    <row r="411" spans="3:13" x14ac:dyDescent="0.2">
      <c r="C411" s="49"/>
      <c r="G411" s="2"/>
      <c r="H411" s="2"/>
      <c r="L411" s="55"/>
      <c r="M411" s="55"/>
    </row>
    <row r="412" spans="3:13" x14ac:dyDescent="0.2">
      <c r="C412" s="49"/>
      <c r="G412" s="2"/>
      <c r="H412" s="2"/>
      <c r="L412" s="55"/>
      <c r="M412" s="55"/>
    </row>
    <row r="413" spans="3:13" x14ac:dyDescent="0.2">
      <c r="C413" s="49"/>
      <c r="G413" s="2"/>
      <c r="H413" s="2"/>
      <c r="L413" s="55"/>
      <c r="M413" s="55"/>
    </row>
    <row r="414" spans="3:13" x14ac:dyDescent="0.2">
      <c r="C414" s="49"/>
      <c r="G414" s="2"/>
      <c r="H414" s="2"/>
      <c r="L414" s="55"/>
      <c r="M414" s="55"/>
    </row>
    <row r="415" spans="3:13" x14ac:dyDescent="0.2">
      <c r="C415" s="49"/>
      <c r="G415" s="2"/>
      <c r="H415" s="2"/>
      <c r="L415" s="55"/>
      <c r="M415" s="55"/>
    </row>
    <row r="416" spans="3:13" x14ac:dyDescent="0.2">
      <c r="C416" s="49"/>
      <c r="G416" s="2"/>
      <c r="H416" s="2"/>
      <c r="L416" s="55"/>
      <c r="M416" s="55"/>
    </row>
    <row r="417" spans="3:13" x14ac:dyDescent="0.2">
      <c r="C417" s="49"/>
      <c r="G417" s="2"/>
      <c r="H417" s="2"/>
      <c r="L417" s="55"/>
      <c r="M417" s="55"/>
    </row>
    <row r="418" spans="3:13" x14ac:dyDescent="0.2">
      <c r="C418" s="49"/>
      <c r="G418" s="2"/>
      <c r="H418" s="2"/>
      <c r="L418" s="55"/>
      <c r="M418" s="55"/>
    </row>
    <row r="419" spans="3:13" x14ac:dyDescent="0.2">
      <c r="C419" s="49"/>
      <c r="G419" s="2"/>
      <c r="H419" s="2"/>
      <c r="L419" s="55"/>
      <c r="M419" s="55"/>
    </row>
    <row r="420" spans="3:13" x14ac:dyDescent="0.2">
      <c r="C420" s="49"/>
      <c r="G420" s="2"/>
      <c r="H420" s="2"/>
      <c r="L420" s="55"/>
      <c r="M420" s="55"/>
    </row>
    <row r="421" spans="3:13" x14ac:dyDescent="0.2">
      <c r="C421" s="49"/>
      <c r="G421" s="2"/>
      <c r="H421" s="2"/>
      <c r="L421" s="55"/>
      <c r="M421" s="55"/>
    </row>
    <row r="422" spans="3:13" x14ac:dyDescent="0.2">
      <c r="C422" s="49"/>
      <c r="G422" s="2"/>
      <c r="H422" s="2"/>
      <c r="L422" s="55"/>
      <c r="M422" s="55"/>
    </row>
    <row r="423" spans="3:13" x14ac:dyDescent="0.2">
      <c r="C423" s="49"/>
      <c r="G423" s="2"/>
      <c r="H423" s="2"/>
      <c r="L423" s="55"/>
      <c r="M423" s="55"/>
    </row>
    <row r="424" spans="3:13" x14ac:dyDescent="0.2">
      <c r="C424" s="49"/>
      <c r="G424" s="2"/>
      <c r="H424" s="2"/>
      <c r="L424" s="55"/>
      <c r="M424" s="55"/>
    </row>
    <row r="425" spans="3:13" x14ac:dyDescent="0.2">
      <c r="C425" s="49"/>
      <c r="G425" s="2"/>
      <c r="H425" s="2"/>
      <c r="L425" s="55"/>
      <c r="M425" s="55"/>
    </row>
    <row r="426" spans="3:13" x14ac:dyDescent="0.2">
      <c r="C426" s="49"/>
      <c r="G426" s="2"/>
      <c r="H426" s="2"/>
      <c r="L426" s="55"/>
      <c r="M426" s="55"/>
    </row>
    <row r="427" spans="3:13" x14ac:dyDescent="0.2">
      <c r="C427" s="49"/>
      <c r="G427" s="2"/>
      <c r="H427" s="2"/>
      <c r="L427" s="55"/>
      <c r="M427" s="55"/>
    </row>
    <row r="428" spans="3:13" x14ac:dyDescent="0.2">
      <c r="C428" s="49"/>
      <c r="G428" s="2"/>
      <c r="H428" s="2"/>
      <c r="L428" s="55"/>
      <c r="M428" s="55"/>
    </row>
    <row r="429" spans="3:13" x14ac:dyDescent="0.2">
      <c r="C429" s="49"/>
      <c r="G429" s="2"/>
      <c r="H429" s="2"/>
      <c r="L429" s="55"/>
      <c r="M429" s="55"/>
    </row>
    <row r="430" spans="3:13" x14ac:dyDescent="0.2">
      <c r="C430" s="49"/>
      <c r="G430" s="2"/>
      <c r="H430" s="2"/>
      <c r="L430" s="55"/>
      <c r="M430" s="55"/>
    </row>
    <row r="431" spans="3:13" x14ac:dyDescent="0.2">
      <c r="C431" s="49"/>
      <c r="G431" s="2"/>
      <c r="H431" s="2"/>
      <c r="L431" s="55"/>
      <c r="M431" s="55"/>
    </row>
    <row r="432" spans="3:13" x14ac:dyDescent="0.2">
      <c r="C432" s="49"/>
      <c r="G432" s="2"/>
      <c r="H432" s="2"/>
      <c r="L432" s="55"/>
      <c r="M432" s="55"/>
    </row>
    <row r="433" spans="3:13" x14ac:dyDescent="0.2">
      <c r="C433" s="49"/>
      <c r="G433" s="2"/>
      <c r="H433" s="2"/>
      <c r="L433" s="55"/>
      <c r="M433" s="55"/>
    </row>
    <row r="434" spans="3:13" x14ac:dyDescent="0.2">
      <c r="C434" s="49"/>
      <c r="G434" s="2"/>
      <c r="H434" s="2"/>
      <c r="L434" s="55"/>
      <c r="M434" s="55"/>
    </row>
    <row r="435" spans="3:13" x14ac:dyDescent="0.2">
      <c r="C435" s="49"/>
      <c r="G435" s="2"/>
      <c r="H435" s="2"/>
      <c r="L435" s="55"/>
      <c r="M435" s="55"/>
    </row>
    <row r="436" spans="3:13" x14ac:dyDescent="0.2">
      <c r="C436" s="49"/>
      <c r="G436" s="2"/>
      <c r="H436" s="2"/>
      <c r="L436" s="55"/>
      <c r="M436" s="55"/>
    </row>
    <row r="437" spans="3:13" x14ac:dyDescent="0.2">
      <c r="C437" s="49"/>
      <c r="G437" s="2"/>
      <c r="H437" s="2"/>
      <c r="L437" s="55"/>
      <c r="M437" s="55"/>
    </row>
    <row r="438" spans="3:13" x14ac:dyDescent="0.2">
      <c r="C438" s="49"/>
      <c r="G438" s="2"/>
      <c r="H438" s="2"/>
      <c r="L438" s="55"/>
      <c r="M438" s="55"/>
    </row>
    <row r="439" spans="3:13" x14ac:dyDescent="0.2">
      <c r="C439" s="49"/>
      <c r="G439" s="2"/>
      <c r="H439" s="2"/>
      <c r="L439" s="55"/>
      <c r="M439" s="55"/>
    </row>
    <row r="440" spans="3:13" x14ac:dyDescent="0.2">
      <c r="C440" s="49"/>
      <c r="G440" s="2"/>
      <c r="H440" s="2"/>
      <c r="L440" s="55"/>
      <c r="M440" s="55"/>
    </row>
    <row r="441" spans="3:13" x14ac:dyDescent="0.2">
      <c r="C441" s="49"/>
      <c r="G441" s="2"/>
      <c r="H441" s="2"/>
      <c r="L441" s="55"/>
      <c r="M441" s="55"/>
    </row>
    <row r="442" spans="3:13" x14ac:dyDescent="0.2">
      <c r="C442" s="49"/>
      <c r="G442" s="2"/>
      <c r="H442" s="2"/>
      <c r="L442" s="55"/>
      <c r="M442" s="55"/>
    </row>
    <row r="443" spans="3:13" x14ac:dyDescent="0.2">
      <c r="C443" s="49"/>
      <c r="G443" s="2"/>
      <c r="H443" s="2"/>
      <c r="L443" s="55"/>
      <c r="M443" s="55"/>
    </row>
    <row r="444" spans="3:13" x14ac:dyDescent="0.2">
      <c r="C444" s="49"/>
      <c r="G444" s="2"/>
      <c r="H444" s="2"/>
      <c r="L444" s="55"/>
      <c r="M444" s="55"/>
    </row>
    <row r="445" spans="3:13" x14ac:dyDescent="0.2">
      <c r="C445" s="49"/>
      <c r="G445" s="2"/>
      <c r="H445" s="2"/>
      <c r="L445" s="55"/>
      <c r="M445" s="55"/>
    </row>
    <row r="446" spans="3:13" x14ac:dyDescent="0.2">
      <c r="C446" s="49"/>
      <c r="G446" s="2"/>
      <c r="H446" s="2"/>
      <c r="L446" s="55"/>
      <c r="M446" s="55"/>
    </row>
    <row r="447" spans="3:13" x14ac:dyDescent="0.2">
      <c r="C447" s="49"/>
      <c r="G447" s="2"/>
      <c r="H447" s="2"/>
      <c r="L447" s="55"/>
      <c r="M447" s="55"/>
    </row>
    <row r="448" spans="3:13" x14ac:dyDescent="0.2">
      <c r="C448" s="49"/>
      <c r="G448" s="2"/>
      <c r="H448" s="2"/>
      <c r="L448" s="55"/>
      <c r="M448" s="55"/>
    </row>
    <row r="449" spans="3:13" x14ac:dyDescent="0.2">
      <c r="C449" s="49"/>
      <c r="G449" s="2"/>
      <c r="H449" s="2"/>
      <c r="L449" s="55"/>
      <c r="M449" s="55"/>
    </row>
    <row r="450" spans="3:13" x14ac:dyDescent="0.2">
      <c r="C450" s="49"/>
      <c r="G450" s="2"/>
      <c r="H450" s="2"/>
      <c r="L450" s="55"/>
      <c r="M450" s="55"/>
    </row>
    <row r="451" spans="3:13" x14ac:dyDescent="0.2">
      <c r="C451" s="49"/>
      <c r="G451" s="2"/>
      <c r="H451" s="2"/>
      <c r="L451" s="55"/>
      <c r="M451" s="55"/>
    </row>
    <row r="452" spans="3:13" x14ac:dyDescent="0.2">
      <c r="C452" s="49"/>
      <c r="G452" s="2"/>
      <c r="H452" s="2"/>
      <c r="L452" s="55"/>
      <c r="M452" s="55"/>
    </row>
    <row r="453" spans="3:13" x14ac:dyDescent="0.2">
      <c r="C453" s="49"/>
      <c r="G453" s="2"/>
      <c r="H453" s="2"/>
      <c r="L453" s="55"/>
      <c r="M453" s="55"/>
    </row>
    <row r="454" spans="3:13" x14ac:dyDescent="0.2">
      <c r="C454" s="49"/>
      <c r="G454" s="2"/>
      <c r="H454" s="2"/>
      <c r="L454" s="55"/>
      <c r="M454" s="55"/>
    </row>
    <row r="455" spans="3:13" x14ac:dyDescent="0.2">
      <c r="C455" s="49"/>
      <c r="G455" s="2"/>
      <c r="H455" s="2"/>
      <c r="L455" s="55"/>
      <c r="M455" s="55"/>
    </row>
    <row r="456" spans="3:13" x14ac:dyDescent="0.2">
      <c r="C456" s="49"/>
      <c r="G456" s="2"/>
      <c r="H456" s="2"/>
      <c r="L456" s="55"/>
      <c r="M456" s="55"/>
    </row>
    <row r="457" spans="3:13" x14ac:dyDescent="0.2">
      <c r="C457" s="49"/>
      <c r="G457" s="2"/>
      <c r="H457" s="2"/>
      <c r="L457" s="55"/>
      <c r="M457" s="55"/>
    </row>
    <row r="458" spans="3:13" x14ac:dyDescent="0.2">
      <c r="C458" s="49"/>
      <c r="G458" s="2"/>
      <c r="H458" s="2"/>
      <c r="L458" s="55"/>
      <c r="M458" s="55"/>
    </row>
    <row r="459" spans="3:13" x14ac:dyDescent="0.2">
      <c r="C459" s="49"/>
      <c r="G459" s="2"/>
      <c r="H459" s="2"/>
      <c r="L459" s="55"/>
      <c r="M459" s="55"/>
    </row>
    <row r="460" spans="3:13" x14ac:dyDescent="0.2">
      <c r="C460" s="49"/>
      <c r="G460" s="2"/>
      <c r="H460" s="2"/>
      <c r="L460" s="55"/>
      <c r="M460" s="55"/>
    </row>
    <row r="461" spans="3:13" x14ac:dyDescent="0.2">
      <c r="C461" s="49"/>
      <c r="G461" s="2"/>
      <c r="H461" s="2"/>
      <c r="L461" s="55"/>
      <c r="M461" s="55"/>
    </row>
    <row r="462" spans="3:13" x14ac:dyDescent="0.2">
      <c r="C462" s="49"/>
      <c r="G462" s="2"/>
      <c r="H462" s="2"/>
      <c r="L462" s="55"/>
      <c r="M462" s="55"/>
    </row>
    <row r="463" spans="3:13" x14ac:dyDescent="0.2">
      <c r="C463" s="49"/>
      <c r="G463" s="2"/>
      <c r="H463" s="2"/>
      <c r="L463" s="55"/>
      <c r="M463" s="55"/>
    </row>
    <row r="464" spans="3:13" x14ac:dyDescent="0.2">
      <c r="C464" s="49"/>
      <c r="G464" s="2"/>
      <c r="H464" s="2"/>
      <c r="L464" s="55"/>
      <c r="M464" s="55"/>
    </row>
    <row r="465" spans="3:13" x14ac:dyDescent="0.2">
      <c r="C465" s="49"/>
      <c r="G465" s="2"/>
      <c r="H465" s="2"/>
      <c r="L465" s="55"/>
      <c r="M465" s="55"/>
    </row>
    <row r="466" spans="3:13" x14ac:dyDescent="0.2">
      <c r="C466" s="49"/>
      <c r="G466" s="2"/>
      <c r="H466" s="2"/>
      <c r="L466" s="55"/>
      <c r="M466" s="55"/>
    </row>
    <row r="467" spans="3:13" x14ac:dyDescent="0.2">
      <c r="C467" s="49"/>
      <c r="G467" s="2"/>
      <c r="H467" s="2"/>
      <c r="L467" s="55"/>
      <c r="M467" s="55"/>
    </row>
    <row r="468" spans="3:13" x14ac:dyDescent="0.2">
      <c r="C468" s="49"/>
      <c r="G468" s="2"/>
      <c r="H468" s="2"/>
      <c r="L468" s="55"/>
      <c r="M468" s="55"/>
    </row>
    <row r="469" spans="3:13" x14ac:dyDescent="0.2">
      <c r="C469" s="49"/>
      <c r="G469" s="2"/>
      <c r="H469" s="2"/>
      <c r="L469" s="55"/>
      <c r="M469" s="55"/>
    </row>
    <row r="470" spans="3:13" x14ac:dyDescent="0.2">
      <c r="C470" s="49"/>
      <c r="G470" s="2"/>
      <c r="H470" s="2"/>
      <c r="L470" s="55"/>
      <c r="M470" s="55"/>
    </row>
    <row r="471" spans="3:13" x14ac:dyDescent="0.2">
      <c r="C471" s="49"/>
      <c r="G471" s="2"/>
      <c r="H471" s="2"/>
      <c r="L471" s="55"/>
      <c r="M471" s="55"/>
    </row>
    <row r="472" spans="3:13" x14ac:dyDescent="0.2">
      <c r="C472" s="49"/>
      <c r="G472" s="2"/>
      <c r="H472" s="2"/>
      <c r="L472" s="55"/>
      <c r="M472" s="55"/>
    </row>
    <row r="473" spans="3:13" x14ac:dyDescent="0.2">
      <c r="C473" s="49"/>
      <c r="G473" s="2"/>
      <c r="H473" s="2"/>
      <c r="L473" s="55"/>
      <c r="M473" s="55"/>
    </row>
    <row r="474" spans="3:13" x14ac:dyDescent="0.2">
      <c r="C474" s="49"/>
      <c r="G474" s="2"/>
      <c r="H474" s="2"/>
      <c r="L474" s="55"/>
      <c r="M474" s="55"/>
    </row>
    <row r="475" spans="3:13" x14ac:dyDescent="0.2">
      <c r="C475" s="49"/>
      <c r="G475" s="2"/>
      <c r="H475" s="2"/>
      <c r="L475" s="55"/>
      <c r="M475" s="55"/>
    </row>
    <row r="476" spans="3:13" x14ac:dyDescent="0.2">
      <c r="C476" s="49"/>
      <c r="G476" s="2"/>
      <c r="H476" s="2"/>
      <c r="L476" s="55"/>
      <c r="M476" s="55"/>
    </row>
    <row r="477" spans="3:13" x14ac:dyDescent="0.2">
      <c r="C477" s="49"/>
      <c r="G477" s="2"/>
      <c r="H477" s="2"/>
      <c r="L477" s="55"/>
      <c r="M477" s="55"/>
    </row>
    <row r="478" spans="3:13" x14ac:dyDescent="0.2">
      <c r="C478" s="49"/>
      <c r="G478" s="2"/>
      <c r="H478" s="2"/>
      <c r="L478" s="55"/>
      <c r="M478" s="55"/>
    </row>
    <row r="479" spans="3:13" x14ac:dyDescent="0.2">
      <c r="C479" s="49"/>
      <c r="G479" s="2"/>
      <c r="H479" s="2"/>
      <c r="L479" s="55"/>
      <c r="M479" s="55"/>
    </row>
    <row r="480" spans="3:13" x14ac:dyDescent="0.2">
      <c r="C480" s="49"/>
      <c r="G480" s="2"/>
      <c r="H480" s="2"/>
      <c r="L480" s="55"/>
      <c r="M480" s="55"/>
    </row>
    <row r="481" spans="3:13" x14ac:dyDescent="0.2">
      <c r="C481" s="49"/>
      <c r="G481" s="2"/>
      <c r="H481" s="2"/>
      <c r="L481" s="55"/>
      <c r="M481" s="55"/>
    </row>
    <row r="482" spans="3:13" x14ac:dyDescent="0.2">
      <c r="C482" s="49"/>
      <c r="G482" s="2"/>
      <c r="H482" s="2"/>
      <c r="L482" s="55"/>
      <c r="M482" s="55"/>
    </row>
    <row r="483" spans="3:13" x14ac:dyDescent="0.2">
      <c r="C483" s="49"/>
      <c r="G483" s="2"/>
      <c r="H483" s="2"/>
      <c r="L483" s="55"/>
      <c r="M483" s="55"/>
    </row>
    <row r="484" spans="3:13" x14ac:dyDescent="0.2">
      <c r="C484" s="49"/>
      <c r="G484" s="2"/>
      <c r="H484" s="2"/>
      <c r="L484" s="55"/>
      <c r="M484" s="55"/>
    </row>
    <row r="485" spans="3:13" x14ac:dyDescent="0.2">
      <c r="C485" s="49"/>
      <c r="G485" s="2"/>
      <c r="H485" s="2"/>
      <c r="L485" s="55"/>
      <c r="M485" s="55"/>
    </row>
    <row r="486" spans="3:13" x14ac:dyDescent="0.2">
      <c r="C486" s="49"/>
      <c r="G486" s="2"/>
      <c r="H486" s="2"/>
      <c r="L486" s="55"/>
      <c r="M486" s="55"/>
    </row>
    <row r="487" spans="3:13" x14ac:dyDescent="0.2">
      <c r="C487" s="49"/>
      <c r="G487" s="2"/>
      <c r="H487" s="2"/>
      <c r="L487" s="55"/>
      <c r="M487" s="55"/>
    </row>
    <row r="488" spans="3:13" x14ac:dyDescent="0.2">
      <c r="C488" s="49"/>
      <c r="G488" s="2"/>
      <c r="H488" s="2"/>
      <c r="L488" s="55"/>
      <c r="M488" s="55"/>
    </row>
    <row r="489" spans="3:13" x14ac:dyDescent="0.2">
      <c r="C489" s="49"/>
      <c r="G489" s="2"/>
      <c r="H489" s="2"/>
      <c r="L489" s="55"/>
      <c r="M489" s="55"/>
    </row>
    <row r="490" spans="3:13" x14ac:dyDescent="0.2">
      <c r="C490" s="49"/>
      <c r="G490" s="2"/>
      <c r="H490" s="2"/>
      <c r="L490" s="55"/>
      <c r="M490" s="55"/>
    </row>
    <row r="491" spans="3:13" x14ac:dyDescent="0.2">
      <c r="C491" s="49"/>
      <c r="G491" s="2"/>
      <c r="H491" s="2"/>
      <c r="L491" s="55"/>
      <c r="M491" s="55"/>
    </row>
    <row r="492" spans="3:13" x14ac:dyDescent="0.2">
      <c r="C492" s="49"/>
      <c r="G492" s="2"/>
      <c r="H492" s="2"/>
      <c r="L492" s="55"/>
      <c r="M492" s="55"/>
    </row>
    <row r="493" spans="3:13" x14ac:dyDescent="0.2">
      <c r="C493" s="49"/>
      <c r="G493" s="2"/>
      <c r="H493" s="2"/>
      <c r="L493" s="55"/>
      <c r="M493" s="55"/>
    </row>
    <row r="494" spans="3:13" x14ac:dyDescent="0.2">
      <c r="C494" s="49"/>
      <c r="G494" s="2"/>
      <c r="H494" s="2"/>
      <c r="L494" s="55"/>
      <c r="M494" s="55"/>
    </row>
    <row r="495" spans="3:13" x14ac:dyDescent="0.2">
      <c r="C495" s="49"/>
      <c r="G495" s="2"/>
      <c r="H495" s="2"/>
      <c r="L495" s="55"/>
      <c r="M495" s="55"/>
    </row>
    <row r="496" spans="3:13" x14ac:dyDescent="0.2">
      <c r="C496" s="49"/>
      <c r="G496" s="2"/>
      <c r="H496" s="2"/>
      <c r="L496" s="55"/>
      <c r="M496" s="55"/>
    </row>
    <row r="497" spans="3:13" x14ac:dyDescent="0.2">
      <c r="C497" s="49"/>
      <c r="G497" s="2"/>
      <c r="H497" s="2"/>
      <c r="L497" s="55"/>
      <c r="M497" s="55"/>
    </row>
    <row r="498" spans="3:13" x14ac:dyDescent="0.2">
      <c r="C498" s="49"/>
      <c r="G498" s="2"/>
      <c r="H498" s="2"/>
      <c r="L498" s="55"/>
      <c r="M498" s="55"/>
    </row>
    <row r="499" spans="3:13" x14ac:dyDescent="0.2">
      <c r="C499" s="49"/>
      <c r="G499" s="2"/>
      <c r="H499" s="2"/>
      <c r="L499" s="55"/>
      <c r="M499" s="55"/>
    </row>
    <row r="500" spans="3:13" x14ac:dyDescent="0.2">
      <c r="C500" s="49"/>
      <c r="G500" s="2"/>
      <c r="H500" s="2"/>
      <c r="L500" s="55"/>
      <c r="M500" s="55"/>
    </row>
    <row r="501" spans="3:13" x14ac:dyDescent="0.2">
      <c r="C501" s="49"/>
      <c r="G501" s="2"/>
      <c r="H501" s="2"/>
      <c r="L501" s="55"/>
      <c r="M501" s="55"/>
    </row>
    <row r="502" spans="3:13" x14ac:dyDescent="0.2">
      <c r="C502" s="49"/>
      <c r="G502" s="2"/>
      <c r="H502" s="2"/>
      <c r="L502" s="55"/>
      <c r="M502" s="55"/>
    </row>
    <row r="503" spans="3:13" x14ac:dyDescent="0.2">
      <c r="C503" s="49"/>
      <c r="G503" s="2"/>
      <c r="H503" s="2"/>
      <c r="L503" s="55"/>
      <c r="M503" s="55"/>
    </row>
    <row r="504" spans="3:13" x14ac:dyDescent="0.2">
      <c r="C504" s="49"/>
      <c r="G504" s="2"/>
      <c r="H504" s="2"/>
      <c r="L504" s="55"/>
      <c r="M504" s="55"/>
    </row>
    <row r="505" spans="3:13" x14ac:dyDescent="0.2">
      <c r="C505" s="49"/>
      <c r="G505" s="2"/>
      <c r="H505" s="2"/>
      <c r="L505" s="55"/>
      <c r="M505" s="55"/>
    </row>
    <row r="506" spans="3:13" x14ac:dyDescent="0.2">
      <c r="C506" s="49"/>
      <c r="G506" s="2"/>
      <c r="H506" s="2"/>
      <c r="L506" s="55"/>
      <c r="M506" s="55"/>
    </row>
    <row r="507" spans="3:13" x14ac:dyDescent="0.2">
      <c r="C507" s="49"/>
      <c r="G507" s="2"/>
      <c r="H507" s="2"/>
      <c r="L507" s="55"/>
      <c r="M507" s="55"/>
    </row>
    <row r="508" spans="3:13" x14ac:dyDescent="0.2">
      <c r="C508" s="49"/>
      <c r="G508" s="2"/>
      <c r="H508" s="2"/>
      <c r="L508" s="55"/>
      <c r="M508" s="55"/>
    </row>
    <row r="509" spans="3:13" x14ac:dyDescent="0.2">
      <c r="C509" s="49"/>
      <c r="G509" s="2"/>
      <c r="H509" s="2"/>
      <c r="L509" s="55"/>
      <c r="M509" s="55"/>
    </row>
    <row r="510" spans="3:13" x14ac:dyDescent="0.2">
      <c r="C510" s="49"/>
      <c r="G510" s="2"/>
      <c r="H510" s="2"/>
      <c r="L510" s="55"/>
      <c r="M510" s="55"/>
    </row>
    <row r="511" spans="3:13" x14ac:dyDescent="0.2">
      <c r="C511" s="49"/>
      <c r="G511" s="2"/>
      <c r="H511" s="2"/>
      <c r="L511" s="55"/>
      <c r="M511" s="55"/>
    </row>
    <row r="512" spans="3:13" x14ac:dyDescent="0.2">
      <c r="C512" s="49"/>
      <c r="G512" s="2"/>
      <c r="H512" s="2"/>
      <c r="L512" s="55"/>
      <c r="M512" s="55"/>
    </row>
    <row r="513" spans="3:13" x14ac:dyDescent="0.2">
      <c r="C513" s="49"/>
      <c r="G513" s="2"/>
      <c r="H513" s="2"/>
      <c r="L513" s="55"/>
      <c r="M513" s="55"/>
    </row>
    <row r="514" spans="3:13" x14ac:dyDescent="0.2">
      <c r="C514" s="49"/>
      <c r="G514" s="2"/>
      <c r="H514" s="2"/>
      <c r="L514" s="55"/>
      <c r="M514" s="55"/>
    </row>
    <row r="515" spans="3:13" x14ac:dyDescent="0.2">
      <c r="C515" s="49"/>
      <c r="G515" s="2"/>
      <c r="H515" s="2"/>
      <c r="L515" s="55"/>
      <c r="M515" s="55"/>
    </row>
    <row r="516" spans="3:13" x14ac:dyDescent="0.2">
      <c r="C516" s="49"/>
      <c r="G516" s="2"/>
      <c r="H516" s="2"/>
      <c r="L516" s="55"/>
      <c r="M516" s="55"/>
    </row>
    <row r="517" spans="3:13" x14ac:dyDescent="0.2">
      <c r="C517" s="49"/>
      <c r="G517" s="2"/>
      <c r="H517" s="2"/>
      <c r="L517" s="55"/>
      <c r="M517" s="55"/>
    </row>
    <row r="518" spans="3:13" x14ac:dyDescent="0.2">
      <c r="C518" s="49"/>
      <c r="G518" s="2"/>
      <c r="H518" s="2"/>
      <c r="L518" s="55"/>
      <c r="M518" s="55"/>
    </row>
    <row r="519" spans="3:13" x14ac:dyDescent="0.2">
      <c r="C519" s="49"/>
      <c r="G519" s="2"/>
      <c r="H519" s="2"/>
      <c r="L519" s="55"/>
      <c r="M519" s="55"/>
    </row>
    <row r="520" spans="3:13" x14ac:dyDescent="0.2">
      <c r="C520" s="49"/>
      <c r="G520" s="2"/>
      <c r="H520" s="2"/>
      <c r="L520" s="55"/>
      <c r="M520" s="55"/>
    </row>
    <row r="521" spans="3:13" x14ac:dyDescent="0.2">
      <c r="C521" s="49"/>
      <c r="G521" s="2"/>
      <c r="H521" s="2"/>
      <c r="L521" s="55"/>
      <c r="M521" s="55"/>
    </row>
    <row r="522" spans="3:13" x14ac:dyDescent="0.2">
      <c r="C522" s="49"/>
      <c r="G522" s="2"/>
      <c r="H522" s="2"/>
      <c r="L522" s="55"/>
      <c r="M522" s="55"/>
    </row>
    <row r="523" spans="3:13" x14ac:dyDescent="0.2">
      <c r="C523" s="49"/>
      <c r="G523" s="2"/>
      <c r="H523" s="2"/>
      <c r="L523" s="55"/>
      <c r="M523" s="55"/>
    </row>
    <row r="524" spans="3:13" x14ac:dyDescent="0.2">
      <c r="C524" s="49"/>
      <c r="G524" s="2"/>
      <c r="H524" s="2"/>
      <c r="L524" s="55"/>
      <c r="M524" s="55"/>
    </row>
    <row r="525" spans="3:13" x14ac:dyDescent="0.2">
      <c r="C525" s="49"/>
      <c r="G525" s="2"/>
      <c r="H525" s="2"/>
      <c r="L525" s="55"/>
      <c r="M525" s="55"/>
    </row>
    <row r="526" spans="3:13" x14ac:dyDescent="0.2">
      <c r="C526" s="49"/>
      <c r="G526" s="2"/>
      <c r="H526" s="2"/>
      <c r="L526" s="55"/>
      <c r="M526" s="55"/>
    </row>
    <row r="527" spans="3:13" x14ac:dyDescent="0.2">
      <c r="C527" s="49"/>
      <c r="G527" s="2"/>
      <c r="H527" s="2"/>
      <c r="L527" s="55"/>
      <c r="M527" s="55"/>
    </row>
    <row r="528" spans="3:13" x14ac:dyDescent="0.2">
      <c r="C528" s="49"/>
      <c r="G528" s="2"/>
      <c r="H528" s="2"/>
      <c r="L528" s="55"/>
      <c r="M528" s="55"/>
    </row>
    <row r="529" spans="3:13" x14ac:dyDescent="0.2">
      <c r="C529" s="49"/>
      <c r="G529" s="2"/>
      <c r="H529" s="2"/>
      <c r="L529" s="55"/>
      <c r="M529" s="55"/>
    </row>
    <row r="530" spans="3:13" x14ac:dyDescent="0.2">
      <c r="C530" s="49"/>
      <c r="G530" s="2"/>
      <c r="H530" s="2"/>
      <c r="L530" s="55"/>
      <c r="M530" s="55"/>
    </row>
    <row r="531" spans="3:13" x14ac:dyDescent="0.2">
      <c r="C531" s="49"/>
      <c r="G531" s="2"/>
      <c r="H531" s="2"/>
      <c r="L531" s="55"/>
      <c r="M531" s="55"/>
    </row>
    <row r="532" spans="3:13" x14ac:dyDescent="0.2">
      <c r="C532" s="49"/>
      <c r="G532" s="2"/>
      <c r="H532" s="2"/>
      <c r="L532" s="55"/>
      <c r="M532" s="55"/>
    </row>
    <row r="533" spans="3:13" x14ac:dyDescent="0.2">
      <c r="C533" s="49"/>
      <c r="G533" s="2"/>
      <c r="H533" s="2"/>
      <c r="L533" s="55"/>
      <c r="M533" s="55"/>
    </row>
    <row r="534" spans="3:13" x14ac:dyDescent="0.2">
      <c r="C534" s="49"/>
      <c r="G534" s="2"/>
      <c r="H534" s="2"/>
      <c r="L534" s="55"/>
      <c r="M534" s="55"/>
    </row>
    <row r="535" spans="3:13" x14ac:dyDescent="0.2">
      <c r="C535" s="49"/>
      <c r="G535" s="2"/>
      <c r="H535" s="2"/>
      <c r="L535" s="55"/>
      <c r="M535" s="55"/>
    </row>
    <row r="536" spans="3:13" x14ac:dyDescent="0.2">
      <c r="C536" s="49"/>
      <c r="G536" s="2"/>
      <c r="H536" s="2"/>
      <c r="L536" s="55"/>
      <c r="M536" s="55"/>
    </row>
    <row r="537" spans="3:13" x14ac:dyDescent="0.2">
      <c r="C537" s="49"/>
      <c r="G537" s="2"/>
      <c r="H537" s="2"/>
      <c r="L537" s="55"/>
      <c r="M537" s="55"/>
    </row>
    <row r="538" spans="3:13" x14ac:dyDescent="0.2">
      <c r="C538" s="49"/>
      <c r="G538" s="2"/>
      <c r="H538" s="2"/>
      <c r="L538" s="55"/>
      <c r="M538" s="55"/>
    </row>
    <row r="539" spans="3:13" x14ac:dyDescent="0.2">
      <c r="C539" s="49"/>
      <c r="G539" s="2"/>
      <c r="H539" s="2"/>
      <c r="L539" s="55"/>
      <c r="M539" s="55"/>
    </row>
    <row r="540" spans="3:13" x14ac:dyDescent="0.2">
      <c r="C540" s="49"/>
      <c r="G540" s="2"/>
      <c r="H540" s="2"/>
      <c r="L540" s="55"/>
      <c r="M540" s="55"/>
    </row>
    <row r="541" spans="3:13" x14ac:dyDescent="0.2">
      <c r="C541" s="49"/>
      <c r="G541" s="2"/>
      <c r="H541" s="2"/>
      <c r="L541" s="55"/>
      <c r="M541" s="55"/>
    </row>
    <row r="542" spans="3:13" x14ac:dyDescent="0.2">
      <c r="C542" s="49"/>
      <c r="G542" s="2"/>
      <c r="H542" s="2"/>
      <c r="L542" s="55"/>
      <c r="M542" s="55"/>
    </row>
    <row r="543" spans="3:13" x14ac:dyDescent="0.2">
      <c r="C543" s="49"/>
      <c r="G543" s="2"/>
      <c r="H543" s="2"/>
      <c r="L543" s="55"/>
      <c r="M543" s="55"/>
    </row>
    <row r="544" spans="3:13" x14ac:dyDescent="0.2">
      <c r="C544" s="49"/>
      <c r="G544" s="2"/>
      <c r="H544" s="2"/>
      <c r="L544" s="55"/>
      <c r="M544" s="55"/>
    </row>
    <row r="545" spans="3:13" x14ac:dyDescent="0.2">
      <c r="C545" s="49"/>
      <c r="G545" s="2"/>
      <c r="H545" s="2"/>
      <c r="L545" s="55"/>
      <c r="M545" s="55"/>
    </row>
    <row r="546" spans="3:13" x14ac:dyDescent="0.2">
      <c r="C546" s="49"/>
      <c r="G546" s="2"/>
      <c r="H546" s="2"/>
      <c r="L546" s="55"/>
      <c r="M546" s="55"/>
    </row>
    <row r="547" spans="3:13" x14ac:dyDescent="0.2">
      <c r="C547" s="49"/>
      <c r="G547" s="2"/>
      <c r="H547" s="2"/>
      <c r="L547" s="55"/>
      <c r="M547" s="55"/>
    </row>
    <row r="548" spans="3:13" x14ac:dyDescent="0.2">
      <c r="C548" s="49"/>
      <c r="G548" s="2"/>
      <c r="H548" s="2"/>
      <c r="L548" s="55"/>
      <c r="M548" s="55"/>
    </row>
    <row r="549" spans="3:13" x14ac:dyDescent="0.2">
      <c r="C549" s="49"/>
      <c r="G549" s="2"/>
      <c r="H549" s="2"/>
      <c r="L549" s="55"/>
      <c r="M549" s="55"/>
    </row>
    <row r="550" spans="3:13" x14ac:dyDescent="0.2">
      <c r="C550" s="49"/>
      <c r="G550" s="2"/>
      <c r="H550" s="2"/>
      <c r="L550" s="55"/>
      <c r="M550" s="55"/>
    </row>
    <row r="551" spans="3:13" x14ac:dyDescent="0.2">
      <c r="C551" s="49"/>
      <c r="G551" s="2"/>
      <c r="H551" s="2"/>
      <c r="L551" s="55"/>
      <c r="M551" s="55"/>
    </row>
    <row r="552" spans="3:13" x14ac:dyDescent="0.2">
      <c r="C552" s="49"/>
      <c r="G552" s="2"/>
      <c r="H552" s="2"/>
      <c r="L552" s="55"/>
      <c r="M552" s="55"/>
    </row>
    <row r="553" spans="3:13" x14ac:dyDescent="0.2">
      <c r="C553" s="49"/>
      <c r="G553" s="2"/>
      <c r="H553" s="2"/>
      <c r="L553" s="55"/>
      <c r="M553" s="55"/>
    </row>
    <row r="554" spans="3:13" x14ac:dyDescent="0.2">
      <c r="C554" s="49"/>
      <c r="G554" s="2"/>
      <c r="H554" s="2"/>
      <c r="L554" s="55"/>
      <c r="M554" s="55"/>
    </row>
    <row r="555" spans="3:13" x14ac:dyDescent="0.2">
      <c r="C555" s="49"/>
      <c r="G555" s="2"/>
      <c r="H555" s="2"/>
      <c r="L555" s="55"/>
      <c r="M555" s="55"/>
    </row>
    <row r="556" spans="3:13" x14ac:dyDescent="0.2">
      <c r="C556" s="49"/>
      <c r="G556" s="2"/>
      <c r="H556" s="2"/>
      <c r="L556" s="55"/>
      <c r="M556" s="55"/>
    </row>
    <row r="557" spans="3:13" x14ac:dyDescent="0.2">
      <c r="C557" s="49"/>
      <c r="G557" s="2"/>
      <c r="H557" s="2"/>
      <c r="L557" s="55"/>
      <c r="M557" s="55"/>
    </row>
    <row r="558" spans="3:13" x14ac:dyDescent="0.2">
      <c r="C558" s="49"/>
      <c r="G558" s="2"/>
      <c r="H558" s="2"/>
      <c r="L558" s="55"/>
      <c r="M558" s="55"/>
    </row>
    <row r="559" spans="3:13" x14ac:dyDescent="0.2">
      <c r="C559" s="49"/>
      <c r="G559" s="2"/>
      <c r="H559" s="2"/>
      <c r="L559" s="55"/>
      <c r="M559" s="55"/>
    </row>
    <row r="560" spans="3:13" x14ac:dyDescent="0.2">
      <c r="C560" s="49"/>
      <c r="G560" s="2"/>
      <c r="H560" s="2"/>
      <c r="L560" s="55"/>
      <c r="M560" s="55"/>
    </row>
    <row r="561" spans="3:13" x14ac:dyDescent="0.2">
      <c r="C561" s="49"/>
      <c r="G561" s="2"/>
      <c r="H561" s="2"/>
      <c r="L561" s="55"/>
      <c r="M561" s="55"/>
    </row>
    <row r="562" spans="3:13" x14ac:dyDescent="0.2">
      <c r="C562" s="49"/>
      <c r="G562" s="2"/>
      <c r="H562" s="2"/>
      <c r="L562" s="55"/>
      <c r="M562" s="55"/>
    </row>
    <row r="563" spans="3:13" x14ac:dyDescent="0.2">
      <c r="C563" s="49"/>
      <c r="G563" s="2"/>
      <c r="H563" s="2"/>
      <c r="L563" s="55"/>
      <c r="M563" s="55"/>
    </row>
    <row r="564" spans="3:13" x14ac:dyDescent="0.2">
      <c r="C564" s="49"/>
      <c r="G564" s="2"/>
      <c r="H564" s="2"/>
      <c r="L564" s="55"/>
      <c r="M564" s="55"/>
    </row>
    <row r="565" spans="3:13" x14ac:dyDescent="0.2">
      <c r="C565" s="49"/>
      <c r="G565" s="2"/>
      <c r="H565" s="2"/>
      <c r="L565" s="55"/>
      <c r="M565" s="55"/>
    </row>
    <row r="566" spans="3:13" x14ac:dyDescent="0.2">
      <c r="C566" s="49"/>
      <c r="G566" s="2"/>
      <c r="H566" s="2"/>
      <c r="L566" s="55"/>
      <c r="M566" s="55"/>
    </row>
    <row r="567" spans="3:13" x14ac:dyDescent="0.2">
      <c r="C567" s="49"/>
      <c r="G567" s="2"/>
      <c r="H567" s="2"/>
      <c r="L567" s="55"/>
      <c r="M567" s="55"/>
    </row>
    <row r="568" spans="3:13" x14ac:dyDescent="0.2">
      <c r="C568" s="49"/>
      <c r="G568" s="2"/>
      <c r="H568" s="2"/>
      <c r="L568" s="55"/>
      <c r="M568" s="55"/>
    </row>
    <row r="569" spans="3:13" x14ac:dyDescent="0.2">
      <c r="C569" s="49"/>
      <c r="G569" s="2"/>
      <c r="H569" s="2"/>
      <c r="L569" s="55"/>
      <c r="M569" s="55"/>
    </row>
    <row r="570" spans="3:13" x14ac:dyDescent="0.2">
      <c r="C570" s="49"/>
      <c r="G570" s="2"/>
      <c r="H570" s="2"/>
      <c r="L570" s="55"/>
      <c r="M570" s="55"/>
    </row>
    <row r="571" spans="3:13" x14ac:dyDescent="0.2">
      <c r="C571" s="49"/>
      <c r="G571" s="2"/>
      <c r="H571" s="2"/>
      <c r="L571" s="55"/>
      <c r="M571" s="55"/>
    </row>
    <row r="572" spans="3:13" x14ac:dyDescent="0.2">
      <c r="C572" s="49"/>
      <c r="G572" s="2"/>
      <c r="H572" s="2"/>
      <c r="L572" s="55"/>
      <c r="M572" s="55"/>
    </row>
    <row r="573" spans="3:13" x14ac:dyDescent="0.2">
      <c r="C573" s="49"/>
      <c r="G573" s="2"/>
      <c r="H573" s="2"/>
      <c r="L573" s="55"/>
      <c r="M573" s="55"/>
    </row>
    <row r="574" spans="3:13" x14ac:dyDescent="0.2">
      <c r="C574" s="49"/>
      <c r="G574" s="2"/>
      <c r="H574" s="2"/>
      <c r="L574" s="55"/>
      <c r="M574" s="55"/>
    </row>
    <row r="575" spans="3:13" x14ac:dyDescent="0.2">
      <c r="C575" s="49"/>
      <c r="G575" s="2"/>
      <c r="H575" s="2"/>
      <c r="L575" s="55"/>
      <c r="M575" s="55"/>
    </row>
    <row r="576" spans="3:13" x14ac:dyDescent="0.2">
      <c r="C576" s="49"/>
      <c r="G576" s="2"/>
      <c r="H576" s="2"/>
      <c r="L576" s="55"/>
      <c r="M576" s="55"/>
    </row>
    <row r="577" spans="3:13" x14ac:dyDescent="0.2">
      <c r="C577" s="49"/>
      <c r="G577" s="2"/>
      <c r="H577" s="2"/>
      <c r="L577" s="55"/>
      <c r="M577" s="55"/>
    </row>
    <row r="578" spans="3:13" x14ac:dyDescent="0.2">
      <c r="C578" s="49"/>
      <c r="G578" s="2"/>
      <c r="H578" s="2"/>
      <c r="L578" s="55"/>
      <c r="M578" s="55"/>
    </row>
    <row r="579" spans="3:13" x14ac:dyDescent="0.2">
      <c r="C579" s="49"/>
      <c r="G579" s="2"/>
      <c r="H579" s="2"/>
      <c r="L579" s="55"/>
      <c r="M579" s="55"/>
    </row>
    <row r="580" spans="3:13" x14ac:dyDescent="0.2">
      <c r="C580" s="49"/>
      <c r="G580" s="2"/>
      <c r="H580" s="2"/>
      <c r="L580" s="55"/>
      <c r="M580" s="55"/>
    </row>
    <row r="581" spans="3:13" x14ac:dyDescent="0.2">
      <c r="C581" s="49"/>
      <c r="G581" s="2"/>
      <c r="H581" s="2"/>
      <c r="L581" s="55"/>
      <c r="M581" s="55"/>
    </row>
    <row r="582" spans="3:13" x14ac:dyDescent="0.2">
      <c r="C582" s="49"/>
      <c r="G582" s="2"/>
      <c r="H582" s="2"/>
      <c r="L582" s="55"/>
      <c r="M582" s="55"/>
    </row>
    <row r="583" spans="3:13" x14ac:dyDescent="0.2">
      <c r="C583" s="49"/>
      <c r="G583" s="2"/>
      <c r="H583" s="2"/>
      <c r="L583" s="55"/>
      <c r="M583" s="55"/>
    </row>
    <row r="584" spans="3:13" x14ac:dyDescent="0.2">
      <c r="C584" s="49"/>
      <c r="G584" s="2"/>
      <c r="H584" s="2"/>
      <c r="L584" s="55"/>
      <c r="M584" s="55"/>
    </row>
    <row r="585" spans="3:13" x14ac:dyDescent="0.2">
      <c r="C585" s="49"/>
      <c r="G585" s="2"/>
      <c r="H585" s="2"/>
      <c r="L585" s="55"/>
      <c r="M585" s="55"/>
    </row>
    <row r="586" spans="3:13" x14ac:dyDescent="0.2">
      <c r="C586" s="49"/>
      <c r="G586" s="2"/>
      <c r="H586" s="2"/>
      <c r="L586" s="55"/>
      <c r="M586" s="55"/>
    </row>
    <row r="587" spans="3:13" x14ac:dyDescent="0.2">
      <c r="C587" s="49"/>
      <c r="G587" s="2"/>
      <c r="H587" s="2"/>
      <c r="L587" s="55"/>
      <c r="M587" s="55"/>
    </row>
    <row r="588" spans="3:13" x14ac:dyDescent="0.2">
      <c r="C588" s="49"/>
      <c r="G588" s="2"/>
      <c r="H588" s="2"/>
      <c r="L588" s="55"/>
      <c r="M588" s="55"/>
    </row>
    <row r="589" spans="3:13" x14ac:dyDescent="0.2">
      <c r="C589" s="49"/>
      <c r="G589" s="2"/>
      <c r="H589" s="2"/>
      <c r="L589" s="55"/>
      <c r="M589" s="55"/>
    </row>
    <row r="590" spans="3:13" x14ac:dyDescent="0.2">
      <c r="C590" s="49"/>
      <c r="G590" s="2"/>
      <c r="H590" s="2"/>
      <c r="L590" s="55"/>
      <c r="M590" s="55"/>
    </row>
    <row r="591" spans="3:13" x14ac:dyDescent="0.2">
      <c r="C591" s="49"/>
      <c r="G591" s="2"/>
      <c r="H591" s="2"/>
      <c r="L591" s="55"/>
      <c r="M591" s="55"/>
    </row>
    <row r="592" spans="3:13" x14ac:dyDescent="0.2">
      <c r="C592" s="49"/>
      <c r="G592" s="2"/>
      <c r="H592" s="2"/>
      <c r="L592" s="55"/>
      <c r="M592" s="55"/>
    </row>
    <row r="593" spans="3:13" x14ac:dyDescent="0.2">
      <c r="C593" s="49"/>
      <c r="G593" s="2"/>
      <c r="H593" s="2"/>
      <c r="L593" s="55"/>
      <c r="M593" s="55"/>
    </row>
    <row r="594" spans="3:13" x14ac:dyDescent="0.2">
      <c r="C594" s="49"/>
      <c r="G594" s="2"/>
      <c r="H594" s="2"/>
      <c r="L594" s="55"/>
      <c r="M594" s="55"/>
    </row>
    <row r="595" spans="3:13" x14ac:dyDescent="0.2">
      <c r="C595" s="49"/>
      <c r="G595" s="2"/>
      <c r="H595" s="2"/>
      <c r="L595" s="55"/>
      <c r="M595" s="55"/>
    </row>
    <row r="596" spans="3:13" x14ac:dyDescent="0.2">
      <c r="C596" s="49"/>
      <c r="G596" s="2"/>
      <c r="H596" s="2"/>
      <c r="L596" s="55"/>
      <c r="M596" s="55"/>
    </row>
    <row r="597" spans="3:13" x14ac:dyDescent="0.2">
      <c r="C597" s="49"/>
      <c r="G597" s="2"/>
      <c r="H597" s="2"/>
      <c r="L597" s="55"/>
      <c r="M597" s="55"/>
    </row>
    <row r="598" spans="3:13" x14ac:dyDescent="0.2">
      <c r="C598" s="49"/>
      <c r="G598" s="2"/>
      <c r="H598" s="2"/>
      <c r="L598" s="55"/>
      <c r="M598" s="55"/>
    </row>
    <row r="599" spans="3:13" x14ac:dyDescent="0.2">
      <c r="C599" s="49"/>
      <c r="G599" s="2"/>
      <c r="H599" s="2"/>
      <c r="L599" s="55"/>
      <c r="M599" s="55"/>
    </row>
    <row r="600" spans="3:13" x14ac:dyDescent="0.2">
      <c r="C600" s="49"/>
      <c r="G600" s="2"/>
      <c r="H600" s="2"/>
      <c r="L600" s="55"/>
      <c r="M600" s="55"/>
    </row>
    <row r="601" spans="3:13" x14ac:dyDescent="0.2">
      <c r="C601" s="49"/>
      <c r="G601" s="2"/>
      <c r="H601" s="2"/>
      <c r="L601" s="55"/>
      <c r="M601" s="55"/>
    </row>
    <row r="602" spans="3:13" x14ac:dyDescent="0.2">
      <c r="C602" s="49"/>
      <c r="G602" s="2"/>
      <c r="H602" s="2"/>
      <c r="L602" s="55"/>
      <c r="M602" s="55"/>
    </row>
    <row r="603" spans="3:13" x14ac:dyDescent="0.2">
      <c r="C603" s="49"/>
      <c r="G603" s="2"/>
      <c r="H603" s="2"/>
      <c r="L603" s="55"/>
      <c r="M603" s="55"/>
    </row>
    <row r="604" spans="3:13" x14ac:dyDescent="0.2">
      <c r="C604" s="49"/>
      <c r="G604" s="2"/>
      <c r="H604" s="2"/>
      <c r="L604" s="55"/>
      <c r="M604" s="55"/>
    </row>
    <row r="605" spans="3:13" x14ac:dyDescent="0.2">
      <c r="C605" s="49"/>
      <c r="G605" s="2"/>
      <c r="H605" s="2"/>
      <c r="L605" s="55"/>
      <c r="M605" s="55"/>
    </row>
    <row r="606" spans="3:13" x14ac:dyDescent="0.2">
      <c r="C606" s="49"/>
      <c r="G606" s="2"/>
      <c r="H606" s="2"/>
      <c r="L606" s="55"/>
      <c r="M606" s="55"/>
    </row>
    <row r="607" spans="3:13" x14ac:dyDescent="0.2">
      <c r="C607" s="49"/>
      <c r="G607" s="2"/>
      <c r="H607" s="2"/>
      <c r="L607" s="55"/>
      <c r="M607" s="55"/>
    </row>
    <row r="608" spans="3:13" x14ac:dyDescent="0.2">
      <c r="C608" s="49"/>
      <c r="G608" s="2"/>
      <c r="H608" s="2"/>
      <c r="L608" s="55"/>
      <c r="M608" s="55"/>
    </row>
    <row r="609" spans="3:13" x14ac:dyDescent="0.2">
      <c r="C609" s="49"/>
      <c r="G609" s="2"/>
      <c r="H609" s="2"/>
      <c r="L609" s="55"/>
      <c r="M609" s="55"/>
    </row>
    <row r="610" spans="3:13" x14ac:dyDescent="0.2">
      <c r="C610" s="49"/>
      <c r="G610" s="2"/>
      <c r="H610" s="2"/>
      <c r="L610" s="55"/>
      <c r="M610" s="55"/>
    </row>
    <row r="611" spans="3:13" x14ac:dyDescent="0.2">
      <c r="C611" s="49"/>
      <c r="G611" s="2"/>
      <c r="H611" s="2"/>
      <c r="L611" s="55"/>
      <c r="M611" s="55"/>
    </row>
    <row r="612" spans="3:13" x14ac:dyDescent="0.2">
      <c r="C612" s="49"/>
      <c r="G612" s="2"/>
      <c r="H612" s="2"/>
      <c r="L612" s="55"/>
      <c r="M612" s="55"/>
    </row>
    <row r="613" spans="3:13" x14ac:dyDescent="0.2">
      <c r="C613" s="49"/>
      <c r="G613" s="2"/>
      <c r="H613" s="2"/>
      <c r="L613" s="55"/>
      <c r="M613" s="55"/>
    </row>
    <row r="614" spans="3:13" x14ac:dyDescent="0.2">
      <c r="C614" s="49"/>
      <c r="G614" s="2"/>
      <c r="H614" s="2"/>
      <c r="L614" s="55"/>
      <c r="M614" s="55"/>
    </row>
    <row r="615" spans="3:13" x14ac:dyDescent="0.2">
      <c r="C615" s="49"/>
      <c r="G615" s="2"/>
      <c r="H615" s="2"/>
      <c r="L615" s="55"/>
      <c r="M615" s="55"/>
    </row>
    <row r="616" spans="3:13" x14ac:dyDescent="0.2">
      <c r="C616" s="49"/>
      <c r="G616" s="2"/>
      <c r="H616" s="2"/>
      <c r="L616" s="55"/>
      <c r="M616" s="55"/>
    </row>
    <row r="617" spans="3:13" x14ac:dyDescent="0.2">
      <c r="C617" s="49"/>
      <c r="G617" s="2"/>
      <c r="H617" s="2"/>
      <c r="L617" s="55"/>
      <c r="M617" s="55"/>
    </row>
    <row r="618" spans="3:13" x14ac:dyDescent="0.2">
      <c r="C618" s="49"/>
      <c r="G618" s="2"/>
      <c r="H618" s="2"/>
      <c r="L618" s="55"/>
      <c r="M618" s="55"/>
    </row>
    <row r="619" spans="3:13" x14ac:dyDescent="0.2">
      <c r="C619" s="49"/>
      <c r="G619" s="2"/>
      <c r="H619" s="2"/>
      <c r="L619" s="55"/>
      <c r="M619" s="55"/>
    </row>
    <row r="620" spans="3:13" x14ac:dyDescent="0.2">
      <c r="C620" s="49"/>
      <c r="G620" s="2"/>
      <c r="H620" s="2"/>
      <c r="L620" s="55"/>
      <c r="M620" s="55"/>
    </row>
    <row r="621" spans="3:13" x14ac:dyDescent="0.2">
      <c r="C621" s="49"/>
      <c r="G621" s="2"/>
      <c r="H621" s="2"/>
      <c r="L621" s="55"/>
      <c r="M621" s="55"/>
    </row>
    <row r="622" spans="3:13" x14ac:dyDescent="0.2">
      <c r="C622" s="49"/>
      <c r="G622" s="2"/>
      <c r="H622" s="2"/>
      <c r="L622" s="55"/>
      <c r="M622" s="55"/>
    </row>
    <row r="623" spans="3:13" x14ac:dyDescent="0.2">
      <c r="C623" s="49"/>
      <c r="G623" s="2"/>
      <c r="H623" s="2"/>
      <c r="L623" s="55"/>
      <c r="M623" s="55"/>
    </row>
    <row r="624" spans="3:13" x14ac:dyDescent="0.2">
      <c r="C624" s="49"/>
      <c r="G624" s="2"/>
      <c r="H624" s="2"/>
      <c r="L624" s="55"/>
      <c r="M624" s="55"/>
    </row>
    <row r="625" spans="3:13" x14ac:dyDescent="0.2">
      <c r="C625" s="49"/>
      <c r="G625" s="2"/>
      <c r="H625" s="2"/>
      <c r="L625" s="55"/>
      <c r="M625" s="55"/>
    </row>
    <row r="626" spans="3:13" x14ac:dyDescent="0.2">
      <c r="C626" s="49"/>
      <c r="G626" s="2"/>
      <c r="H626" s="2"/>
      <c r="L626" s="55"/>
      <c r="M626" s="55"/>
    </row>
    <row r="627" spans="3:13" x14ac:dyDescent="0.2">
      <c r="C627" s="49"/>
      <c r="G627" s="2"/>
      <c r="H627" s="2"/>
      <c r="L627" s="55"/>
      <c r="M627" s="55"/>
    </row>
    <row r="628" spans="3:13" x14ac:dyDescent="0.2">
      <c r="C628" s="49"/>
      <c r="G628" s="2"/>
      <c r="H628" s="2"/>
      <c r="L628" s="55"/>
      <c r="M628" s="55"/>
    </row>
    <row r="629" spans="3:13" x14ac:dyDescent="0.2">
      <c r="C629" s="49"/>
      <c r="G629" s="2"/>
      <c r="H629" s="2"/>
      <c r="L629" s="55"/>
      <c r="M629" s="55"/>
    </row>
    <row r="630" spans="3:13" x14ac:dyDescent="0.2">
      <c r="C630" s="49"/>
      <c r="G630" s="2"/>
      <c r="H630" s="2"/>
      <c r="L630" s="55"/>
      <c r="M630" s="55"/>
    </row>
    <row r="631" spans="3:13" x14ac:dyDescent="0.2">
      <c r="C631" s="49"/>
      <c r="G631" s="2"/>
      <c r="H631" s="2"/>
      <c r="L631" s="55"/>
      <c r="M631" s="55"/>
    </row>
    <row r="632" spans="3:13" x14ac:dyDescent="0.2">
      <c r="C632" s="49"/>
      <c r="G632" s="2"/>
      <c r="H632" s="2"/>
      <c r="L632" s="55"/>
      <c r="M632" s="55"/>
    </row>
    <row r="633" spans="3:13" x14ac:dyDescent="0.2">
      <c r="C633" s="49"/>
      <c r="G633" s="2"/>
      <c r="H633" s="2"/>
      <c r="L633" s="55"/>
      <c r="M633" s="55"/>
    </row>
    <row r="634" spans="3:13" x14ac:dyDescent="0.2">
      <c r="C634" s="49"/>
      <c r="G634" s="2"/>
      <c r="H634" s="2"/>
      <c r="L634" s="55"/>
      <c r="M634" s="55"/>
    </row>
    <row r="635" spans="3:13" x14ac:dyDescent="0.2">
      <c r="C635" s="49"/>
      <c r="G635" s="2"/>
      <c r="H635" s="2"/>
      <c r="L635" s="55"/>
      <c r="M635" s="55"/>
    </row>
    <row r="636" spans="3:13" x14ac:dyDescent="0.2">
      <c r="C636" s="49"/>
      <c r="G636" s="2"/>
      <c r="H636" s="2"/>
      <c r="L636" s="55"/>
      <c r="M636" s="55"/>
    </row>
    <row r="637" spans="3:13" x14ac:dyDescent="0.2">
      <c r="C637" s="49"/>
      <c r="G637" s="2"/>
      <c r="H637" s="2"/>
      <c r="L637" s="55"/>
      <c r="M637" s="55"/>
    </row>
    <row r="638" spans="3:13" x14ac:dyDescent="0.2">
      <c r="C638" s="49"/>
      <c r="G638" s="2"/>
      <c r="H638" s="2"/>
      <c r="L638" s="55"/>
      <c r="M638" s="55"/>
    </row>
    <row r="639" spans="3:13" x14ac:dyDescent="0.2">
      <c r="C639" s="49"/>
      <c r="G639" s="2"/>
      <c r="H639" s="2"/>
      <c r="L639" s="55"/>
      <c r="M639" s="55"/>
    </row>
    <row r="640" spans="3:13" x14ac:dyDescent="0.2">
      <c r="C640" s="49"/>
      <c r="G640" s="2"/>
      <c r="H640" s="2"/>
      <c r="L640" s="55"/>
      <c r="M640" s="55"/>
    </row>
    <row r="641" spans="3:13" x14ac:dyDescent="0.2">
      <c r="C641" s="49"/>
      <c r="G641" s="2"/>
      <c r="H641" s="2"/>
      <c r="L641" s="55"/>
      <c r="M641" s="55"/>
    </row>
    <row r="642" spans="3:13" x14ac:dyDescent="0.2">
      <c r="C642" s="49"/>
      <c r="G642" s="2"/>
      <c r="H642" s="2"/>
      <c r="L642" s="55"/>
      <c r="M642" s="55"/>
    </row>
    <row r="643" spans="3:13" x14ac:dyDescent="0.2">
      <c r="C643" s="49"/>
      <c r="G643" s="2"/>
      <c r="H643" s="2"/>
      <c r="L643" s="55"/>
      <c r="M643" s="55"/>
    </row>
    <row r="644" spans="3:13" x14ac:dyDescent="0.2">
      <c r="C644" s="49"/>
      <c r="G644" s="2"/>
      <c r="H644" s="2"/>
      <c r="L644" s="55"/>
      <c r="M644" s="55"/>
    </row>
    <row r="645" spans="3:13" x14ac:dyDescent="0.2">
      <c r="C645" s="49"/>
      <c r="G645" s="2"/>
      <c r="H645" s="2"/>
      <c r="L645" s="55"/>
      <c r="M645" s="55"/>
    </row>
    <row r="646" spans="3:13" x14ac:dyDescent="0.2">
      <c r="C646" s="49"/>
      <c r="G646" s="2"/>
      <c r="H646" s="2"/>
      <c r="L646" s="55"/>
      <c r="M646" s="55"/>
    </row>
    <row r="647" spans="3:13" x14ac:dyDescent="0.2">
      <c r="C647" s="49"/>
      <c r="G647" s="2"/>
      <c r="H647" s="2"/>
      <c r="L647" s="55"/>
      <c r="M647" s="55"/>
    </row>
    <row r="648" spans="3:13" x14ac:dyDescent="0.2">
      <c r="C648" s="49"/>
      <c r="G648" s="2"/>
      <c r="H648" s="2"/>
      <c r="L648" s="55"/>
      <c r="M648" s="55"/>
    </row>
    <row r="649" spans="3:13" x14ac:dyDescent="0.2">
      <c r="C649" s="49"/>
      <c r="G649" s="2"/>
      <c r="H649" s="2"/>
      <c r="L649" s="55"/>
      <c r="M649" s="55"/>
    </row>
    <row r="650" spans="3:13" x14ac:dyDescent="0.2">
      <c r="C650" s="49"/>
      <c r="G650" s="2"/>
      <c r="H650" s="2"/>
      <c r="L650" s="55"/>
      <c r="M650" s="55"/>
    </row>
    <row r="651" spans="3:13" x14ac:dyDescent="0.2">
      <c r="C651" s="49"/>
      <c r="G651" s="2"/>
      <c r="H651" s="2"/>
      <c r="L651" s="55"/>
      <c r="M651" s="55"/>
    </row>
    <row r="652" spans="3:13" x14ac:dyDescent="0.2">
      <c r="C652" s="49"/>
      <c r="G652" s="2"/>
      <c r="H652" s="2"/>
      <c r="L652" s="55"/>
      <c r="M652" s="55"/>
    </row>
    <row r="653" spans="3:13" x14ac:dyDescent="0.2">
      <c r="C653" s="49"/>
      <c r="G653" s="2"/>
      <c r="H653" s="2"/>
      <c r="L653" s="55"/>
      <c r="M653" s="55"/>
    </row>
    <row r="654" spans="3:13" x14ac:dyDescent="0.2">
      <c r="C654" s="49"/>
      <c r="G654" s="2"/>
      <c r="H654" s="2"/>
      <c r="L654" s="55"/>
      <c r="M654" s="55"/>
    </row>
    <row r="655" spans="3:13" x14ac:dyDescent="0.2">
      <c r="C655" s="49"/>
      <c r="G655" s="2"/>
      <c r="H655" s="2"/>
      <c r="L655" s="55"/>
      <c r="M655" s="55"/>
    </row>
    <row r="656" spans="3:13" x14ac:dyDescent="0.2">
      <c r="C656" s="49"/>
      <c r="G656" s="2"/>
      <c r="H656" s="2"/>
      <c r="L656" s="55"/>
      <c r="M656" s="55"/>
    </row>
    <row r="657" spans="3:13" x14ac:dyDescent="0.2">
      <c r="C657" s="49"/>
      <c r="G657" s="2"/>
      <c r="H657" s="2"/>
      <c r="L657" s="55"/>
      <c r="M657" s="55"/>
    </row>
    <row r="658" spans="3:13" x14ac:dyDescent="0.2">
      <c r="C658" s="49"/>
      <c r="G658" s="2"/>
      <c r="H658" s="2"/>
      <c r="L658" s="55"/>
      <c r="M658" s="55"/>
    </row>
    <row r="659" spans="3:13" x14ac:dyDescent="0.2">
      <c r="C659" s="49"/>
      <c r="G659" s="2"/>
      <c r="H659" s="2"/>
      <c r="L659" s="55"/>
      <c r="M659" s="55"/>
    </row>
    <row r="660" spans="3:13" x14ac:dyDescent="0.2">
      <c r="C660" s="49"/>
      <c r="G660" s="2"/>
      <c r="H660" s="2"/>
      <c r="L660" s="55"/>
      <c r="M660" s="55"/>
    </row>
    <row r="661" spans="3:13" x14ac:dyDescent="0.2">
      <c r="C661" s="49"/>
      <c r="G661" s="2"/>
      <c r="H661" s="2"/>
      <c r="L661" s="55"/>
      <c r="M661" s="55"/>
    </row>
    <row r="662" spans="3:13" x14ac:dyDescent="0.2">
      <c r="C662" s="49"/>
      <c r="G662" s="2"/>
      <c r="H662" s="2"/>
      <c r="L662" s="55"/>
      <c r="M662" s="55"/>
    </row>
    <row r="663" spans="3:13" x14ac:dyDescent="0.2">
      <c r="C663" s="49"/>
      <c r="G663" s="2"/>
      <c r="H663" s="2"/>
      <c r="L663" s="55"/>
      <c r="M663" s="55"/>
    </row>
    <row r="664" spans="3:13" x14ac:dyDescent="0.2">
      <c r="C664" s="49"/>
      <c r="G664" s="2"/>
      <c r="H664" s="2"/>
      <c r="L664" s="55"/>
      <c r="M664" s="55"/>
    </row>
    <row r="665" spans="3:13" x14ac:dyDescent="0.2">
      <c r="C665" s="49"/>
      <c r="G665" s="2"/>
      <c r="H665" s="2"/>
      <c r="L665" s="55"/>
      <c r="M665" s="55"/>
    </row>
    <row r="666" spans="3:13" x14ac:dyDescent="0.2">
      <c r="C666" s="49"/>
      <c r="G666" s="2"/>
      <c r="H666" s="2"/>
      <c r="L666" s="55"/>
      <c r="M666" s="55"/>
    </row>
    <row r="667" spans="3:13" x14ac:dyDescent="0.2">
      <c r="C667" s="49"/>
      <c r="G667" s="2"/>
      <c r="H667" s="2"/>
      <c r="L667" s="55"/>
      <c r="M667" s="55"/>
    </row>
    <row r="668" spans="3:13" x14ac:dyDescent="0.2">
      <c r="C668" s="49"/>
      <c r="G668" s="2"/>
      <c r="H668" s="2"/>
      <c r="L668" s="55"/>
      <c r="M668" s="55"/>
    </row>
    <row r="669" spans="3:13" x14ac:dyDescent="0.2">
      <c r="C669" s="49"/>
      <c r="G669" s="2"/>
      <c r="H669" s="2"/>
      <c r="L669" s="55"/>
      <c r="M669" s="55"/>
    </row>
    <row r="670" spans="3:13" x14ac:dyDescent="0.2">
      <c r="C670" s="49"/>
      <c r="G670" s="2"/>
      <c r="H670" s="2"/>
      <c r="L670" s="55"/>
      <c r="M670" s="55"/>
    </row>
    <row r="671" spans="3:13" x14ac:dyDescent="0.2">
      <c r="C671" s="49"/>
      <c r="G671" s="2"/>
      <c r="H671" s="2"/>
      <c r="L671" s="55"/>
      <c r="M671" s="55"/>
    </row>
    <row r="672" spans="3:13" x14ac:dyDescent="0.2">
      <c r="C672" s="49"/>
      <c r="G672" s="2"/>
      <c r="H672" s="2"/>
      <c r="L672" s="55"/>
      <c r="M672" s="55"/>
    </row>
    <row r="673" spans="3:13" x14ac:dyDescent="0.2">
      <c r="C673" s="49"/>
      <c r="G673" s="2"/>
      <c r="H673" s="2"/>
      <c r="L673" s="55"/>
      <c r="M673" s="55"/>
    </row>
    <row r="674" spans="3:13" x14ac:dyDescent="0.2">
      <c r="C674" s="49"/>
      <c r="G674" s="2"/>
      <c r="H674" s="2"/>
      <c r="L674" s="55"/>
      <c r="M674" s="55"/>
    </row>
    <row r="675" spans="3:13" x14ac:dyDescent="0.2">
      <c r="C675" s="49"/>
      <c r="G675" s="2"/>
      <c r="H675" s="2"/>
      <c r="L675" s="55"/>
      <c r="M675" s="55"/>
    </row>
    <row r="676" spans="3:13" x14ac:dyDescent="0.2">
      <c r="C676" s="49"/>
      <c r="G676" s="2"/>
      <c r="H676" s="2"/>
      <c r="L676" s="55"/>
      <c r="M676" s="55"/>
    </row>
    <row r="677" spans="3:13" x14ac:dyDescent="0.2">
      <c r="C677" s="49"/>
      <c r="G677" s="2"/>
      <c r="H677" s="2"/>
      <c r="L677" s="55"/>
      <c r="M677" s="55"/>
    </row>
    <row r="678" spans="3:13" x14ac:dyDescent="0.2">
      <c r="C678" s="49"/>
      <c r="G678" s="2"/>
      <c r="H678" s="2"/>
      <c r="L678" s="55"/>
      <c r="M678" s="55"/>
    </row>
    <row r="679" spans="3:13" x14ac:dyDescent="0.2">
      <c r="C679" s="49"/>
      <c r="G679" s="2"/>
      <c r="H679" s="2"/>
      <c r="L679" s="55"/>
      <c r="M679" s="55"/>
    </row>
    <row r="680" spans="3:13" x14ac:dyDescent="0.2">
      <c r="C680" s="49"/>
      <c r="G680" s="2"/>
      <c r="H680" s="2"/>
      <c r="L680" s="55"/>
      <c r="M680" s="55"/>
    </row>
    <row r="681" spans="3:13" x14ac:dyDescent="0.2">
      <c r="C681" s="49"/>
      <c r="G681" s="2"/>
      <c r="H681" s="2"/>
      <c r="L681" s="55"/>
      <c r="M681" s="55"/>
    </row>
    <row r="682" spans="3:13" x14ac:dyDescent="0.2">
      <c r="C682" s="49"/>
      <c r="G682" s="2"/>
      <c r="H682" s="2"/>
      <c r="L682" s="55"/>
      <c r="M682" s="55"/>
    </row>
    <row r="683" spans="3:13" x14ac:dyDescent="0.2">
      <c r="C683" s="49"/>
      <c r="G683" s="2"/>
      <c r="H683" s="2"/>
      <c r="L683" s="55"/>
      <c r="M683" s="55"/>
    </row>
    <row r="684" spans="3:13" x14ac:dyDescent="0.2">
      <c r="C684" s="49"/>
      <c r="G684" s="2"/>
      <c r="H684" s="2"/>
      <c r="L684" s="55"/>
      <c r="M684" s="55"/>
    </row>
    <row r="685" spans="3:13" x14ac:dyDescent="0.2">
      <c r="C685" s="49"/>
      <c r="G685" s="2"/>
      <c r="H685" s="2"/>
      <c r="L685" s="55"/>
      <c r="M685" s="55"/>
    </row>
    <row r="686" spans="3:13" x14ac:dyDescent="0.2">
      <c r="C686" s="49"/>
      <c r="G686" s="2"/>
      <c r="H686" s="2"/>
      <c r="L686" s="55"/>
      <c r="M686" s="55"/>
    </row>
    <row r="687" spans="3:13" x14ac:dyDescent="0.2">
      <c r="C687" s="49"/>
      <c r="G687" s="2"/>
      <c r="H687" s="2"/>
      <c r="L687" s="55"/>
      <c r="M687" s="55"/>
    </row>
    <row r="688" spans="3:13" x14ac:dyDescent="0.2">
      <c r="C688" s="49"/>
      <c r="G688" s="2"/>
      <c r="H688" s="2"/>
      <c r="L688" s="55"/>
      <c r="M688" s="55"/>
    </row>
    <row r="689" spans="3:13" x14ac:dyDescent="0.2">
      <c r="C689" s="49"/>
      <c r="G689" s="2"/>
      <c r="H689" s="2"/>
      <c r="L689" s="55"/>
      <c r="M689" s="55"/>
    </row>
    <row r="690" spans="3:13" x14ac:dyDescent="0.2">
      <c r="C690" s="49"/>
      <c r="G690" s="2"/>
      <c r="H690" s="2"/>
      <c r="L690" s="55"/>
      <c r="M690" s="55"/>
    </row>
    <row r="691" spans="3:13" x14ac:dyDescent="0.2">
      <c r="C691" s="49"/>
      <c r="G691" s="2"/>
      <c r="H691" s="2"/>
      <c r="L691" s="55"/>
      <c r="M691" s="55"/>
    </row>
    <row r="692" spans="3:13" x14ac:dyDescent="0.2">
      <c r="C692" s="49"/>
      <c r="G692" s="2"/>
      <c r="H692" s="2"/>
      <c r="L692" s="55"/>
      <c r="M692" s="55"/>
    </row>
    <row r="693" spans="3:13" x14ac:dyDescent="0.2">
      <c r="C693" s="49"/>
      <c r="G693" s="2"/>
      <c r="H693" s="2"/>
      <c r="L693" s="55"/>
      <c r="M693" s="55"/>
    </row>
    <row r="694" spans="3:13" x14ac:dyDescent="0.2">
      <c r="C694" s="49"/>
      <c r="G694" s="2"/>
      <c r="H694" s="2"/>
      <c r="L694" s="55"/>
      <c r="M694" s="55"/>
    </row>
    <row r="695" spans="3:13" x14ac:dyDescent="0.2">
      <c r="C695" s="49"/>
      <c r="G695" s="2"/>
      <c r="H695" s="2"/>
      <c r="L695" s="55"/>
      <c r="M695" s="55"/>
    </row>
    <row r="696" spans="3:13" x14ac:dyDescent="0.2">
      <c r="C696" s="49"/>
      <c r="G696" s="2"/>
      <c r="H696" s="2"/>
      <c r="L696" s="55"/>
      <c r="M696" s="55"/>
    </row>
    <row r="697" spans="3:13" x14ac:dyDescent="0.2">
      <c r="C697" s="49"/>
      <c r="G697" s="2"/>
      <c r="H697" s="2"/>
      <c r="L697" s="55"/>
      <c r="M697" s="55"/>
    </row>
    <row r="698" spans="3:13" x14ac:dyDescent="0.2">
      <c r="C698" s="49"/>
      <c r="G698" s="2"/>
      <c r="H698" s="2"/>
      <c r="L698" s="55"/>
      <c r="M698" s="55"/>
    </row>
    <row r="699" spans="3:13" x14ac:dyDescent="0.2">
      <c r="C699" s="49"/>
      <c r="G699" s="2"/>
      <c r="H699" s="2"/>
      <c r="L699" s="55"/>
      <c r="M699" s="55"/>
    </row>
    <row r="700" spans="3:13" x14ac:dyDescent="0.2">
      <c r="C700" s="49"/>
      <c r="G700" s="2"/>
      <c r="H700" s="2"/>
      <c r="L700" s="55"/>
      <c r="M700" s="55"/>
    </row>
    <row r="701" spans="3:13" x14ac:dyDescent="0.2">
      <c r="C701" s="49"/>
      <c r="G701" s="2"/>
      <c r="H701" s="2"/>
      <c r="L701" s="55"/>
      <c r="M701" s="55"/>
    </row>
    <row r="702" spans="3:13" x14ac:dyDescent="0.2">
      <c r="C702" s="49"/>
      <c r="G702" s="2"/>
      <c r="H702" s="2"/>
      <c r="L702" s="55"/>
      <c r="M702" s="55"/>
    </row>
    <row r="703" spans="3:13" x14ac:dyDescent="0.2">
      <c r="C703" s="49"/>
      <c r="G703" s="2"/>
      <c r="H703" s="2"/>
      <c r="L703" s="55"/>
      <c r="M703" s="55"/>
    </row>
    <row r="704" spans="3:13" x14ac:dyDescent="0.2">
      <c r="C704" s="49"/>
      <c r="G704" s="2"/>
      <c r="H704" s="2"/>
      <c r="L704" s="55"/>
      <c r="M704" s="55"/>
    </row>
    <row r="705" spans="3:13" x14ac:dyDescent="0.2">
      <c r="C705" s="49"/>
      <c r="G705" s="2"/>
      <c r="H705" s="2"/>
      <c r="L705" s="55"/>
      <c r="M705" s="55"/>
    </row>
    <row r="706" spans="3:13" x14ac:dyDescent="0.2">
      <c r="C706" s="49"/>
      <c r="G706" s="2"/>
      <c r="H706" s="2"/>
      <c r="L706" s="55"/>
      <c r="M706" s="55"/>
    </row>
    <row r="707" spans="3:13" x14ac:dyDescent="0.2">
      <c r="C707" s="49"/>
      <c r="G707" s="2"/>
      <c r="H707" s="2"/>
      <c r="L707" s="55"/>
      <c r="M707" s="55"/>
    </row>
    <row r="708" spans="3:13" x14ac:dyDescent="0.2">
      <c r="C708" s="49"/>
      <c r="G708" s="2"/>
      <c r="H708" s="2"/>
      <c r="L708" s="55"/>
      <c r="M708" s="55"/>
    </row>
    <row r="709" spans="3:13" x14ac:dyDescent="0.2">
      <c r="C709" s="49"/>
      <c r="G709" s="2"/>
      <c r="H709" s="2"/>
      <c r="L709" s="55"/>
      <c r="M709" s="55"/>
    </row>
    <row r="710" spans="3:13" x14ac:dyDescent="0.2">
      <c r="C710" s="49"/>
      <c r="G710" s="2"/>
      <c r="H710" s="2"/>
      <c r="L710" s="55"/>
      <c r="M710" s="55"/>
    </row>
    <row r="711" spans="3:13" x14ac:dyDescent="0.2">
      <c r="C711" s="49"/>
      <c r="G711" s="2"/>
      <c r="H711" s="2"/>
      <c r="L711" s="55"/>
      <c r="M711" s="55"/>
    </row>
    <row r="712" spans="3:13" x14ac:dyDescent="0.2">
      <c r="C712" s="49"/>
      <c r="G712" s="2"/>
      <c r="H712" s="2"/>
      <c r="L712" s="55"/>
      <c r="M712" s="55"/>
    </row>
    <row r="713" spans="3:13" x14ac:dyDescent="0.2">
      <c r="C713" s="49"/>
      <c r="G713" s="2"/>
      <c r="H713" s="2"/>
      <c r="L713" s="55"/>
      <c r="M713" s="55"/>
    </row>
    <row r="714" spans="3:13" x14ac:dyDescent="0.2">
      <c r="C714" s="49"/>
      <c r="G714" s="2"/>
      <c r="H714" s="2"/>
      <c r="L714" s="55"/>
      <c r="M714" s="55"/>
    </row>
    <row r="715" spans="3:13" x14ac:dyDescent="0.2">
      <c r="C715" s="49"/>
      <c r="G715" s="2"/>
      <c r="H715" s="2"/>
      <c r="L715" s="55"/>
      <c r="M715" s="55"/>
    </row>
    <row r="716" spans="3:13" x14ac:dyDescent="0.2">
      <c r="C716" s="49"/>
      <c r="G716" s="2"/>
      <c r="H716" s="2"/>
      <c r="L716" s="55"/>
      <c r="M716" s="55"/>
    </row>
    <row r="717" spans="3:13" x14ac:dyDescent="0.2">
      <c r="C717" s="49"/>
      <c r="G717" s="2"/>
      <c r="H717" s="2"/>
      <c r="L717" s="55"/>
      <c r="M717" s="55"/>
    </row>
    <row r="718" spans="3:13" x14ac:dyDescent="0.2">
      <c r="C718" s="49"/>
      <c r="G718" s="2"/>
      <c r="H718" s="2"/>
      <c r="L718" s="55"/>
      <c r="M718" s="55"/>
    </row>
    <row r="719" spans="3:13" x14ac:dyDescent="0.2">
      <c r="C719" s="49"/>
      <c r="G719" s="2"/>
      <c r="H719" s="2"/>
      <c r="L719" s="55"/>
      <c r="M719" s="55"/>
    </row>
    <row r="720" spans="3:13" x14ac:dyDescent="0.2">
      <c r="C720" s="49"/>
      <c r="G720" s="2"/>
      <c r="H720" s="2"/>
      <c r="L720" s="55"/>
      <c r="M720" s="55"/>
    </row>
    <row r="721" spans="3:13" x14ac:dyDescent="0.2">
      <c r="C721" s="49"/>
      <c r="G721" s="2"/>
      <c r="H721" s="2"/>
      <c r="L721" s="55"/>
      <c r="M721" s="55"/>
    </row>
    <row r="722" spans="3:13" x14ac:dyDescent="0.2">
      <c r="C722" s="49"/>
      <c r="G722" s="2"/>
      <c r="H722" s="2"/>
      <c r="L722" s="55"/>
      <c r="M722" s="55"/>
    </row>
    <row r="723" spans="3:13" x14ac:dyDescent="0.2">
      <c r="C723" s="49"/>
      <c r="G723" s="2"/>
      <c r="H723" s="2"/>
      <c r="L723" s="55"/>
      <c r="M723" s="55"/>
    </row>
    <row r="724" spans="3:13" x14ac:dyDescent="0.2">
      <c r="C724" s="49"/>
      <c r="G724" s="2"/>
      <c r="H724" s="2"/>
      <c r="L724" s="55"/>
      <c r="M724" s="55"/>
    </row>
    <row r="725" spans="3:13" x14ac:dyDescent="0.2">
      <c r="C725" s="49"/>
      <c r="G725" s="2"/>
      <c r="H725" s="2"/>
      <c r="L725" s="55"/>
      <c r="M725" s="55"/>
    </row>
    <row r="726" spans="3:13" x14ac:dyDescent="0.2">
      <c r="C726" s="49"/>
      <c r="G726" s="2"/>
      <c r="H726" s="2"/>
      <c r="L726" s="55"/>
      <c r="M726" s="55"/>
    </row>
    <row r="727" spans="3:13" x14ac:dyDescent="0.2">
      <c r="C727" s="49"/>
      <c r="G727" s="2"/>
      <c r="H727" s="2"/>
      <c r="L727" s="55"/>
      <c r="M727" s="55"/>
    </row>
    <row r="728" spans="3:13" x14ac:dyDescent="0.2">
      <c r="C728" s="49"/>
      <c r="G728" s="2"/>
      <c r="H728" s="2"/>
      <c r="L728" s="55"/>
      <c r="M728" s="55"/>
    </row>
    <row r="729" spans="3:13" x14ac:dyDescent="0.2">
      <c r="C729" s="49"/>
      <c r="G729" s="2"/>
      <c r="H729" s="2"/>
      <c r="L729" s="55"/>
      <c r="M729" s="55"/>
    </row>
    <row r="730" spans="3:13" x14ac:dyDescent="0.2">
      <c r="C730" s="49"/>
      <c r="G730" s="2"/>
      <c r="H730" s="2"/>
      <c r="L730" s="55"/>
      <c r="M730" s="55"/>
    </row>
    <row r="731" spans="3:13" x14ac:dyDescent="0.2">
      <c r="C731" s="49"/>
      <c r="G731" s="2"/>
      <c r="H731" s="2"/>
      <c r="L731" s="55"/>
      <c r="M731" s="55"/>
    </row>
    <row r="732" spans="3:13" x14ac:dyDescent="0.2">
      <c r="C732" s="49"/>
      <c r="G732" s="2"/>
      <c r="H732" s="2"/>
      <c r="L732" s="55"/>
      <c r="M732" s="55"/>
    </row>
    <row r="733" spans="3:13" x14ac:dyDescent="0.2">
      <c r="C733" s="49"/>
      <c r="G733" s="2"/>
      <c r="H733" s="2"/>
      <c r="L733" s="55"/>
      <c r="M733" s="55"/>
    </row>
    <row r="734" spans="3:13" x14ac:dyDescent="0.2">
      <c r="C734" s="49"/>
      <c r="G734" s="2"/>
      <c r="H734" s="2"/>
      <c r="L734" s="55"/>
      <c r="M734" s="55"/>
    </row>
    <row r="735" spans="3:13" x14ac:dyDescent="0.2">
      <c r="C735" s="49"/>
      <c r="G735" s="2"/>
      <c r="H735" s="2"/>
      <c r="L735" s="55"/>
      <c r="M735" s="55"/>
    </row>
    <row r="736" spans="3:13" x14ac:dyDescent="0.2">
      <c r="C736" s="49"/>
      <c r="G736" s="2"/>
      <c r="H736" s="2"/>
      <c r="L736" s="55"/>
      <c r="M736" s="55"/>
    </row>
    <row r="737" spans="3:13" x14ac:dyDescent="0.2">
      <c r="C737" s="49"/>
      <c r="G737" s="2"/>
      <c r="H737" s="2"/>
      <c r="L737" s="55"/>
      <c r="M737" s="55"/>
    </row>
    <row r="738" spans="3:13" x14ac:dyDescent="0.2">
      <c r="C738" s="49"/>
      <c r="G738" s="2"/>
      <c r="H738" s="2"/>
      <c r="L738" s="55"/>
      <c r="M738" s="55"/>
    </row>
    <row r="739" spans="3:13" x14ac:dyDescent="0.2">
      <c r="C739" s="49"/>
      <c r="G739" s="2"/>
      <c r="H739" s="2"/>
      <c r="L739" s="55"/>
      <c r="M739" s="55"/>
    </row>
    <row r="740" spans="3:13" x14ac:dyDescent="0.2">
      <c r="C740" s="49"/>
      <c r="G740" s="2"/>
      <c r="H740" s="2"/>
      <c r="L740" s="55"/>
      <c r="M740" s="55"/>
    </row>
    <row r="741" spans="3:13" x14ac:dyDescent="0.2">
      <c r="C741" s="49"/>
      <c r="G741" s="2"/>
      <c r="H741" s="2"/>
      <c r="L741" s="55"/>
      <c r="M741" s="55"/>
    </row>
    <row r="742" spans="3:13" x14ac:dyDescent="0.2">
      <c r="C742" s="49"/>
      <c r="G742" s="2"/>
      <c r="H742" s="2"/>
      <c r="L742" s="55"/>
      <c r="M742" s="55"/>
    </row>
    <row r="743" spans="3:13" x14ac:dyDescent="0.2">
      <c r="C743" s="49"/>
      <c r="G743" s="2"/>
      <c r="H743" s="2"/>
      <c r="L743" s="55"/>
      <c r="M743" s="55"/>
    </row>
    <row r="744" spans="3:13" x14ac:dyDescent="0.2">
      <c r="C744" s="49"/>
      <c r="G744" s="2"/>
      <c r="H744" s="2"/>
      <c r="L744" s="55"/>
      <c r="M744" s="55"/>
    </row>
    <row r="745" spans="3:13" x14ac:dyDescent="0.2">
      <c r="C745" s="49"/>
      <c r="G745" s="2"/>
      <c r="H745" s="2"/>
      <c r="L745" s="55"/>
      <c r="M745" s="55"/>
    </row>
    <row r="746" spans="3:13" x14ac:dyDescent="0.2">
      <c r="C746" s="49"/>
      <c r="G746" s="2"/>
      <c r="H746" s="2"/>
      <c r="L746" s="55"/>
      <c r="M746" s="55"/>
    </row>
    <row r="747" spans="3:13" x14ac:dyDescent="0.2">
      <c r="C747" s="49"/>
      <c r="G747" s="2"/>
      <c r="H747" s="2"/>
      <c r="L747" s="55"/>
      <c r="M747" s="55"/>
    </row>
    <row r="748" spans="3:13" x14ac:dyDescent="0.2">
      <c r="C748" s="49"/>
      <c r="G748" s="2"/>
      <c r="H748" s="2"/>
      <c r="L748" s="55"/>
      <c r="M748" s="55"/>
    </row>
    <row r="749" spans="3:13" x14ac:dyDescent="0.2">
      <c r="C749" s="49"/>
      <c r="G749" s="2"/>
      <c r="H749" s="2"/>
      <c r="L749" s="55"/>
      <c r="M749" s="55"/>
    </row>
    <row r="750" spans="3:13" x14ac:dyDescent="0.2">
      <c r="C750" s="49"/>
      <c r="G750" s="2"/>
      <c r="H750" s="2"/>
      <c r="L750" s="55"/>
      <c r="M750" s="55"/>
    </row>
    <row r="751" spans="3:13" x14ac:dyDescent="0.2">
      <c r="C751" s="49"/>
      <c r="G751" s="2"/>
      <c r="H751" s="2"/>
      <c r="L751" s="55"/>
      <c r="M751" s="55"/>
    </row>
    <row r="752" spans="3:13" x14ac:dyDescent="0.2">
      <c r="C752" s="49"/>
      <c r="G752" s="2"/>
      <c r="H752" s="2"/>
      <c r="L752" s="55"/>
      <c r="M752" s="55"/>
    </row>
    <row r="753" spans="3:13" x14ac:dyDescent="0.2">
      <c r="C753" s="49"/>
      <c r="G753" s="2"/>
      <c r="H753" s="2"/>
      <c r="L753" s="55"/>
      <c r="M753" s="55"/>
    </row>
    <row r="754" spans="3:13" x14ac:dyDescent="0.2">
      <c r="C754" s="49"/>
      <c r="G754" s="2"/>
      <c r="H754" s="2"/>
      <c r="L754" s="55"/>
      <c r="M754" s="55"/>
    </row>
    <row r="755" spans="3:13" x14ac:dyDescent="0.2">
      <c r="C755" s="49"/>
      <c r="G755" s="2"/>
      <c r="H755" s="2"/>
      <c r="L755" s="55"/>
      <c r="M755" s="55"/>
    </row>
    <row r="756" spans="3:13" x14ac:dyDescent="0.2">
      <c r="C756" s="49"/>
      <c r="G756" s="2"/>
      <c r="H756" s="2"/>
      <c r="L756" s="55"/>
      <c r="M756" s="55"/>
    </row>
    <row r="757" spans="3:13" x14ac:dyDescent="0.2">
      <c r="C757" s="49"/>
      <c r="G757" s="2"/>
      <c r="H757" s="2"/>
      <c r="L757" s="55"/>
      <c r="M757" s="55"/>
    </row>
    <row r="758" spans="3:13" x14ac:dyDescent="0.2">
      <c r="C758" s="49"/>
      <c r="G758" s="2"/>
      <c r="H758" s="2"/>
      <c r="L758" s="55"/>
      <c r="M758" s="55"/>
    </row>
    <row r="759" spans="3:13" x14ac:dyDescent="0.2">
      <c r="C759" s="49"/>
      <c r="G759" s="2"/>
      <c r="H759" s="2"/>
      <c r="L759" s="55"/>
      <c r="M759" s="55"/>
    </row>
    <row r="760" spans="3:13" x14ac:dyDescent="0.2">
      <c r="C760" s="49"/>
      <c r="G760" s="2"/>
      <c r="H760" s="2"/>
      <c r="L760" s="55"/>
      <c r="M760" s="55"/>
    </row>
    <row r="761" spans="3:13" x14ac:dyDescent="0.2">
      <c r="C761" s="49"/>
      <c r="G761" s="2"/>
      <c r="H761" s="2"/>
      <c r="L761" s="55"/>
      <c r="M761" s="55"/>
    </row>
    <row r="762" spans="3:13" x14ac:dyDescent="0.2">
      <c r="C762" s="49"/>
      <c r="G762" s="2"/>
      <c r="H762" s="2"/>
      <c r="L762" s="55"/>
      <c r="M762" s="55"/>
    </row>
    <row r="763" spans="3:13" x14ac:dyDescent="0.2">
      <c r="C763" s="49"/>
      <c r="G763" s="2"/>
      <c r="H763" s="2"/>
      <c r="L763" s="55"/>
      <c r="M763" s="55"/>
    </row>
    <row r="764" spans="3:13" x14ac:dyDescent="0.2">
      <c r="C764" s="49"/>
      <c r="G764" s="2"/>
      <c r="H764" s="2"/>
      <c r="L764" s="55"/>
      <c r="M764" s="55"/>
    </row>
    <row r="765" spans="3:13" x14ac:dyDescent="0.2">
      <c r="C765" s="49"/>
      <c r="G765" s="2"/>
      <c r="H765" s="2"/>
      <c r="L765" s="55"/>
      <c r="M765" s="55"/>
    </row>
    <row r="766" spans="3:13" x14ac:dyDescent="0.2">
      <c r="C766" s="49"/>
      <c r="G766" s="2"/>
      <c r="H766" s="2"/>
      <c r="L766" s="55"/>
      <c r="M766" s="55"/>
    </row>
    <row r="767" spans="3:13" x14ac:dyDescent="0.2">
      <c r="C767" s="49"/>
      <c r="G767" s="2"/>
      <c r="H767" s="2"/>
      <c r="L767" s="55"/>
      <c r="M767" s="55"/>
    </row>
    <row r="768" spans="3:13" x14ac:dyDescent="0.2">
      <c r="C768" s="49"/>
      <c r="G768" s="2"/>
      <c r="H768" s="2"/>
      <c r="L768" s="55"/>
      <c r="M768" s="55"/>
    </row>
    <row r="769" spans="3:13" x14ac:dyDescent="0.2">
      <c r="C769" s="49"/>
      <c r="G769" s="2"/>
      <c r="H769" s="2"/>
      <c r="L769" s="55"/>
      <c r="M769" s="55"/>
    </row>
    <row r="770" spans="3:13" x14ac:dyDescent="0.2">
      <c r="C770" s="49"/>
      <c r="G770" s="2"/>
      <c r="H770" s="2"/>
      <c r="L770" s="55"/>
      <c r="M770" s="55"/>
    </row>
    <row r="771" spans="3:13" x14ac:dyDescent="0.2">
      <c r="C771" s="49"/>
      <c r="G771" s="2"/>
      <c r="H771" s="2"/>
      <c r="L771" s="55"/>
      <c r="M771" s="55"/>
    </row>
    <row r="772" spans="3:13" x14ac:dyDescent="0.2">
      <c r="C772" s="49"/>
      <c r="G772" s="2"/>
      <c r="H772" s="2"/>
      <c r="L772" s="55"/>
      <c r="M772" s="55"/>
    </row>
    <row r="773" spans="3:13" x14ac:dyDescent="0.2">
      <c r="C773" s="49"/>
      <c r="G773" s="2"/>
      <c r="H773" s="2"/>
      <c r="L773" s="55"/>
      <c r="M773" s="55"/>
    </row>
    <row r="774" spans="3:13" x14ac:dyDescent="0.2">
      <c r="C774" s="49"/>
      <c r="G774" s="2"/>
      <c r="H774" s="2"/>
      <c r="L774" s="55"/>
      <c r="M774" s="55"/>
    </row>
    <row r="775" spans="3:13" x14ac:dyDescent="0.2">
      <c r="C775" s="49"/>
      <c r="G775" s="2"/>
      <c r="H775" s="2"/>
      <c r="L775" s="55"/>
      <c r="M775" s="55"/>
    </row>
    <row r="776" spans="3:13" x14ac:dyDescent="0.2">
      <c r="C776" s="49"/>
      <c r="G776" s="2"/>
      <c r="H776" s="2"/>
      <c r="L776" s="55"/>
      <c r="M776" s="55"/>
    </row>
    <row r="777" spans="3:13" x14ac:dyDescent="0.2">
      <c r="C777" s="49"/>
      <c r="G777" s="2"/>
      <c r="H777" s="2"/>
      <c r="L777" s="55"/>
      <c r="M777" s="55"/>
    </row>
    <row r="778" spans="3:13" x14ac:dyDescent="0.2">
      <c r="C778" s="49"/>
      <c r="G778" s="2"/>
      <c r="H778" s="2"/>
      <c r="L778" s="55"/>
      <c r="M778" s="55"/>
    </row>
    <row r="779" spans="3:13" x14ac:dyDescent="0.2">
      <c r="C779" s="49"/>
      <c r="G779" s="2"/>
      <c r="H779" s="2"/>
      <c r="L779" s="55"/>
      <c r="M779" s="55"/>
    </row>
    <row r="780" spans="3:13" x14ac:dyDescent="0.2">
      <c r="C780" s="49"/>
      <c r="G780" s="2"/>
      <c r="H780" s="2"/>
      <c r="L780" s="55"/>
      <c r="M780" s="55"/>
    </row>
    <row r="781" spans="3:13" x14ac:dyDescent="0.2">
      <c r="C781" s="49"/>
      <c r="G781" s="2"/>
      <c r="H781" s="2"/>
      <c r="L781" s="55"/>
      <c r="M781" s="55"/>
    </row>
    <row r="782" spans="3:13" x14ac:dyDescent="0.2">
      <c r="C782" s="49"/>
      <c r="G782" s="2"/>
      <c r="H782" s="2"/>
      <c r="L782" s="55"/>
      <c r="M782" s="55"/>
    </row>
    <row r="783" spans="3:13" x14ac:dyDescent="0.2">
      <c r="C783" s="49"/>
      <c r="G783" s="2"/>
      <c r="H783" s="2"/>
      <c r="L783" s="55"/>
      <c r="M783" s="55"/>
    </row>
    <row r="784" spans="3:13" x14ac:dyDescent="0.2">
      <c r="C784" s="49"/>
      <c r="G784" s="2"/>
      <c r="H784" s="2"/>
      <c r="L784" s="55"/>
      <c r="M784" s="55"/>
    </row>
    <row r="785" spans="3:13" x14ac:dyDescent="0.2">
      <c r="C785" s="49"/>
      <c r="G785" s="2"/>
      <c r="H785" s="2"/>
      <c r="L785" s="55"/>
      <c r="M785" s="55"/>
    </row>
    <row r="786" spans="3:13" x14ac:dyDescent="0.2">
      <c r="C786" s="49"/>
      <c r="G786" s="2"/>
      <c r="H786" s="2"/>
      <c r="L786" s="55"/>
      <c r="M786" s="55"/>
    </row>
    <row r="787" spans="3:13" x14ac:dyDescent="0.2">
      <c r="C787" s="49"/>
      <c r="G787" s="2"/>
      <c r="H787" s="2"/>
      <c r="L787" s="55"/>
      <c r="M787" s="55"/>
    </row>
    <row r="788" spans="3:13" x14ac:dyDescent="0.2">
      <c r="C788" s="49"/>
      <c r="G788" s="2"/>
      <c r="H788" s="2"/>
      <c r="L788" s="55"/>
      <c r="M788" s="55"/>
    </row>
    <row r="789" spans="3:13" x14ac:dyDescent="0.2">
      <c r="C789" s="49"/>
      <c r="G789" s="2"/>
      <c r="H789" s="2"/>
      <c r="L789" s="55"/>
      <c r="M789" s="55"/>
    </row>
    <row r="790" spans="3:13" x14ac:dyDescent="0.2">
      <c r="C790" s="49"/>
      <c r="G790" s="2"/>
      <c r="H790" s="2"/>
      <c r="L790" s="55"/>
      <c r="M790" s="55"/>
    </row>
    <row r="791" spans="3:13" x14ac:dyDescent="0.2">
      <c r="C791" s="49"/>
      <c r="G791" s="2"/>
      <c r="H791" s="2"/>
      <c r="L791" s="55"/>
      <c r="M791" s="55"/>
    </row>
    <row r="792" spans="3:13" x14ac:dyDescent="0.2">
      <c r="C792" s="49"/>
      <c r="G792" s="2"/>
      <c r="H792" s="2"/>
      <c r="L792" s="55"/>
      <c r="M792" s="55"/>
    </row>
    <row r="793" spans="3:13" x14ac:dyDescent="0.2">
      <c r="C793" s="49"/>
      <c r="G793" s="2"/>
      <c r="H793" s="2"/>
      <c r="L793" s="55"/>
      <c r="M793" s="55"/>
    </row>
    <row r="794" spans="3:13" x14ac:dyDescent="0.2">
      <c r="C794" s="49"/>
      <c r="G794" s="2"/>
      <c r="H794" s="2"/>
      <c r="L794" s="55"/>
      <c r="M794" s="55"/>
    </row>
    <row r="795" spans="3:13" x14ac:dyDescent="0.2">
      <c r="C795" s="49"/>
      <c r="G795" s="2"/>
      <c r="H795" s="2"/>
      <c r="L795" s="55"/>
      <c r="M795" s="55"/>
    </row>
    <row r="796" spans="3:13" x14ac:dyDescent="0.2">
      <c r="C796" s="49"/>
      <c r="G796" s="2"/>
      <c r="H796" s="2"/>
      <c r="L796" s="55"/>
      <c r="M796" s="55"/>
    </row>
    <row r="797" spans="3:13" x14ac:dyDescent="0.2">
      <c r="C797" s="49"/>
      <c r="G797" s="2"/>
      <c r="H797" s="2"/>
      <c r="L797" s="55"/>
      <c r="M797" s="55"/>
    </row>
    <row r="798" spans="3:13" x14ac:dyDescent="0.2">
      <c r="C798" s="49"/>
      <c r="G798" s="2"/>
      <c r="H798" s="2"/>
      <c r="L798" s="55"/>
      <c r="M798" s="55"/>
    </row>
    <row r="799" spans="3:13" x14ac:dyDescent="0.2">
      <c r="C799" s="49"/>
      <c r="G799" s="2"/>
      <c r="H799" s="2"/>
      <c r="L799" s="55"/>
      <c r="M799" s="55"/>
    </row>
    <row r="800" spans="3:13" x14ac:dyDescent="0.2">
      <c r="C800" s="49"/>
      <c r="G800" s="2"/>
      <c r="H800" s="2"/>
      <c r="L800" s="55"/>
      <c r="M800" s="55"/>
    </row>
    <row r="801" spans="3:13" x14ac:dyDescent="0.2">
      <c r="C801" s="49"/>
      <c r="G801" s="2"/>
      <c r="H801" s="2"/>
      <c r="L801" s="55"/>
      <c r="M801" s="55"/>
    </row>
    <row r="802" spans="3:13" x14ac:dyDescent="0.2">
      <c r="C802" s="49"/>
      <c r="G802" s="2"/>
      <c r="H802" s="2"/>
      <c r="L802" s="55"/>
      <c r="M802" s="55"/>
    </row>
    <row r="803" spans="3:13" x14ac:dyDescent="0.2">
      <c r="C803" s="49"/>
      <c r="G803" s="2"/>
      <c r="H803" s="2"/>
      <c r="L803" s="55"/>
      <c r="M803" s="55"/>
    </row>
    <row r="804" spans="3:13" x14ac:dyDescent="0.2">
      <c r="C804" s="49"/>
      <c r="G804" s="2"/>
      <c r="H804" s="2"/>
      <c r="L804" s="55"/>
      <c r="M804" s="55"/>
    </row>
    <row r="805" spans="3:13" x14ac:dyDescent="0.2">
      <c r="C805" s="49"/>
      <c r="G805" s="2"/>
      <c r="H805" s="2"/>
      <c r="L805" s="55"/>
      <c r="M805" s="55"/>
    </row>
    <row r="806" spans="3:13" x14ac:dyDescent="0.2">
      <c r="C806" s="49"/>
      <c r="G806" s="2"/>
      <c r="H806" s="2"/>
      <c r="L806" s="55"/>
      <c r="M806" s="55"/>
    </row>
    <row r="807" spans="3:13" x14ac:dyDescent="0.2">
      <c r="C807" s="49"/>
      <c r="G807" s="2"/>
      <c r="H807" s="2"/>
      <c r="L807" s="55"/>
      <c r="M807" s="55"/>
    </row>
    <row r="808" spans="3:13" x14ac:dyDescent="0.2">
      <c r="C808" s="49"/>
      <c r="G808" s="2"/>
      <c r="H808" s="2"/>
      <c r="L808" s="55"/>
      <c r="M808" s="55"/>
    </row>
    <row r="809" spans="3:13" x14ac:dyDescent="0.2">
      <c r="C809" s="49"/>
      <c r="G809" s="2"/>
      <c r="H809" s="2"/>
      <c r="L809" s="55"/>
      <c r="M809" s="55"/>
    </row>
    <row r="810" spans="3:13" x14ac:dyDescent="0.2">
      <c r="C810" s="49"/>
      <c r="G810" s="2"/>
      <c r="H810" s="2"/>
      <c r="L810" s="55"/>
      <c r="M810" s="55"/>
    </row>
    <row r="811" spans="3:13" x14ac:dyDescent="0.2">
      <c r="C811" s="49"/>
      <c r="G811" s="2"/>
      <c r="H811" s="2"/>
      <c r="L811" s="55"/>
      <c r="M811" s="55"/>
    </row>
    <row r="812" spans="3:13" x14ac:dyDescent="0.2">
      <c r="C812" s="49"/>
      <c r="G812" s="2"/>
      <c r="H812" s="2"/>
      <c r="L812" s="55"/>
      <c r="M812" s="55"/>
    </row>
    <row r="813" spans="3:13" x14ac:dyDescent="0.2">
      <c r="C813" s="49"/>
      <c r="G813" s="2"/>
      <c r="H813" s="2"/>
      <c r="L813" s="55"/>
      <c r="M813" s="55"/>
    </row>
    <row r="814" spans="3:13" x14ac:dyDescent="0.2">
      <c r="C814" s="49"/>
      <c r="G814" s="2"/>
      <c r="H814" s="2"/>
      <c r="L814" s="55"/>
      <c r="M814" s="55"/>
    </row>
    <row r="815" spans="3:13" x14ac:dyDescent="0.2">
      <c r="C815" s="49"/>
      <c r="G815" s="2"/>
      <c r="H815" s="2"/>
      <c r="L815" s="55"/>
      <c r="M815" s="55"/>
    </row>
    <row r="816" spans="3:13" x14ac:dyDescent="0.2">
      <c r="C816" s="49"/>
      <c r="G816" s="2"/>
      <c r="H816" s="2"/>
      <c r="L816" s="55"/>
      <c r="M816" s="55"/>
    </row>
    <row r="817" spans="3:13" x14ac:dyDescent="0.2">
      <c r="C817" s="49"/>
      <c r="G817" s="2"/>
      <c r="H817" s="2"/>
      <c r="L817" s="55"/>
      <c r="M817" s="55"/>
    </row>
    <row r="818" spans="3:13" x14ac:dyDescent="0.2">
      <c r="C818" s="49"/>
      <c r="G818" s="2"/>
      <c r="H818" s="2"/>
      <c r="L818" s="55"/>
      <c r="M818" s="55"/>
    </row>
    <row r="819" spans="3:13" x14ac:dyDescent="0.2">
      <c r="C819" s="49"/>
      <c r="G819" s="2"/>
      <c r="H819" s="2"/>
      <c r="L819" s="55"/>
      <c r="M819" s="55"/>
    </row>
    <row r="820" spans="3:13" x14ac:dyDescent="0.2">
      <c r="C820" s="49"/>
      <c r="G820" s="2"/>
      <c r="H820" s="2"/>
      <c r="L820" s="55"/>
      <c r="M820" s="55"/>
    </row>
    <row r="821" spans="3:13" x14ac:dyDescent="0.2">
      <c r="C821" s="49"/>
      <c r="G821" s="2"/>
      <c r="H821" s="2"/>
      <c r="L821" s="55"/>
      <c r="M821" s="55"/>
    </row>
    <row r="822" spans="3:13" x14ac:dyDescent="0.2">
      <c r="C822" s="49"/>
      <c r="G822" s="2"/>
      <c r="H822" s="2"/>
      <c r="L822" s="55"/>
      <c r="M822" s="55"/>
    </row>
    <row r="823" spans="3:13" x14ac:dyDescent="0.2">
      <c r="C823" s="49"/>
      <c r="G823" s="2"/>
      <c r="H823" s="2"/>
      <c r="L823" s="55"/>
      <c r="M823" s="55"/>
    </row>
    <row r="824" spans="3:13" x14ac:dyDescent="0.2">
      <c r="C824" s="49"/>
      <c r="G824" s="2"/>
      <c r="H824" s="2"/>
      <c r="L824" s="55"/>
      <c r="M824" s="55"/>
    </row>
    <row r="825" spans="3:13" x14ac:dyDescent="0.2">
      <c r="C825" s="49"/>
      <c r="G825" s="2"/>
      <c r="H825" s="2"/>
      <c r="L825" s="55"/>
      <c r="M825" s="55"/>
    </row>
    <row r="826" spans="3:13" x14ac:dyDescent="0.2">
      <c r="C826" s="49"/>
      <c r="G826" s="2"/>
      <c r="H826" s="2"/>
      <c r="L826" s="55"/>
      <c r="M826" s="55"/>
    </row>
    <row r="827" spans="3:13" x14ac:dyDescent="0.2">
      <c r="C827" s="49"/>
      <c r="G827" s="2"/>
      <c r="H827" s="2"/>
      <c r="L827" s="55"/>
      <c r="M827" s="55"/>
    </row>
    <row r="828" spans="3:13" x14ac:dyDescent="0.2">
      <c r="C828" s="49"/>
      <c r="G828" s="2"/>
      <c r="H828" s="2"/>
      <c r="L828" s="55"/>
      <c r="M828" s="55"/>
    </row>
    <row r="829" spans="3:13" x14ac:dyDescent="0.2">
      <c r="C829" s="49"/>
      <c r="G829" s="2"/>
      <c r="H829" s="2"/>
      <c r="L829" s="55"/>
      <c r="M829" s="55"/>
    </row>
    <row r="830" spans="3:13" x14ac:dyDescent="0.2">
      <c r="C830" s="49"/>
      <c r="G830" s="2"/>
      <c r="H830" s="2"/>
      <c r="L830" s="55"/>
      <c r="M830" s="55"/>
    </row>
    <row r="831" spans="3:13" x14ac:dyDescent="0.2">
      <c r="C831" s="49"/>
      <c r="G831" s="2"/>
      <c r="H831" s="2"/>
      <c r="L831" s="55"/>
      <c r="M831" s="55"/>
    </row>
    <row r="832" spans="3:13" x14ac:dyDescent="0.2">
      <c r="C832" s="49"/>
      <c r="G832" s="2"/>
      <c r="H832" s="2"/>
      <c r="L832" s="55"/>
      <c r="M832" s="55"/>
    </row>
    <row r="833" spans="3:13" x14ac:dyDescent="0.2">
      <c r="C833" s="49"/>
      <c r="G833" s="2"/>
      <c r="H833" s="2"/>
      <c r="L833" s="55"/>
      <c r="M833" s="55"/>
    </row>
    <row r="834" spans="3:13" x14ac:dyDescent="0.2">
      <c r="C834" s="49"/>
      <c r="G834" s="2"/>
      <c r="H834" s="2"/>
      <c r="L834" s="55"/>
      <c r="M834" s="55"/>
    </row>
    <row r="835" spans="3:13" x14ac:dyDescent="0.2">
      <c r="C835" s="49"/>
      <c r="G835" s="2"/>
      <c r="H835" s="2"/>
      <c r="L835" s="55"/>
      <c r="M835" s="55"/>
    </row>
    <row r="836" spans="3:13" x14ac:dyDescent="0.2">
      <c r="C836" s="49"/>
      <c r="G836" s="2"/>
      <c r="H836" s="2"/>
      <c r="L836" s="55"/>
      <c r="M836" s="55"/>
    </row>
    <row r="837" spans="3:13" x14ac:dyDescent="0.2">
      <c r="C837" s="49"/>
      <c r="G837" s="2"/>
      <c r="H837" s="2"/>
      <c r="L837" s="55"/>
      <c r="M837" s="55"/>
    </row>
    <row r="838" spans="3:13" x14ac:dyDescent="0.2">
      <c r="C838" s="49"/>
      <c r="G838" s="2"/>
      <c r="H838" s="2"/>
      <c r="L838" s="55"/>
      <c r="M838" s="55"/>
    </row>
    <row r="839" spans="3:13" x14ac:dyDescent="0.2">
      <c r="C839" s="49"/>
      <c r="G839" s="2"/>
      <c r="H839" s="2"/>
      <c r="L839" s="55"/>
      <c r="M839" s="55"/>
    </row>
    <row r="840" spans="3:13" x14ac:dyDescent="0.2">
      <c r="C840" s="49"/>
      <c r="G840" s="2"/>
      <c r="H840" s="2"/>
      <c r="L840" s="55"/>
      <c r="M840" s="55"/>
    </row>
    <row r="841" spans="3:13" x14ac:dyDescent="0.2">
      <c r="C841" s="49"/>
      <c r="G841" s="2"/>
      <c r="H841" s="2"/>
      <c r="L841" s="55"/>
      <c r="M841" s="55"/>
    </row>
    <row r="842" spans="3:13" x14ac:dyDescent="0.2">
      <c r="C842" s="49"/>
      <c r="G842" s="2"/>
      <c r="H842" s="2"/>
      <c r="L842" s="55"/>
      <c r="M842" s="55"/>
    </row>
    <row r="843" spans="3:13" x14ac:dyDescent="0.2">
      <c r="C843" s="49"/>
      <c r="G843" s="2"/>
      <c r="H843" s="2"/>
      <c r="L843" s="55"/>
      <c r="M843" s="55"/>
    </row>
    <row r="844" spans="3:13" x14ac:dyDescent="0.2">
      <c r="C844" s="49"/>
      <c r="G844" s="2"/>
      <c r="H844" s="2"/>
      <c r="L844" s="55"/>
      <c r="M844" s="55"/>
    </row>
    <row r="845" spans="3:13" x14ac:dyDescent="0.2">
      <c r="C845" s="49"/>
      <c r="G845" s="2"/>
      <c r="H845" s="2"/>
      <c r="L845" s="55"/>
      <c r="M845" s="55"/>
    </row>
    <row r="846" spans="3:13" x14ac:dyDescent="0.2">
      <c r="C846" s="49"/>
      <c r="G846" s="2"/>
      <c r="H846" s="2"/>
      <c r="L846" s="55"/>
      <c r="M846" s="55"/>
    </row>
    <row r="847" spans="3:13" x14ac:dyDescent="0.2">
      <c r="C847" s="49"/>
      <c r="G847" s="2"/>
      <c r="H847" s="2"/>
      <c r="L847" s="55"/>
      <c r="M847" s="55"/>
    </row>
    <row r="848" spans="3:13" x14ac:dyDescent="0.2">
      <c r="C848" s="49"/>
      <c r="G848" s="2"/>
      <c r="H848" s="2"/>
      <c r="L848" s="55"/>
      <c r="M848" s="55"/>
    </row>
    <row r="849" spans="3:13" x14ac:dyDescent="0.2">
      <c r="C849" s="49"/>
      <c r="G849" s="2"/>
      <c r="H849" s="2"/>
      <c r="L849" s="55"/>
      <c r="M849" s="55"/>
    </row>
    <row r="850" spans="3:13" x14ac:dyDescent="0.2">
      <c r="C850" s="49"/>
      <c r="G850" s="2"/>
      <c r="H850" s="2"/>
      <c r="L850" s="55"/>
      <c r="M850" s="55"/>
    </row>
    <row r="851" spans="3:13" x14ac:dyDescent="0.2">
      <c r="C851" s="49"/>
      <c r="G851" s="2"/>
      <c r="H851" s="2"/>
      <c r="L851" s="55"/>
      <c r="M851" s="55"/>
    </row>
    <row r="852" spans="3:13" x14ac:dyDescent="0.2">
      <c r="C852" s="49"/>
      <c r="G852" s="2"/>
      <c r="H852" s="2"/>
      <c r="L852" s="55"/>
      <c r="M852" s="55"/>
    </row>
    <row r="853" spans="3:13" x14ac:dyDescent="0.2">
      <c r="C853" s="49"/>
      <c r="G853" s="2"/>
      <c r="H853" s="2"/>
      <c r="L853" s="55"/>
      <c r="M853" s="55"/>
    </row>
    <row r="854" spans="3:13" x14ac:dyDescent="0.2">
      <c r="C854" s="49"/>
      <c r="G854" s="2"/>
      <c r="H854" s="2"/>
      <c r="L854" s="55"/>
      <c r="M854" s="55"/>
    </row>
    <row r="855" spans="3:13" x14ac:dyDescent="0.2">
      <c r="C855" s="49"/>
      <c r="G855" s="2"/>
      <c r="H855" s="2"/>
      <c r="L855" s="55"/>
      <c r="M855" s="55"/>
    </row>
    <row r="856" spans="3:13" x14ac:dyDescent="0.2">
      <c r="C856" s="49"/>
      <c r="G856" s="2"/>
      <c r="H856" s="2"/>
      <c r="L856" s="55"/>
      <c r="M856" s="55"/>
    </row>
    <row r="857" spans="3:13" x14ac:dyDescent="0.2">
      <c r="C857" s="49"/>
      <c r="G857" s="2"/>
      <c r="H857" s="2"/>
      <c r="L857" s="55"/>
      <c r="M857" s="55"/>
    </row>
    <row r="858" spans="3:13" x14ac:dyDescent="0.2">
      <c r="C858" s="49"/>
      <c r="G858" s="2"/>
      <c r="H858" s="2"/>
      <c r="L858" s="55"/>
      <c r="M858" s="55"/>
    </row>
    <row r="859" spans="3:13" x14ac:dyDescent="0.2">
      <c r="C859" s="49"/>
      <c r="G859" s="2"/>
      <c r="H859" s="2"/>
      <c r="L859" s="55"/>
      <c r="M859" s="55"/>
    </row>
    <row r="860" spans="3:13" x14ac:dyDescent="0.2">
      <c r="C860" s="49"/>
      <c r="G860" s="2"/>
      <c r="H860" s="2"/>
      <c r="L860" s="55"/>
      <c r="M860" s="55"/>
    </row>
    <row r="861" spans="3:13" x14ac:dyDescent="0.2">
      <c r="C861" s="49"/>
      <c r="G861" s="2"/>
      <c r="H861" s="2"/>
      <c r="L861" s="55"/>
      <c r="M861" s="55"/>
    </row>
    <row r="862" spans="3:13" x14ac:dyDescent="0.2">
      <c r="C862" s="49"/>
      <c r="G862" s="2"/>
      <c r="H862" s="2"/>
      <c r="L862" s="55"/>
      <c r="M862" s="55"/>
    </row>
    <row r="863" spans="3:13" x14ac:dyDescent="0.2">
      <c r="C863" s="49"/>
      <c r="G863" s="2"/>
      <c r="H863" s="2"/>
      <c r="L863" s="55"/>
      <c r="M863" s="55"/>
    </row>
    <row r="864" spans="3:13" x14ac:dyDescent="0.2">
      <c r="C864" s="49"/>
      <c r="G864" s="2"/>
      <c r="H864" s="2"/>
      <c r="L864" s="55"/>
      <c r="M864" s="55"/>
    </row>
    <row r="865" spans="3:13" x14ac:dyDescent="0.2">
      <c r="C865" s="49"/>
      <c r="G865" s="2"/>
      <c r="H865" s="2"/>
      <c r="L865" s="55"/>
      <c r="M865" s="55"/>
    </row>
    <row r="866" spans="3:13" x14ac:dyDescent="0.2">
      <c r="C866" s="49"/>
      <c r="G866" s="2"/>
      <c r="H866" s="2"/>
      <c r="L866" s="55"/>
      <c r="M866" s="55"/>
    </row>
    <row r="867" spans="3:13" x14ac:dyDescent="0.2">
      <c r="C867" s="49"/>
      <c r="G867" s="2"/>
      <c r="H867" s="2"/>
      <c r="L867" s="55"/>
      <c r="M867" s="55"/>
    </row>
    <row r="868" spans="3:13" x14ac:dyDescent="0.2">
      <c r="C868" s="49"/>
      <c r="G868" s="2"/>
      <c r="H868" s="2"/>
      <c r="L868" s="55"/>
      <c r="M868" s="55"/>
    </row>
    <row r="869" spans="3:13" x14ac:dyDescent="0.2">
      <c r="C869" s="49"/>
      <c r="G869" s="2"/>
      <c r="H869" s="2"/>
      <c r="L869" s="55"/>
      <c r="M869" s="55"/>
    </row>
    <row r="870" spans="3:13" x14ac:dyDescent="0.2">
      <c r="C870" s="49"/>
      <c r="G870" s="2"/>
      <c r="H870" s="2"/>
      <c r="L870" s="55"/>
      <c r="M870" s="55"/>
    </row>
    <row r="871" spans="3:13" x14ac:dyDescent="0.2">
      <c r="C871" s="49"/>
      <c r="G871" s="2"/>
      <c r="H871" s="2"/>
      <c r="L871" s="55"/>
      <c r="M871" s="55"/>
    </row>
    <row r="872" spans="3:13" x14ac:dyDescent="0.2">
      <c r="C872" s="49"/>
      <c r="G872" s="2"/>
      <c r="H872" s="2"/>
      <c r="L872" s="55"/>
      <c r="M872" s="55"/>
    </row>
    <row r="873" spans="3:13" x14ac:dyDescent="0.2">
      <c r="C873" s="49"/>
      <c r="G873" s="2"/>
      <c r="H873" s="2"/>
      <c r="L873" s="55"/>
      <c r="M873" s="55"/>
    </row>
    <row r="874" spans="3:13" x14ac:dyDescent="0.2">
      <c r="C874" s="49"/>
      <c r="G874" s="2"/>
      <c r="H874" s="2"/>
      <c r="L874" s="55"/>
      <c r="M874" s="55"/>
    </row>
    <row r="875" spans="3:13" x14ac:dyDescent="0.2">
      <c r="C875" s="49"/>
      <c r="G875" s="2"/>
      <c r="H875" s="2"/>
      <c r="L875" s="55"/>
      <c r="M875" s="55"/>
    </row>
    <row r="876" spans="3:13" x14ac:dyDescent="0.2">
      <c r="C876" s="49"/>
      <c r="G876" s="2"/>
      <c r="H876" s="2"/>
      <c r="L876" s="55"/>
      <c r="M876" s="55"/>
    </row>
    <row r="877" spans="3:13" x14ac:dyDescent="0.2">
      <c r="C877" s="49"/>
      <c r="G877" s="2"/>
      <c r="H877" s="2"/>
      <c r="L877" s="55"/>
      <c r="M877" s="55"/>
    </row>
    <row r="878" spans="3:13" x14ac:dyDescent="0.2">
      <c r="C878" s="49"/>
      <c r="G878" s="2"/>
      <c r="H878" s="2"/>
      <c r="L878" s="55"/>
      <c r="M878" s="55"/>
    </row>
    <row r="879" spans="3:13" x14ac:dyDescent="0.2">
      <c r="C879" s="49"/>
      <c r="G879" s="2"/>
      <c r="H879" s="2"/>
      <c r="L879" s="55"/>
      <c r="M879" s="55"/>
    </row>
    <row r="880" spans="3:13" x14ac:dyDescent="0.2">
      <c r="C880" s="49"/>
      <c r="G880" s="2"/>
      <c r="H880" s="2"/>
      <c r="L880" s="55"/>
      <c r="M880" s="55"/>
    </row>
    <row r="881" spans="3:13" x14ac:dyDescent="0.2">
      <c r="C881" s="49"/>
      <c r="G881" s="2"/>
      <c r="H881" s="2"/>
      <c r="L881" s="55"/>
      <c r="M881" s="55"/>
    </row>
    <row r="882" spans="3:13" x14ac:dyDescent="0.2">
      <c r="C882" s="49"/>
      <c r="G882" s="2"/>
      <c r="H882" s="2"/>
      <c r="L882" s="55"/>
      <c r="M882" s="55"/>
    </row>
    <row r="883" spans="3:13" x14ac:dyDescent="0.2">
      <c r="C883" s="49"/>
      <c r="G883" s="2"/>
      <c r="H883" s="2"/>
      <c r="L883" s="55"/>
      <c r="M883" s="55"/>
    </row>
    <row r="884" spans="3:13" x14ac:dyDescent="0.2">
      <c r="C884" s="49"/>
      <c r="G884" s="2"/>
      <c r="H884" s="2"/>
      <c r="L884" s="55"/>
      <c r="M884" s="55"/>
    </row>
    <row r="885" spans="3:13" x14ac:dyDescent="0.2">
      <c r="C885" s="49"/>
      <c r="G885" s="2"/>
      <c r="H885" s="2"/>
      <c r="L885" s="55"/>
      <c r="M885" s="55"/>
    </row>
    <row r="886" spans="3:13" x14ac:dyDescent="0.2">
      <c r="C886" s="49"/>
      <c r="G886" s="2"/>
      <c r="H886" s="2"/>
      <c r="L886" s="55"/>
      <c r="M886" s="55"/>
    </row>
    <row r="887" spans="3:13" x14ac:dyDescent="0.2">
      <c r="C887" s="49"/>
      <c r="G887" s="2"/>
      <c r="H887" s="2"/>
      <c r="L887" s="55"/>
      <c r="M887" s="55"/>
    </row>
    <row r="888" spans="3:13" x14ac:dyDescent="0.2">
      <c r="C888" s="49"/>
      <c r="G888" s="2"/>
      <c r="H888" s="2"/>
      <c r="L888" s="55"/>
      <c r="M888" s="55"/>
    </row>
    <row r="889" spans="3:13" x14ac:dyDescent="0.2">
      <c r="C889" s="49"/>
      <c r="G889" s="2"/>
      <c r="H889" s="2"/>
      <c r="L889" s="55"/>
      <c r="M889" s="55"/>
    </row>
    <row r="890" spans="3:13" x14ac:dyDescent="0.2">
      <c r="C890" s="49"/>
      <c r="G890" s="2"/>
      <c r="H890" s="2"/>
      <c r="L890" s="55"/>
      <c r="M890" s="55"/>
    </row>
    <row r="891" spans="3:13" x14ac:dyDescent="0.2">
      <c r="C891" s="49"/>
      <c r="G891" s="2"/>
      <c r="H891" s="2"/>
      <c r="L891" s="55"/>
      <c r="M891" s="55"/>
    </row>
    <row r="892" spans="3:13" x14ac:dyDescent="0.2">
      <c r="C892" s="49"/>
      <c r="G892" s="2"/>
      <c r="H892" s="2"/>
      <c r="L892" s="55"/>
      <c r="M892" s="55"/>
    </row>
    <row r="893" spans="3:13" x14ac:dyDescent="0.2">
      <c r="C893" s="49"/>
      <c r="G893" s="2"/>
      <c r="H893" s="2"/>
      <c r="L893" s="55"/>
      <c r="M893" s="55"/>
    </row>
    <row r="894" spans="3:13" x14ac:dyDescent="0.2">
      <c r="C894" s="49"/>
      <c r="G894" s="2"/>
      <c r="H894" s="2"/>
      <c r="L894" s="55"/>
      <c r="M894" s="55"/>
    </row>
    <row r="895" spans="3:13" x14ac:dyDescent="0.2">
      <c r="C895" s="49"/>
      <c r="G895" s="2"/>
      <c r="H895" s="2"/>
      <c r="L895" s="55"/>
      <c r="M895" s="55"/>
    </row>
    <row r="896" spans="3:13" x14ac:dyDescent="0.2">
      <c r="C896" s="49"/>
      <c r="G896" s="2"/>
      <c r="H896" s="2"/>
      <c r="L896" s="55"/>
      <c r="M896" s="55"/>
    </row>
    <row r="897" spans="3:13" x14ac:dyDescent="0.2">
      <c r="C897" s="49"/>
      <c r="G897" s="2"/>
      <c r="H897" s="2"/>
      <c r="L897" s="55"/>
      <c r="M897" s="55"/>
    </row>
    <row r="898" spans="3:13" x14ac:dyDescent="0.2">
      <c r="C898" s="49"/>
      <c r="G898" s="2"/>
      <c r="H898" s="2"/>
      <c r="L898" s="55"/>
      <c r="M898" s="55"/>
    </row>
    <row r="899" spans="3:13" x14ac:dyDescent="0.2">
      <c r="C899" s="49"/>
      <c r="G899" s="2"/>
      <c r="H899" s="2"/>
      <c r="L899" s="55"/>
      <c r="M899" s="55"/>
    </row>
    <row r="900" spans="3:13" x14ac:dyDescent="0.2">
      <c r="C900" s="49"/>
      <c r="G900" s="2"/>
      <c r="H900" s="2"/>
      <c r="L900" s="55"/>
      <c r="M900" s="55"/>
    </row>
    <row r="901" spans="3:13" x14ac:dyDescent="0.2">
      <c r="C901" s="49"/>
      <c r="G901" s="2"/>
      <c r="H901" s="2"/>
      <c r="L901" s="55"/>
      <c r="M901" s="55"/>
    </row>
    <row r="902" spans="3:13" x14ac:dyDescent="0.2">
      <c r="C902" s="49"/>
      <c r="G902" s="2"/>
      <c r="H902" s="2"/>
      <c r="L902" s="55"/>
      <c r="M902" s="55"/>
    </row>
    <row r="903" spans="3:13" x14ac:dyDescent="0.2">
      <c r="C903" s="49"/>
      <c r="G903" s="2"/>
      <c r="H903" s="2"/>
      <c r="L903" s="55"/>
      <c r="M903" s="55"/>
    </row>
    <row r="904" spans="3:13" x14ac:dyDescent="0.2">
      <c r="C904" s="49"/>
      <c r="G904" s="2"/>
      <c r="H904" s="2"/>
      <c r="L904" s="55"/>
      <c r="M904" s="55"/>
    </row>
    <row r="905" spans="3:13" x14ac:dyDescent="0.2">
      <c r="C905" s="49"/>
      <c r="G905" s="2"/>
      <c r="H905" s="2"/>
      <c r="L905" s="55"/>
      <c r="M905" s="55"/>
    </row>
    <row r="906" spans="3:13" x14ac:dyDescent="0.2">
      <c r="C906" s="49"/>
      <c r="G906" s="2"/>
      <c r="H906" s="2"/>
      <c r="L906" s="55"/>
      <c r="M906" s="55"/>
    </row>
    <row r="907" spans="3:13" x14ac:dyDescent="0.2">
      <c r="C907" s="49"/>
      <c r="G907" s="2"/>
      <c r="H907" s="2"/>
      <c r="L907" s="55"/>
      <c r="M907" s="55"/>
    </row>
    <row r="908" spans="3:13" x14ac:dyDescent="0.2">
      <c r="C908" s="49"/>
      <c r="G908" s="2"/>
      <c r="H908" s="2"/>
      <c r="L908" s="55"/>
      <c r="M908" s="55"/>
    </row>
    <row r="909" spans="3:13" x14ac:dyDescent="0.2">
      <c r="C909" s="49"/>
      <c r="G909" s="2"/>
      <c r="H909" s="2"/>
      <c r="L909" s="55"/>
      <c r="M909" s="55"/>
    </row>
    <row r="910" spans="3:13" x14ac:dyDescent="0.2">
      <c r="C910" s="49"/>
      <c r="G910" s="2"/>
      <c r="H910" s="2"/>
      <c r="L910" s="55"/>
      <c r="M910" s="55"/>
    </row>
    <row r="911" spans="3:13" x14ac:dyDescent="0.2">
      <c r="C911" s="49"/>
      <c r="G911" s="2"/>
      <c r="H911" s="2"/>
      <c r="L911" s="55"/>
      <c r="M911" s="55"/>
    </row>
    <row r="912" spans="3:13" x14ac:dyDescent="0.2">
      <c r="C912" s="49"/>
      <c r="G912" s="2"/>
      <c r="H912" s="2"/>
      <c r="L912" s="55"/>
      <c r="M912" s="55"/>
    </row>
    <row r="913" spans="3:13" x14ac:dyDescent="0.2">
      <c r="C913" s="49"/>
      <c r="G913" s="2"/>
      <c r="H913" s="2"/>
      <c r="L913" s="55"/>
      <c r="M913" s="55"/>
    </row>
    <row r="914" spans="3:13" x14ac:dyDescent="0.2">
      <c r="C914" s="49"/>
      <c r="G914" s="2"/>
      <c r="H914" s="2"/>
      <c r="L914" s="55"/>
      <c r="M914" s="55"/>
    </row>
    <row r="915" spans="3:13" x14ac:dyDescent="0.2">
      <c r="C915" s="49"/>
      <c r="G915" s="2"/>
      <c r="H915" s="2"/>
      <c r="L915" s="55"/>
      <c r="M915" s="55"/>
    </row>
    <row r="916" spans="3:13" x14ac:dyDescent="0.2">
      <c r="C916" s="49"/>
      <c r="G916" s="2"/>
      <c r="H916" s="2"/>
      <c r="L916" s="55"/>
      <c r="M916" s="55"/>
    </row>
    <row r="917" spans="3:13" x14ac:dyDescent="0.2">
      <c r="C917" s="49"/>
      <c r="G917" s="2"/>
      <c r="H917" s="2"/>
      <c r="L917" s="55"/>
      <c r="M917" s="55"/>
    </row>
    <row r="918" spans="3:13" x14ac:dyDescent="0.2">
      <c r="C918" s="49"/>
      <c r="G918" s="2"/>
      <c r="H918" s="2"/>
      <c r="L918" s="55"/>
      <c r="M918" s="55"/>
    </row>
    <row r="919" spans="3:13" x14ac:dyDescent="0.2">
      <c r="C919" s="49"/>
      <c r="G919" s="2"/>
      <c r="H919" s="2"/>
      <c r="L919" s="55"/>
      <c r="M919" s="55"/>
    </row>
    <row r="920" spans="3:13" x14ac:dyDescent="0.2">
      <c r="C920" s="49"/>
      <c r="G920" s="2"/>
      <c r="H920" s="2"/>
      <c r="L920" s="55"/>
      <c r="M920" s="55"/>
    </row>
    <row r="921" spans="3:13" x14ac:dyDescent="0.2">
      <c r="C921" s="49"/>
      <c r="G921" s="2"/>
      <c r="H921" s="2"/>
      <c r="L921" s="55"/>
      <c r="M921" s="55"/>
    </row>
    <row r="922" spans="3:13" x14ac:dyDescent="0.2">
      <c r="C922" s="49"/>
      <c r="G922" s="2"/>
      <c r="H922" s="2"/>
      <c r="L922" s="55"/>
      <c r="M922" s="55"/>
    </row>
    <row r="923" spans="3:13" x14ac:dyDescent="0.2">
      <c r="C923" s="49"/>
      <c r="G923" s="2"/>
      <c r="H923" s="2"/>
      <c r="L923" s="55"/>
      <c r="M923" s="55"/>
    </row>
    <row r="924" spans="3:13" x14ac:dyDescent="0.2">
      <c r="C924" s="49"/>
      <c r="G924" s="2"/>
      <c r="H924" s="2"/>
      <c r="L924" s="55"/>
      <c r="M924" s="55"/>
    </row>
    <row r="925" spans="3:13" x14ac:dyDescent="0.2">
      <c r="C925" s="49"/>
      <c r="G925" s="2"/>
      <c r="H925" s="2"/>
      <c r="L925" s="55"/>
      <c r="M925" s="55"/>
    </row>
    <row r="926" spans="3:13" x14ac:dyDescent="0.2">
      <c r="C926" s="49"/>
      <c r="G926" s="2"/>
      <c r="H926" s="2"/>
      <c r="L926" s="55"/>
      <c r="M926" s="55"/>
    </row>
    <row r="927" spans="3:13" x14ac:dyDescent="0.2">
      <c r="C927" s="49"/>
      <c r="G927" s="2"/>
      <c r="H927" s="2"/>
      <c r="L927" s="55"/>
      <c r="M927" s="55"/>
    </row>
    <row r="928" spans="3:13" x14ac:dyDescent="0.2">
      <c r="C928" s="49"/>
      <c r="G928" s="2"/>
      <c r="H928" s="2"/>
      <c r="L928" s="55"/>
      <c r="M928" s="55"/>
    </row>
    <row r="929" spans="3:13" x14ac:dyDescent="0.2">
      <c r="C929" s="49"/>
      <c r="G929" s="2"/>
      <c r="H929" s="2"/>
      <c r="L929" s="55"/>
      <c r="M929" s="55"/>
    </row>
    <row r="930" spans="3:13" x14ac:dyDescent="0.2">
      <c r="C930" s="49"/>
      <c r="G930" s="2"/>
      <c r="H930" s="2"/>
      <c r="L930" s="55"/>
      <c r="M930" s="55"/>
    </row>
    <row r="931" spans="3:13" x14ac:dyDescent="0.2">
      <c r="C931" s="49"/>
      <c r="G931" s="2"/>
      <c r="H931" s="2"/>
      <c r="L931" s="55"/>
      <c r="M931" s="55"/>
    </row>
    <row r="932" spans="3:13" x14ac:dyDescent="0.2">
      <c r="C932" s="49"/>
      <c r="G932" s="2"/>
      <c r="H932" s="2"/>
      <c r="L932" s="55"/>
      <c r="M932" s="55"/>
    </row>
    <row r="933" spans="3:13" x14ac:dyDescent="0.2">
      <c r="C933" s="49"/>
      <c r="G933" s="2"/>
      <c r="H933" s="2"/>
      <c r="L933" s="55"/>
      <c r="M933" s="55"/>
    </row>
    <row r="934" spans="3:13" x14ac:dyDescent="0.2">
      <c r="C934" s="49"/>
      <c r="G934" s="2"/>
      <c r="H934" s="2"/>
      <c r="L934" s="55"/>
      <c r="M934" s="55"/>
    </row>
    <row r="935" spans="3:13" x14ac:dyDescent="0.2">
      <c r="C935" s="49"/>
      <c r="G935" s="2"/>
      <c r="H935" s="2"/>
      <c r="L935" s="55"/>
      <c r="M935" s="55"/>
    </row>
    <row r="936" spans="3:13" x14ac:dyDescent="0.2">
      <c r="C936" s="49"/>
      <c r="G936" s="2"/>
      <c r="H936" s="2"/>
      <c r="L936" s="55"/>
      <c r="M936" s="55"/>
    </row>
    <row r="937" spans="3:13" x14ac:dyDescent="0.2">
      <c r="C937" s="49"/>
      <c r="G937" s="2"/>
      <c r="H937" s="2"/>
      <c r="L937" s="55"/>
      <c r="M937" s="55"/>
    </row>
    <row r="938" spans="3:13" x14ac:dyDescent="0.2">
      <c r="C938" s="49"/>
      <c r="G938" s="2"/>
      <c r="H938" s="2"/>
      <c r="L938" s="55"/>
      <c r="M938" s="55"/>
    </row>
    <row r="939" spans="3:13" x14ac:dyDescent="0.2">
      <c r="C939" s="49"/>
      <c r="G939" s="2"/>
      <c r="H939" s="2"/>
      <c r="L939" s="55"/>
      <c r="M939" s="55"/>
    </row>
    <row r="940" spans="3:13" x14ac:dyDescent="0.2">
      <c r="C940" s="49"/>
      <c r="G940" s="2"/>
      <c r="H940" s="2"/>
      <c r="L940" s="55"/>
      <c r="M940" s="55"/>
    </row>
    <row r="941" spans="3:13" x14ac:dyDescent="0.2">
      <c r="C941" s="49"/>
      <c r="G941" s="2"/>
      <c r="H941" s="2"/>
      <c r="L941" s="55"/>
      <c r="M941" s="55"/>
    </row>
    <row r="942" spans="3:13" x14ac:dyDescent="0.2">
      <c r="C942" s="49"/>
      <c r="G942" s="2"/>
      <c r="H942" s="2"/>
      <c r="L942" s="55"/>
      <c r="M942" s="55"/>
    </row>
    <row r="943" spans="3:13" x14ac:dyDescent="0.2">
      <c r="C943" s="49"/>
      <c r="G943" s="2"/>
      <c r="H943" s="2"/>
      <c r="L943" s="55"/>
      <c r="M943" s="55"/>
    </row>
    <row r="944" spans="3:13" x14ac:dyDescent="0.2">
      <c r="C944" s="49"/>
      <c r="G944" s="2"/>
      <c r="H944" s="2"/>
      <c r="L944" s="55"/>
      <c r="M944" s="55"/>
    </row>
    <row r="945" spans="3:13" x14ac:dyDescent="0.2">
      <c r="C945" s="49"/>
      <c r="G945" s="2"/>
      <c r="H945" s="2"/>
      <c r="L945" s="55"/>
      <c r="M945" s="55"/>
    </row>
    <row r="946" spans="3:13" x14ac:dyDescent="0.2">
      <c r="C946" s="49"/>
      <c r="G946" s="2"/>
      <c r="H946" s="2"/>
      <c r="L946" s="55"/>
      <c r="M946" s="55"/>
    </row>
    <row r="947" spans="3:13" x14ac:dyDescent="0.2">
      <c r="C947" s="49"/>
      <c r="G947" s="2"/>
      <c r="H947" s="2"/>
      <c r="L947" s="55"/>
      <c r="M947" s="55"/>
    </row>
    <row r="948" spans="3:13" x14ac:dyDescent="0.2">
      <c r="C948" s="49"/>
      <c r="G948" s="2"/>
      <c r="H948" s="2"/>
      <c r="L948" s="55"/>
      <c r="M948" s="55"/>
    </row>
    <row r="949" spans="3:13" x14ac:dyDescent="0.2">
      <c r="C949" s="49"/>
      <c r="G949" s="2"/>
      <c r="H949" s="2"/>
      <c r="L949" s="55"/>
      <c r="M949" s="55"/>
    </row>
    <row r="950" spans="3:13" x14ac:dyDescent="0.2">
      <c r="C950" s="49"/>
      <c r="G950" s="2"/>
      <c r="H950" s="2"/>
      <c r="L950" s="55"/>
      <c r="M950" s="55"/>
    </row>
    <row r="951" spans="3:13" x14ac:dyDescent="0.2">
      <c r="C951" s="49"/>
      <c r="G951" s="2"/>
      <c r="H951" s="2"/>
      <c r="L951" s="55"/>
      <c r="M951" s="55"/>
    </row>
    <row r="952" spans="3:13" x14ac:dyDescent="0.2">
      <c r="C952" s="49"/>
      <c r="G952" s="2"/>
      <c r="H952" s="2"/>
      <c r="L952" s="55"/>
      <c r="M952" s="55"/>
    </row>
    <row r="953" spans="3:13" x14ac:dyDescent="0.2">
      <c r="C953" s="49"/>
      <c r="G953" s="2"/>
      <c r="H953" s="2"/>
      <c r="L953" s="55"/>
      <c r="M953" s="55"/>
    </row>
    <row r="954" spans="3:13" x14ac:dyDescent="0.2">
      <c r="C954" s="49"/>
      <c r="G954" s="2"/>
      <c r="H954" s="2"/>
      <c r="L954" s="55"/>
      <c r="M954" s="55"/>
    </row>
    <row r="955" spans="3:13" x14ac:dyDescent="0.2">
      <c r="C955" s="49"/>
      <c r="G955" s="2"/>
      <c r="H955" s="2"/>
      <c r="L955" s="55"/>
      <c r="M955" s="55"/>
    </row>
    <row r="956" spans="3:13" x14ac:dyDescent="0.2">
      <c r="C956" s="49"/>
      <c r="G956" s="2"/>
      <c r="H956" s="2"/>
      <c r="L956" s="55"/>
      <c r="M956" s="55"/>
    </row>
    <row r="957" spans="3:13" x14ac:dyDescent="0.2">
      <c r="C957" s="49"/>
      <c r="G957" s="2"/>
      <c r="H957" s="2"/>
      <c r="L957" s="55"/>
      <c r="M957" s="55"/>
    </row>
    <row r="958" spans="3:13" x14ac:dyDescent="0.2">
      <c r="C958" s="49"/>
      <c r="G958" s="2"/>
      <c r="H958" s="2"/>
      <c r="L958" s="55"/>
      <c r="M958" s="55"/>
    </row>
    <row r="959" spans="3:13" x14ac:dyDescent="0.2">
      <c r="C959" s="49"/>
      <c r="G959" s="2"/>
      <c r="H959" s="2"/>
      <c r="L959" s="55"/>
      <c r="M959" s="55"/>
    </row>
    <row r="960" spans="3:13" x14ac:dyDescent="0.2">
      <c r="C960" s="49"/>
      <c r="G960" s="2"/>
      <c r="H960" s="2"/>
      <c r="L960" s="55"/>
      <c r="M960" s="55"/>
    </row>
    <row r="961" spans="3:13" x14ac:dyDescent="0.2">
      <c r="C961" s="49"/>
      <c r="G961" s="2"/>
      <c r="H961" s="2"/>
      <c r="L961" s="55"/>
      <c r="M961" s="55"/>
    </row>
    <row r="962" spans="3:13" x14ac:dyDescent="0.2">
      <c r="C962" s="49"/>
      <c r="G962" s="2"/>
      <c r="H962" s="2"/>
      <c r="L962" s="55"/>
      <c r="M962" s="55"/>
    </row>
    <row r="963" spans="3:13" x14ac:dyDescent="0.2">
      <c r="C963" s="49"/>
      <c r="G963" s="2"/>
      <c r="H963" s="2"/>
      <c r="L963" s="55"/>
      <c r="M963" s="55"/>
    </row>
    <row r="964" spans="3:13" x14ac:dyDescent="0.2">
      <c r="C964" s="49"/>
      <c r="G964" s="2"/>
      <c r="H964" s="2"/>
      <c r="L964" s="55"/>
      <c r="M964" s="55"/>
    </row>
    <row r="965" spans="3:13" x14ac:dyDescent="0.2">
      <c r="C965" s="49"/>
      <c r="G965" s="2"/>
      <c r="H965" s="2"/>
      <c r="L965" s="55"/>
      <c r="M965" s="55"/>
    </row>
    <row r="966" spans="3:13" x14ac:dyDescent="0.2">
      <c r="C966" s="49"/>
      <c r="G966" s="2"/>
      <c r="H966" s="2"/>
      <c r="L966" s="55"/>
      <c r="M966" s="55"/>
    </row>
    <row r="967" spans="3:13" x14ac:dyDescent="0.2">
      <c r="C967" s="49"/>
      <c r="G967" s="2"/>
      <c r="H967" s="2"/>
      <c r="L967" s="55"/>
      <c r="M967" s="55"/>
    </row>
    <row r="968" spans="3:13" x14ac:dyDescent="0.2">
      <c r="C968" s="49"/>
      <c r="G968" s="2"/>
      <c r="H968" s="2"/>
      <c r="L968" s="55"/>
      <c r="M968" s="55"/>
    </row>
    <row r="969" spans="3:13" x14ac:dyDescent="0.2">
      <c r="C969" s="49"/>
      <c r="G969" s="2"/>
      <c r="H969" s="2"/>
      <c r="L969" s="55"/>
      <c r="M969" s="55"/>
    </row>
    <row r="970" spans="3:13" x14ac:dyDescent="0.2">
      <c r="C970" s="49"/>
      <c r="G970" s="2"/>
      <c r="H970" s="2"/>
      <c r="L970" s="55"/>
      <c r="M970" s="55"/>
    </row>
    <row r="971" spans="3:13" x14ac:dyDescent="0.2">
      <c r="C971" s="49"/>
      <c r="G971" s="2"/>
      <c r="H971" s="2"/>
      <c r="L971" s="55"/>
      <c r="M971" s="55"/>
    </row>
    <row r="972" spans="3:13" x14ac:dyDescent="0.2">
      <c r="C972" s="49"/>
      <c r="G972" s="2"/>
      <c r="H972" s="2"/>
      <c r="L972" s="55"/>
      <c r="M972" s="55"/>
    </row>
    <row r="973" spans="3:13" x14ac:dyDescent="0.2">
      <c r="C973" s="49"/>
      <c r="G973" s="2"/>
      <c r="H973" s="2"/>
      <c r="L973" s="55"/>
      <c r="M973" s="55"/>
    </row>
    <row r="974" spans="3:13" x14ac:dyDescent="0.2">
      <c r="C974" s="49"/>
      <c r="G974" s="2"/>
      <c r="H974" s="2"/>
      <c r="L974" s="55"/>
      <c r="M974" s="55"/>
    </row>
    <row r="975" spans="3:13" x14ac:dyDescent="0.2">
      <c r="C975" s="49"/>
      <c r="G975" s="2"/>
      <c r="H975" s="2"/>
      <c r="L975" s="55"/>
      <c r="M975" s="55"/>
    </row>
    <row r="976" spans="3:13" x14ac:dyDescent="0.2">
      <c r="C976" s="49"/>
      <c r="G976" s="2"/>
      <c r="H976" s="2"/>
      <c r="L976" s="55"/>
      <c r="M976" s="55"/>
    </row>
    <row r="977" spans="3:13" x14ac:dyDescent="0.2">
      <c r="C977" s="49"/>
      <c r="G977" s="2"/>
      <c r="H977" s="2"/>
      <c r="L977" s="55"/>
      <c r="M977" s="55"/>
    </row>
    <row r="978" spans="3:13" x14ac:dyDescent="0.2">
      <c r="C978" s="49"/>
      <c r="G978" s="2"/>
      <c r="H978" s="2"/>
      <c r="L978" s="55"/>
      <c r="M978" s="55"/>
    </row>
    <row r="979" spans="3:13" x14ac:dyDescent="0.2">
      <c r="C979" s="49"/>
      <c r="G979" s="2"/>
      <c r="H979" s="2"/>
      <c r="L979" s="55"/>
      <c r="M979" s="55"/>
    </row>
    <row r="980" spans="3:13" x14ac:dyDescent="0.2">
      <c r="C980" s="49"/>
      <c r="G980" s="2"/>
      <c r="H980" s="2"/>
      <c r="L980" s="55"/>
      <c r="M980" s="55"/>
    </row>
    <row r="981" spans="3:13" x14ac:dyDescent="0.2">
      <c r="C981" s="49"/>
      <c r="G981" s="2"/>
      <c r="H981" s="2"/>
      <c r="L981" s="55"/>
      <c r="M981" s="55"/>
    </row>
    <row r="982" spans="3:13" x14ac:dyDescent="0.2">
      <c r="C982" s="49"/>
      <c r="G982" s="2"/>
      <c r="H982" s="2"/>
      <c r="L982" s="55"/>
      <c r="M982" s="55"/>
    </row>
    <row r="983" spans="3:13" x14ac:dyDescent="0.2">
      <c r="C983" s="49"/>
      <c r="G983" s="2"/>
      <c r="H983" s="2"/>
      <c r="L983" s="55"/>
      <c r="M983" s="55"/>
    </row>
    <row r="984" spans="3:13" x14ac:dyDescent="0.2">
      <c r="C984" s="49"/>
      <c r="G984" s="2"/>
      <c r="H984" s="2"/>
      <c r="L984" s="55"/>
      <c r="M984" s="55"/>
    </row>
    <row r="985" spans="3:13" x14ac:dyDescent="0.2">
      <c r="C985" s="49"/>
      <c r="G985" s="2"/>
      <c r="H985" s="2"/>
      <c r="L985" s="55"/>
      <c r="M985" s="55"/>
    </row>
    <row r="986" spans="3:13" x14ac:dyDescent="0.2">
      <c r="C986" s="49"/>
      <c r="G986" s="2"/>
      <c r="H986" s="2"/>
      <c r="L986" s="55"/>
      <c r="M986" s="55"/>
    </row>
    <row r="987" spans="3:13" x14ac:dyDescent="0.2">
      <c r="C987" s="49"/>
      <c r="G987" s="2"/>
      <c r="H987" s="2"/>
      <c r="L987" s="55"/>
      <c r="M987" s="55"/>
    </row>
    <row r="988" spans="3:13" x14ac:dyDescent="0.2">
      <c r="C988" s="49"/>
      <c r="G988" s="2"/>
      <c r="H988" s="2"/>
      <c r="L988" s="55"/>
      <c r="M988" s="55"/>
    </row>
    <row r="989" spans="3:13" x14ac:dyDescent="0.2">
      <c r="C989" s="49"/>
      <c r="G989" s="2"/>
      <c r="H989" s="2"/>
      <c r="L989" s="55"/>
      <c r="M989" s="55"/>
    </row>
    <row r="990" spans="3:13" x14ac:dyDescent="0.2">
      <c r="C990" s="49"/>
      <c r="G990" s="2"/>
      <c r="H990" s="2"/>
      <c r="L990" s="55"/>
      <c r="M990" s="55"/>
    </row>
    <row r="991" spans="3:13" x14ac:dyDescent="0.2">
      <c r="C991" s="49"/>
      <c r="G991" s="2"/>
      <c r="H991" s="2"/>
      <c r="L991" s="55"/>
      <c r="M991" s="55"/>
    </row>
    <row r="992" spans="3:13" x14ac:dyDescent="0.2">
      <c r="C992" s="49"/>
      <c r="G992" s="2"/>
      <c r="H992" s="2"/>
      <c r="L992" s="55"/>
      <c r="M992" s="55"/>
    </row>
    <row r="993" spans="3:13" x14ac:dyDescent="0.2">
      <c r="C993" s="49"/>
      <c r="G993" s="2"/>
      <c r="H993" s="2"/>
      <c r="L993" s="55"/>
      <c r="M993" s="55"/>
    </row>
    <row r="994" spans="3:13" x14ac:dyDescent="0.2">
      <c r="C994" s="49"/>
      <c r="G994" s="2"/>
      <c r="H994" s="2"/>
      <c r="L994" s="55"/>
      <c r="M994" s="55"/>
    </row>
    <row r="995" spans="3:13" x14ac:dyDescent="0.2">
      <c r="C995" s="49"/>
      <c r="G995" s="2"/>
      <c r="H995" s="2"/>
      <c r="L995" s="55"/>
      <c r="M995" s="55"/>
    </row>
    <row r="996" spans="3:13" x14ac:dyDescent="0.2">
      <c r="C996" s="49"/>
      <c r="G996" s="2"/>
      <c r="H996" s="2"/>
      <c r="L996" s="55"/>
      <c r="M996" s="55"/>
    </row>
    <row r="997" spans="3:13" x14ac:dyDescent="0.2">
      <c r="C997" s="49"/>
      <c r="G997" s="2"/>
      <c r="H997" s="2"/>
      <c r="L997" s="55"/>
      <c r="M997" s="55"/>
    </row>
    <row r="998" spans="3:13" x14ac:dyDescent="0.2">
      <c r="C998" s="49"/>
      <c r="G998" s="2"/>
      <c r="H998" s="2"/>
      <c r="L998" s="55"/>
      <c r="M998" s="55"/>
    </row>
    <row r="999" spans="3:13" x14ac:dyDescent="0.2">
      <c r="C999" s="49"/>
      <c r="G999" s="2"/>
      <c r="H999" s="2"/>
      <c r="L999" s="55"/>
      <c r="M999" s="55"/>
    </row>
    <row r="1000" spans="3:13" x14ac:dyDescent="0.2">
      <c r="C1000" s="49"/>
      <c r="G1000" s="2"/>
      <c r="H1000" s="2"/>
      <c r="L1000" s="55"/>
      <c r="M1000" s="55"/>
    </row>
    <row r="1001" spans="3:13" x14ac:dyDescent="0.2">
      <c r="C1001" s="49"/>
      <c r="G1001" s="2"/>
      <c r="H1001" s="2"/>
      <c r="L1001" s="55"/>
      <c r="M1001" s="55"/>
    </row>
    <row r="1002" spans="3:13" x14ac:dyDescent="0.2">
      <c r="C1002" s="49"/>
      <c r="G1002" s="2"/>
      <c r="H1002" s="2"/>
      <c r="L1002" s="55"/>
      <c r="M1002" s="55"/>
    </row>
    <row r="1003" spans="3:13" x14ac:dyDescent="0.2">
      <c r="C1003" s="49"/>
      <c r="G1003" s="2"/>
      <c r="H1003" s="2"/>
      <c r="L1003" s="55"/>
      <c r="M1003" s="55"/>
    </row>
    <row r="1004" spans="3:13" x14ac:dyDescent="0.2">
      <c r="C1004" s="49"/>
      <c r="G1004" s="2"/>
      <c r="H1004" s="2"/>
      <c r="L1004" s="55"/>
      <c r="M1004" s="55"/>
    </row>
    <row r="1005" spans="3:13" x14ac:dyDescent="0.2">
      <c r="C1005" s="49"/>
      <c r="G1005" s="2"/>
      <c r="H1005" s="2"/>
      <c r="L1005" s="55"/>
      <c r="M1005" s="55"/>
    </row>
    <row r="1006" spans="3:13" x14ac:dyDescent="0.2">
      <c r="C1006" s="49"/>
      <c r="G1006" s="2"/>
      <c r="H1006" s="2"/>
      <c r="L1006" s="55"/>
      <c r="M1006" s="55"/>
    </row>
    <row r="1007" spans="3:13" x14ac:dyDescent="0.2">
      <c r="C1007" s="49"/>
      <c r="G1007" s="2"/>
      <c r="H1007" s="2"/>
      <c r="L1007" s="55"/>
      <c r="M1007" s="55"/>
    </row>
    <row r="1008" spans="3:13" x14ac:dyDescent="0.2">
      <c r="C1008" s="49"/>
      <c r="G1008" s="2"/>
      <c r="H1008" s="2"/>
      <c r="L1008" s="55"/>
      <c r="M1008" s="55"/>
    </row>
    <row r="1009" spans="3:13" x14ac:dyDescent="0.2">
      <c r="C1009" s="49"/>
      <c r="G1009" s="2"/>
      <c r="H1009" s="2"/>
      <c r="L1009" s="55"/>
      <c r="M1009" s="55"/>
    </row>
    <row r="1010" spans="3:13" x14ac:dyDescent="0.2">
      <c r="C1010" s="49"/>
      <c r="G1010" s="2"/>
      <c r="H1010" s="2"/>
      <c r="L1010" s="55"/>
      <c r="M1010" s="55"/>
    </row>
    <row r="1011" spans="3:13" x14ac:dyDescent="0.2">
      <c r="C1011" s="49"/>
      <c r="G1011" s="2"/>
      <c r="H1011" s="2"/>
      <c r="L1011" s="55"/>
      <c r="M1011" s="55"/>
    </row>
    <row r="1012" spans="3:13" x14ac:dyDescent="0.2">
      <c r="C1012" s="49"/>
      <c r="G1012" s="2"/>
      <c r="H1012" s="2"/>
      <c r="L1012" s="55"/>
      <c r="M1012" s="55"/>
    </row>
    <row r="1013" spans="3:13" x14ac:dyDescent="0.2">
      <c r="C1013" s="49"/>
      <c r="G1013" s="2"/>
      <c r="H1013" s="2"/>
      <c r="L1013" s="55"/>
      <c r="M1013" s="55"/>
    </row>
    <row r="1014" spans="3:13" x14ac:dyDescent="0.2">
      <c r="C1014" s="49"/>
      <c r="G1014" s="2"/>
      <c r="H1014" s="2"/>
      <c r="L1014" s="55"/>
      <c r="M1014" s="55"/>
    </row>
    <row r="1015" spans="3:13" x14ac:dyDescent="0.2">
      <c r="C1015" s="49"/>
      <c r="G1015" s="2"/>
      <c r="H1015" s="2"/>
      <c r="L1015" s="55"/>
      <c r="M1015" s="55"/>
    </row>
    <row r="1016" spans="3:13" x14ac:dyDescent="0.2">
      <c r="C1016" s="49"/>
      <c r="G1016" s="2"/>
      <c r="H1016" s="2"/>
      <c r="L1016" s="55"/>
      <c r="M1016" s="55"/>
    </row>
    <row r="1017" spans="3:13" x14ac:dyDescent="0.2">
      <c r="C1017" s="49"/>
      <c r="G1017" s="2"/>
      <c r="H1017" s="2"/>
      <c r="L1017" s="55"/>
      <c r="M1017" s="55"/>
    </row>
    <row r="1018" spans="3:13" x14ac:dyDescent="0.2">
      <c r="C1018" s="49"/>
      <c r="G1018" s="2"/>
      <c r="H1018" s="2"/>
      <c r="L1018" s="55"/>
      <c r="M1018" s="55"/>
    </row>
    <row r="1019" spans="3:13" x14ac:dyDescent="0.2">
      <c r="C1019" s="49"/>
      <c r="G1019" s="2"/>
      <c r="H1019" s="2"/>
      <c r="L1019" s="55"/>
      <c r="M1019" s="55"/>
    </row>
    <row r="1020" spans="3:13" x14ac:dyDescent="0.2">
      <c r="C1020" s="49"/>
      <c r="G1020" s="2"/>
      <c r="H1020" s="2"/>
      <c r="L1020" s="55"/>
      <c r="M1020" s="55"/>
    </row>
    <row r="1021" spans="3:13" x14ac:dyDescent="0.2">
      <c r="C1021" s="49"/>
      <c r="G1021" s="2"/>
      <c r="H1021" s="2"/>
      <c r="L1021" s="55"/>
      <c r="M1021" s="55"/>
    </row>
    <row r="1022" spans="3:13" x14ac:dyDescent="0.2">
      <c r="C1022" s="49"/>
      <c r="G1022" s="2"/>
      <c r="H1022" s="2"/>
      <c r="L1022" s="55"/>
      <c r="M1022" s="55"/>
    </row>
    <row r="1023" spans="3:13" x14ac:dyDescent="0.2">
      <c r="C1023" s="49"/>
      <c r="G1023" s="2"/>
      <c r="H1023" s="2"/>
      <c r="L1023" s="55"/>
      <c r="M1023" s="55"/>
    </row>
    <row r="1024" spans="3:13" x14ac:dyDescent="0.2">
      <c r="C1024" s="49"/>
      <c r="G1024" s="2"/>
      <c r="H1024" s="2"/>
      <c r="L1024" s="55"/>
      <c r="M1024" s="55"/>
    </row>
    <row r="1025" spans="3:13" x14ac:dyDescent="0.2">
      <c r="C1025" s="49"/>
      <c r="G1025" s="2"/>
      <c r="H1025" s="2"/>
      <c r="L1025" s="55"/>
      <c r="M1025" s="55"/>
    </row>
    <row r="1026" spans="3:13" x14ac:dyDescent="0.2">
      <c r="C1026" s="49"/>
      <c r="G1026" s="2"/>
      <c r="H1026" s="2"/>
      <c r="L1026" s="55"/>
      <c r="M1026" s="55"/>
    </row>
    <row r="1027" spans="3:13" x14ac:dyDescent="0.2">
      <c r="C1027" s="49"/>
      <c r="G1027" s="2"/>
      <c r="H1027" s="2"/>
      <c r="L1027" s="55"/>
      <c r="M1027" s="55"/>
    </row>
    <row r="1028" spans="3:13" x14ac:dyDescent="0.2">
      <c r="C1028" s="49"/>
      <c r="G1028" s="2"/>
      <c r="H1028" s="2"/>
      <c r="L1028" s="55"/>
      <c r="M1028" s="55"/>
    </row>
    <row r="1029" spans="3:13" x14ac:dyDescent="0.2">
      <c r="C1029" s="49"/>
      <c r="G1029" s="2"/>
      <c r="H1029" s="2"/>
      <c r="L1029" s="55"/>
      <c r="M1029" s="55"/>
    </row>
    <row r="1030" spans="3:13" x14ac:dyDescent="0.2">
      <c r="C1030" s="49"/>
      <c r="G1030" s="2"/>
      <c r="H1030" s="2"/>
      <c r="L1030" s="55"/>
      <c r="M1030" s="55"/>
    </row>
    <row r="1031" spans="3:13" x14ac:dyDescent="0.2">
      <c r="C1031" s="49"/>
      <c r="G1031" s="2"/>
      <c r="H1031" s="2"/>
      <c r="L1031" s="55"/>
      <c r="M1031" s="55"/>
    </row>
    <row r="1032" spans="3:13" x14ac:dyDescent="0.2">
      <c r="C1032" s="49"/>
      <c r="G1032" s="2"/>
      <c r="H1032" s="2"/>
      <c r="L1032" s="55"/>
      <c r="M1032" s="55"/>
    </row>
    <row r="1033" spans="3:13" x14ac:dyDescent="0.2">
      <c r="C1033" s="49"/>
      <c r="G1033" s="2"/>
      <c r="H1033" s="2"/>
      <c r="L1033" s="55"/>
      <c r="M1033" s="55"/>
    </row>
    <row r="1034" spans="3:13" x14ac:dyDescent="0.2">
      <c r="C1034" s="49"/>
      <c r="G1034" s="2"/>
      <c r="H1034" s="2"/>
      <c r="L1034" s="55"/>
      <c r="M1034" s="55"/>
    </row>
    <row r="1035" spans="3:13" x14ac:dyDescent="0.2">
      <c r="C1035" s="49"/>
      <c r="G1035" s="2"/>
      <c r="H1035" s="2"/>
      <c r="L1035" s="55"/>
      <c r="M1035" s="55"/>
    </row>
    <row r="1036" spans="3:13" x14ac:dyDescent="0.2">
      <c r="C1036" s="49"/>
      <c r="G1036" s="2"/>
      <c r="H1036" s="2"/>
      <c r="L1036" s="55"/>
      <c r="M1036" s="55"/>
    </row>
    <row r="1037" spans="3:13" x14ac:dyDescent="0.2">
      <c r="C1037" s="49"/>
      <c r="G1037" s="2"/>
      <c r="H1037" s="2"/>
      <c r="L1037" s="55"/>
      <c r="M1037" s="55"/>
    </row>
    <row r="1038" spans="3:13" x14ac:dyDescent="0.2">
      <c r="C1038" s="49"/>
      <c r="G1038" s="2"/>
      <c r="H1038" s="2"/>
      <c r="L1038" s="55"/>
      <c r="M1038" s="55"/>
    </row>
    <row r="1039" spans="3:13" x14ac:dyDescent="0.2">
      <c r="C1039" s="49"/>
      <c r="G1039" s="2"/>
      <c r="H1039" s="2"/>
      <c r="L1039" s="55"/>
      <c r="M1039" s="55"/>
    </row>
    <row r="1040" spans="3:13" x14ac:dyDescent="0.2">
      <c r="C1040" s="49"/>
      <c r="G1040" s="2"/>
      <c r="H1040" s="2"/>
      <c r="L1040" s="55"/>
      <c r="M1040" s="55"/>
    </row>
    <row r="1041" spans="3:13" x14ac:dyDescent="0.2">
      <c r="C1041" s="49"/>
      <c r="G1041" s="2"/>
      <c r="H1041" s="2"/>
      <c r="L1041" s="55"/>
      <c r="M1041" s="55"/>
    </row>
    <row r="1042" spans="3:13" x14ac:dyDescent="0.2">
      <c r="C1042" s="49"/>
      <c r="G1042" s="2"/>
      <c r="H1042" s="2"/>
      <c r="L1042" s="55"/>
      <c r="M1042" s="55"/>
    </row>
    <row r="1043" spans="3:13" x14ac:dyDescent="0.2">
      <c r="C1043" s="49"/>
      <c r="G1043" s="2"/>
      <c r="H1043" s="2"/>
      <c r="L1043" s="55"/>
      <c r="M1043" s="55"/>
    </row>
    <row r="1044" spans="3:13" x14ac:dyDescent="0.2">
      <c r="C1044" s="49"/>
      <c r="G1044" s="2"/>
      <c r="H1044" s="2"/>
      <c r="L1044" s="55"/>
      <c r="M1044" s="55"/>
    </row>
    <row r="1045" spans="3:13" x14ac:dyDescent="0.2">
      <c r="C1045" s="49"/>
      <c r="G1045" s="2"/>
      <c r="H1045" s="2"/>
      <c r="L1045" s="55"/>
      <c r="M1045" s="55"/>
    </row>
    <row r="1046" spans="3:13" x14ac:dyDescent="0.2">
      <c r="C1046" s="49"/>
      <c r="G1046" s="2"/>
      <c r="H1046" s="2"/>
      <c r="L1046" s="55"/>
      <c r="M1046" s="55"/>
    </row>
    <row r="1047" spans="3:13" x14ac:dyDescent="0.2">
      <c r="C1047" s="49"/>
      <c r="G1047" s="2"/>
      <c r="H1047" s="2"/>
      <c r="L1047" s="55"/>
      <c r="M1047" s="55"/>
    </row>
    <row r="1048" spans="3:13" x14ac:dyDescent="0.2">
      <c r="C1048" s="49"/>
      <c r="G1048" s="2"/>
      <c r="H1048" s="2"/>
      <c r="L1048" s="55"/>
      <c r="M1048" s="55"/>
    </row>
    <row r="1049" spans="3:13" x14ac:dyDescent="0.2">
      <c r="C1049" s="49"/>
      <c r="G1049" s="2"/>
      <c r="H1049" s="2"/>
      <c r="L1049" s="55"/>
      <c r="M1049" s="55"/>
    </row>
    <row r="1050" spans="3:13" x14ac:dyDescent="0.2">
      <c r="C1050" s="49"/>
      <c r="G1050" s="2"/>
      <c r="H1050" s="2"/>
      <c r="L1050" s="55"/>
      <c r="M1050" s="55"/>
    </row>
    <row r="1051" spans="3:13" x14ac:dyDescent="0.2">
      <c r="C1051" s="49"/>
      <c r="G1051" s="2"/>
      <c r="H1051" s="2"/>
      <c r="L1051" s="55"/>
      <c r="M1051" s="55"/>
    </row>
    <row r="1052" spans="3:13" x14ac:dyDescent="0.2">
      <c r="C1052" s="49"/>
      <c r="G1052" s="2"/>
      <c r="H1052" s="2"/>
      <c r="L1052" s="55"/>
      <c r="M1052" s="55"/>
    </row>
    <row r="1053" spans="3:13" x14ac:dyDescent="0.2">
      <c r="C1053" s="49"/>
      <c r="G1053" s="2"/>
      <c r="H1053" s="2"/>
      <c r="L1053" s="55"/>
      <c r="M1053" s="55"/>
    </row>
    <row r="1054" spans="3:13" x14ac:dyDescent="0.2">
      <c r="C1054" s="49"/>
      <c r="G1054" s="2"/>
      <c r="H1054" s="2"/>
      <c r="L1054" s="55"/>
      <c r="M1054" s="55"/>
    </row>
    <row r="1055" spans="3:13" x14ac:dyDescent="0.2">
      <c r="C1055" s="49"/>
      <c r="G1055" s="2"/>
      <c r="H1055" s="2"/>
      <c r="L1055" s="55"/>
      <c r="M1055" s="55"/>
    </row>
    <row r="1056" spans="3:13" x14ac:dyDescent="0.2">
      <c r="C1056" s="49"/>
      <c r="G1056" s="2"/>
      <c r="H1056" s="2"/>
      <c r="L1056" s="55"/>
      <c r="M1056" s="55"/>
    </row>
    <row r="1057" spans="3:13" x14ac:dyDescent="0.2">
      <c r="C1057" s="49"/>
      <c r="G1057" s="2"/>
      <c r="H1057" s="2"/>
      <c r="L1057" s="55"/>
      <c r="M1057" s="55"/>
    </row>
    <row r="1058" spans="3:13" x14ac:dyDescent="0.2">
      <c r="C1058" s="49"/>
      <c r="G1058" s="2"/>
      <c r="H1058" s="2"/>
      <c r="L1058" s="55"/>
      <c r="M1058" s="55"/>
    </row>
    <row r="1059" spans="3:13" x14ac:dyDescent="0.2">
      <c r="C1059" s="49"/>
      <c r="G1059" s="2"/>
      <c r="H1059" s="2"/>
      <c r="L1059" s="55"/>
      <c r="M1059" s="55"/>
    </row>
    <row r="1060" spans="3:13" x14ac:dyDescent="0.2">
      <c r="C1060" s="49"/>
      <c r="G1060" s="2"/>
      <c r="H1060" s="2"/>
      <c r="L1060" s="55"/>
      <c r="M1060" s="55"/>
    </row>
    <row r="1061" spans="3:13" x14ac:dyDescent="0.2">
      <c r="C1061" s="49"/>
      <c r="G1061" s="2"/>
      <c r="H1061" s="2"/>
      <c r="L1061" s="55"/>
      <c r="M1061" s="55"/>
    </row>
    <row r="1062" spans="3:13" x14ac:dyDescent="0.2">
      <c r="C1062" s="49"/>
      <c r="G1062" s="2"/>
      <c r="H1062" s="2"/>
      <c r="L1062" s="55"/>
      <c r="M1062" s="55"/>
    </row>
    <row r="1063" spans="3:13" x14ac:dyDescent="0.2">
      <c r="C1063" s="49"/>
      <c r="G1063" s="2"/>
      <c r="H1063" s="2"/>
      <c r="L1063" s="55"/>
      <c r="M1063" s="55"/>
    </row>
    <row r="1064" spans="3:13" x14ac:dyDescent="0.2">
      <c r="C1064" s="49"/>
      <c r="G1064" s="2"/>
      <c r="H1064" s="2"/>
      <c r="L1064" s="55"/>
      <c r="M1064" s="55"/>
    </row>
    <row r="1065" spans="3:13" x14ac:dyDescent="0.2">
      <c r="C1065" s="49"/>
      <c r="G1065" s="2"/>
      <c r="H1065" s="2"/>
      <c r="L1065" s="55"/>
      <c r="M1065" s="55"/>
    </row>
    <row r="1066" spans="3:13" x14ac:dyDescent="0.2">
      <c r="C1066" s="49"/>
      <c r="G1066" s="2"/>
      <c r="H1066" s="2"/>
      <c r="L1066" s="55"/>
      <c r="M1066" s="55"/>
    </row>
    <row r="1067" spans="3:13" x14ac:dyDescent="0.2">
      <c r="C1067" s="49"/>
      <c r="G1067" s="2"/>
      <c r="H1067" s="2"/>
      <c r="L1067" s="55"/>
      <c r="M1067" s="55"/>
    </row>
    <row r="1068" spans="3:13" x14ac:dyDescent="0.2">
      <c r="C1068" s="49"/>
      <c r="G1068" s="2"/>
      <c r="H1068" s="2"/>
      <c r="L1068" s="55"/>
      <c r="M1068" s="55"/>
    </row>
    <row r="1069" spans="3:13" x14ac:dyDescent="0.2">
      <c r="C1069" s="49"/>
      <c r="G1069" s="2"/>
      <c r="H1069" s="2"/>
      <c r="L1069" s="55"/>
      <c r="M1069" s="55"/>
    </row>
    <row r="1070" spans="3:13" x14ac:dyDescent="0.2">
      <c r="C1070" s="49"/>
      <c r="G1070" s="2"/>
      <c r="H1070" s="2"/>
      <c r="L1070" s="55"/>
      <c r="M1070" s="55"/>
    </row>
    <row r="1071" spans="3:13" x14ac:dyDescent="0.2">
      <c r="C1071" s="49"/>
      <c r="G1071" s="2"/>
      <c r="H1071" s="2"/>
      <c r="L1071" s="55"/>
      <c r="M1071" s="55"/>
    </row>
    <row r="1072" spans="3:13" x14ac:dyDescent="0.2">
      <c r="C1072" s="49"/>
      <c r="G1072" s="2"/>
      <c r="H1072" s="2"/>
      <c r="L1072" s="55"/>
      <c r="M1072" s="55"/>
    </row>
    <row r="1073" spans="3:13" x14ac:dyDescent="0.2">
      <c r="C1073" s="49"/>
      <c r="G1073" s="2"/>
      <c r="H1073" s="2"/>
      <c r="L1073" s="55"/>
      <c r="M1073" s="55"/>
    </row>
    <row r="1074" spans="3:13" x14ac:dyDescent="0.2">
      <c r="C1074" s="49"/>
      <c r="G1074" s="2"/>
      <c r="H1074" s="2"/>
      <c r="L1074" s="55"/>
      <c r="M1074" s="55"/>
    </row>
    <row r="1075" spans="3:13" x14ac:dyDescent="0.2">
      <c r="C1075" s="49"/>
      <c r="G1075" s="2"/>
      <c r="H1075" s="2"/>
      <c r="L1075" s="55"/>
      <c r="M1075" s="55"/>
    </row>
    <row r="1076" spans="3:13" x14ac:dyDescent="0.2">
      <c r="C1076" s="49"/>
      <c r="G1076" s="2"/>
      <c r="H1076" s="2"/>
      <c r="L1076" s="55"/>
      <c r="M1076" s="55"/>
    </row>
    <row r="1077" spans="3:13" x14ac:dyDescent="0.2">
      <c r="C1077" s="49"/>
      <c r="G1077" s="2"/>
      <c r="H1077" s="2"/>
      <c r="L1077" s="55"/>
      <c r="M1077" s="55"/>
    </row>
    <row r="1078" spans="3:13" x14ac:dyDescent="0.2">
      <c r="C1078" s="49"/>
      <c r="G1078" s="2"/>
      <c r="H1078" s="2"/>
      <c r="L1078" s="55"/>
      <c r="M1078" s="55"/>
    </row>
    <row r="1079" spans="3:13" x14ac:dyDescent="0.2">
      <c r="C1079" s="49"/>
      <c r="G1079" s="2"/>
      <c r="H1079" s="2"/>
      <c r="L1079" s="55"/>
      <c r="M1079" s="55"/>
    </row>
    <row r="1080" spans="3:13" x14ac:dyDescent="0.2">
      <c r="C1080" s="49"/>
      <c r="G1080" s="2"/>
      <c r="H1080" s="2"/>
      <c r="L1080" s="55"/>
      <c r="M1080" s="55"/>
    </row>
    <row r="1081" spans="3:13" x14ac:dyDescent="0.2">
      <c r="C1081" s="49"/>
      <c r="G1081" s="2"/>
      <c r="H1081" s="2"/>
      <c r="L1081" s="55"/>
      <c r="M1081" s="55"/>
    </row>
    <row r="1082" spans="3:13" x14ac:dyDescent="0.2">
      <c r="C1082" s="49"/>
      <c r="G1082" s="2"/>
      <c r="H1082" s="2"/>
      <c r="L1082" s="55"/>
      <c r="M1082" s="55"/>
    </row>
    <row r="1083" spans="3:13" x14ac:dyDescent="0.2">
      <c r="C1083" s="49"/>
      <c r="G1083" s="2"/>
      <c r="H1083" s="2"/>
      <c r="L1083" s="55"/>
      <c r="M1083" s="55"/>
    </row>
    <row r="1084" spans="3:13" x14ac:dyDescent="0.2">
      <c r="C1084" s="49"/>
      <c r="G1084" s="2"/>
      <c r="H1084" s="2"/>
      <c r="L1084" s="55"/>
      <c r="M1084" s="55"/>
    </row>
    <row r="1085" spans="3:13" x14ac:dyDescent="0.2">
      <c r="C1085" s="49"/>
      <c r="G1085" s="2"/>
      <c r="H1085" s="2"/>
      <c r="L1085" s="55"/>
      <c r="M1085" s="55"/>
    </row>
    <row r="1086" spans="3:13" x14ac:dyDescent="0.2">
      <c r="C1086" s="49"/>
      <c r="G1086" s="2"/>
      <c r="H1086" s="2"/>
      <c r="L1086" s="55"/>
      <c r="M1086" s="55"/>
    </row>
    <row r="1087" spans="3:13" x14ac:dyDescent="0.2">
      <c r="C1087" s="49"/>
      <c r="G1087" s="2"/>
      <c r="H1087" s="2"/>
      <c r="L1087" s="55"/>
      <c r="M1087" s="55"/>
    </row>
    <row r="1088" spans="3:13" x14ac:dyDescent="0.2">
      <c r="C1088" s="49"/>
      <c r="G1088" s="2"/>
      <c r="H1088" s="2"/>
      <c r="L1088" s="55"/>
      <c r="M1088" s="55"/>
    </row>
    <row r="1089" spans="3:13" x14ac:dyDescent="0.2">
      <c r="C1089" s="49"/>
      <c r="G1089" s="2"/>
      <c r="H1089" s="2"/>
      <c r="L1089" s="55"/>
      <c r="M1089" s="55"/>
    </row>
    <row r="1090" spans="3:13" x14ac:dyDescent="0.2">
      <c r="C1090" s="49"/>
      <c r="G1090" s="2"/>
      <c r="H1090" s="2"/>
      <c r="L1090" s="55"/>
      <c r="M1090" s="55"/>
    </row>
    <row r="1091" spans="3:13" x14ac:dyDescent="0.2">
      <c r="C1091" s="49"/>
      <c r="G1091" s="2"/>
      <c r="H1091" s="2"/>
      <c r="L1091" s="55"/>
      <c r="M1091" s="55"/>
    </row>
    <row r="1092" spans="3:13" x14ac:dyDescent="0.2">
      <c r="C1092" s="49"/>
      <c r="G1092" s="2"/>
      <c r="H1092" s="2"/>
      <c r="L1092" s="55"/>
      <c r="M1092" s="55"/>
    </row>
    <row r="1093" spans="3:13" x14ac:dyDescent="0.2">
      <c r="C1093" s="49"/>
      <c r="G1093" s="2"/>
      <c r="H1093" s="2"/>
      <c r="L1093" s="55"/>
      <c r="M1093" s="55"/>
    </row>
    <row r="1094" spans="3:13" x14ac:dyDescent="0.2">
      <c r="C1094" s="49"/>
      <c r="G1094" s="2"/>
      <c r="H1094" s="2"/>
      <c r="L1094" s="55"/>
      <c r="M1094" s="55"/>
    </row>
    <row r="1095" spans="3:13" x14ac:dyDescent="0.2">
      <c r="C1095" s="49"/>
      <c r="G1095" s="2"/>
      <c r="H1095" s="2"/>
      <c r="L1095" s="55"/>
      <c r="M1095" s="55"/>
    </row>
    <row r="1096" spans="3:13" x14ac:dyDescent="0.2">
      <c r="C1096" s="49"/>
      <c r="G1096" s="2"/>
      <c r="H1096" s="2"/>
      <c r="L1096" s="55"/>
      <c r="M1096" s="55"/>
    </row>
    <row r="1097" spans="3:13" x14ac:dyDescent="0.2">
      <c r="C1097" s="49"/>
      <c r="G1097" s="2"/>
      <c r="H1097" s="2"/>
      <c r="L1097" s="55"/>
      <c r="M1097" s="55"/>
    </row>
    <row r="1098" spans="3:13" x14ac:dyDescent="0.2">
      <c r="C1098" s="49"/>
      <c r="G1098" s="2"/>
      <c r="H1098" s="2"/>
      <c r="L1098" s="55"/>
      <c r="M1098" s="55"/>
    </row>
    <row r="1099" spans="3:13" x14ac:dyDescent="0.2">
      <c r="C1099" s="49"/>
      <c r="G1099" s="2"/>
      <c r="H1099" s="2"/>
      <c r="L1099" s="55"/>
      <c r="M1099" s="55"/>
    </row>
    <row r="1100" spans="3:13" x14ac:dyDescent="0.2">
      <c r="C1100" s="49"/>
      <c r="G1100" s="2"/>
      <c r="H1100" s="2"/>
      <c r="L1100" s="55"/>
      <c r="M1100" s="55"/>
    </row>
    <row r="1101" spans="3:13" x14ac:dyDescent="0.2">
      <c r="C1101" s="49"/>
      <c r="G1101" s="2"/>
      <c r="H1101" s="2"/>
      <c r="L1101" s="55"/>
      <c r="M1101" s="55"/>
    </row>
    <row r="1102" spans="3:13" x14ac:dyDescent="0.2">
      <c r="C1102" s="49"/>
      <c r="G1102" s="2"/>
      <c r="H1102" s="2"/>
      <c r="L1102" s="55"/>
      <c r="M1102" s="55"/>
    </row>
    <row r="1103" spans="3:13" x14ac:dyDescent="0.2">
      <c r="C1103" s="49"/>
      <c r="G1103" s="2"/>
      <c r="H1103" s="2"/>
      <c r="L1103" s="55"/>
      <c r="M1103" s="55"/>
    </row>
    <row r="1104" spans="3:13" x14ac:dyDescent="0.2">
      <c r="C1104" s="49"/>
      <c r="G1104" s="2"/>
      <c r="H1104" s="2"/>
      <c r="L1104" s="55"/>
      <c r="M1104" s="55"/>
    </row>
    <row r="1105" spans="3:13" x14ac:dyDescent="0.2">
      <c r="C1105" s="49"/>
      <c r="G1105" s="2"/>
      <c r="H1105" s="2"/>
      <c r="L1105" s="55"/>
      <c r="M1105" s="55"/>
    </row>
    <row r="1106" spans="3:13" x14ac:dyDescent="0.2">
      <c r="C1106" s="49"/>
      <c r="G1106" s="2"/>
      <c r="H1106" s="2"/>
      <c r="L1106" s="55"/>
      <c r="M1106" s="55"/>
    </row>
    <row r="1107" spans="3:13" x14ac:dyDescent="0.2">
      <c r="C1107" s="49"/>
      <c r="G1107" s="2"/>
      <c r="H1107" s="2"/>
      <c r="L1107" s="55"/>
      <c r="M1107" s="55"/>
    </row>
    <row r="1108" spans="3:13" x14ac:dyDescent="0.2">
      <c r="C1108" s="49"/>
      <c r="G1108" s="2"/>
      <c r="H1108" s="2"/>
      <c r="L1108" s="55"/>
      <c r="M1108" s="55"/>
    </row>
    <row r="1109" spans="3:13" x14ac:dyDescent="0.2">
      <c r="C1109" s="49"/>
      <c r="G1109" s="2"/>
      <c r="H1109" s="2"/>
      <c r="L1109" s="55"/>
      <c r="M1109" s="55"/>
    </row>
    <row r="1110" spans="3:13" x14ac:dyDescent="0.2">
      <c r="C1110" s="49"/>
      <c r="G1110" s="2"/>
      <c r="H1110" s="2"/>
      <c r="L1110" s="55"/>
      <c r="M1110" s="55"/>
    </row>
    <row r="1111" spans="3:13" x14ac:dyDescent="0.2">
      <c r="C1111" s="49"/>
      <c r="G1111" s="2"/>
      <c r="H1111" s="2"/>
      <c r="L1111" s="55"/>
      <c r="M1111" s="55"/>
    </row>
    <row r="1112" spans="3:13" x14ac:dyDescent="0.2">
      <c r="C1112" s="49"/>
      <c r="G1112" s="2"/>
      <c r="H1112" s="2"/>
      <c r="L1112" s="55"/>
      <c r="M1112" s="55"/>
    </row>
    <row r="1113" spans="3:13" x14ac:dyDescent="0.2">
      <c r="C1113" s="49"/>
      <c r="G1113" s="2"/>
      <c r="H1113" s="2"/>
      <c r="L1113" s="55"/>
      <c r="M1113" s="55"/>
    </row>
    <row r="1114" spans="3:13" x14ac:dyDescent="0.2">
      <c r="C1114" s="49"/>
      <c r="G1114" s="2"/>
      <c r="H1114" s="2"/>
      <c r="L1114" s="55"/>
      <c r="M1114" s="55"/>
    </row>
    <row r="1115" spans="3:13" x14ac:dyDescent="0.2">
      <c r="C1115" s="49"/>
      <c r="G1115" s="2"/>
      <c r="H1115" s="2"/>
      <c r="L1115" s="55"/>
      <c r="M1115" s="55"/>
    </row>
    <row r="1116" spans="3:13" x14ac:dyDescent="0.2">
      <c r="C1116" s="49"/>
      <c r="G1116" s="2"/>
      <c r="H1116" s="2"/>
      <c r="L1116" s="55"/>
      <c r="M1116" s="55"/>
    </row>
    <row r="1117" spans="3:13" x14ac:dyDescent="0.2">
      <c r="C1117" s="49"/>
      <c r="G1117" s="2"/>
      <c r="H1117" s="2"/>
      <c r="L1117" s="55"/>
      <c r="M1117" s="55"/>
    </row>
    <row r="1118" spans="3:13" x14ac:dyDescent="0.2">
      <c r="C1118" s="49"/>
      <c r="G1118" s="2"/>
      <c r="H1118" s="2"/>
      <c r="L1118" s="55"/>
      <c r="M1118" s="55"/>
    </row>
    <row r="1119" spans="3:13" x14ac:dyDescent="0.2">
      <c r="C1119" s="49"/>
      <c r="G1119" s="2"/>
      <c r="H1119" s="2"/>
      <c r="L1119" s="55"/>
      <c r="M1119" s="55"/>
    </row>
    <row r="1120" spans="3:13" x14ac:dyDescent="0.2">
      <c r="C1120" s="49"/>
      <c r="G1120" s="2"/>
      <c r="H1120" s="2"/>
      <c r="L1120" s="55"/>
      <c r="M1120" s="55"/>
    </row>
    <row r="1121" spans="3:13" x14ac:dyDescent="0.2">
      <c r="C1121" s="49"/>
      <c r="G1121" s="2"/>
      <c r="H1121" s="2"/>
      <c r="L1121" s="55"/>
      <c r="M1121" s="55"/>
    </row>
    <row r="1122" spans="3:13" x14ac:dyDescent="0.2">
      <c r="C1122" s="49"/>
      <c r="G1122" s="2"/>
      <c r="H1122" s="2"/>
      <c r="L1122" s="55"/>
      <c r="M1122" s="55"/>
    </row>
    <row r="1123" spans="3:13" x14ac:dyDescent="0.2">
      <c r="C1123" s="49"/>
      <c r="G1123" s="2"/>
      <c r="H1123" s="2"/>
      <c r="L1123" s="55"/>
      <c r="M1123" s="55"/>
    </row>
    <row r="1124" spans="3:13" x14ac:dyDescent="0.2">
      <c r="C1124" s="49"/>
      <c r="G1124" s="2"/>
      <c r="H1124" s="2"/>
      <c r="L1124" s="55"/>
      <c r="M1124" s="55"/>
    </row>
    <row r="1125" spans="3:13" x14ac:dyDescent="0.2">
      <c r="C1125" s="49"/>
      <c r="G1125" s="2"/>
      <c r="H1125" s="2"/>
      <c r="L1125" s="55"/>
      <c r="M1125" s="55"/>
    </row>
    <row r="1126" spans="3:13" x14ac:dyDescent="0.2">
      <c r="C1126" s="49"/>
      <c r="G1126" s="2"/>
      <c r="H1126" s="2"/>
      <c r="L1126" s="55"/>
      <c r="M1126" s="55"/>
    </row>
    <row r="1127" spans="3:13" x14ac:dyDescent="0.2">
      <c r="C1127" s="49"/>
      <c r="G1127" s="2"/>
      <c r="H1127" s="2"/>
      <c r="L1127" s="55"/>
      <c r="M1127" s="55"/>
    </row>
    <row r="1128" spans="3:13" x14ac:dyDescent="0.2">
      <c r="C1128" s="49"/>
      <c r="G1128" s="2"/>
      <c r="H1128" s="2"/>
      <c r="L1128" s="55"/>
      <c r="M1128" s="55"/>
    </row>
    <row r="1129" spans="3:13" x14ac:dyDescent="0.2">
      <c r="C1129" s="49"/>
      <c r="G1129" s="2"/>
      <c r="H1129" s="2"/>
      <c r="L1129" s="55"/>
      <c r="M1129" s="55"/>
    </row>
    <row r="1130" spans="3:13" x14ac:dyDescent="0.2">
      <c r="C1130" s="49"/>
      <c r="G1130" s="2"/>
      <c r="H1130" s="2"/>
      <c r="L1130" s="55"/>
      <c r="M1130" s="55"/>
    </row>
    <row r="1131" spans="3:13" x14ac:dyDescent="0.2">
      <c r="C1131" s="49"/>
      <c r="G1131" s="2"/>
      <c r="H1131" s="2"/>
      <c r="L1131" s="55"/>
      <c r="M1131" s="55"/>
    </row>
    <row r="1132" spans="3:13" x14ac:dyDescent="0.2">
      <c r="C1132" s="49"/>
      <c r="G1132" s="2"/>
      <c r="H1132" s="2"/>
      <c r="L1132" s="55"/>
      <c r="M1132" s="55"/>
    </row>
    <row r="1133" spans="3:13" x14ac:dyDescent="0.2">
      <c r="C1133" s="49"/>
      <c r="G1133" s="2"/>
      <c r="H1133" s="2"/>
      <c r="L1133" s="55"/>
      <c r="M1133" s="55"/>
    </row>
    <row r="1134" spans="3:13" x14ac:dyDescent="0.2">
      <c r="C1134" s="49"/>
      <c r="G1134" s="2"/>
      <c r="H1134" s="2"/>
      <c r="L1134" s="55"/>
      <c r="M1134" s="55"/>
    </row>
    <row r="1135" spans="3:13" x14ac:dyDescent="0.2">
      <c r="C1135" s="49"/>
      <c r="G1135" s="2"/>
      <c r="H1135" s="2"/>
      <c r="L1135" s="55"/>
      <c r="M1135" s="55"/>
    </row>
    <row r="1136" spans="3:13" x14ac:dyDescent="0.2">
      <c r="C1136" s="49"/>
      <c r="G1136" s="2"/>
      <c r="H1136" s="2"/>
      <c r="L1136" s="55"/>
      <c r="M1136" s="55"/>
    </row>
    <row r="1137" spans="3:13" x14ac:dyDescent="0.2">
      <c r="C1137" s="49"/>
      <c r="G1137" s="2"/>
      <c r="H1137" s="2"/>
      <c r="L1137" s="55"/>
      <c r="M1137" s="55"/>
    </row>
    <row r="1138" spans="3:13" x14ac:dyDescent="0.2">
      <c r="C1138" s="49"/>
      <c r="G1138" s="2"/>
      <c r="H1138" s="2"/>
      <c r="L1138" s="55"/>
      <c r="M1138" s="55"/>
    </row>
    <row r="1139" spans="3:13" x14ac:dyDescent="0.2">
      <c r="C1139" s="49"/>
      <c r="G1139" s="2"/>
      <c r="H1139" s="2"/>
      <c r="L1139" s="55"/>
      <c r="M1139" s="55"/>
    </row>
    <row r="1140" spans="3:13" x14ac:dyDescent="0.2">
      <c r="C1140" s="49"/>
      <c r="G1140" s="2"/>
      <c r="H1140" s="2"/>
      <c r="L1140" s="55"/>
      <c r="M1140" s="55"/>
    </row>
    <row r="1141" spans="3:13" x14ac:dyDescent="0.2">
      <c r="C1141" s="49"/>
      <c r="G1141" s="2"/>
      <c r="H1141" s="2"/>
      <c r="L1141" s="55"/>
      <c r="M1141" s="55"/>
    </row>
    <row r="1142" spans="3:13" x14ac:dyDescent="0.2">
      <c r="C1142" s="49"/>
      <c r="G1142" s="2"/>
      <c r="H1142" s="2"/>
      <c r="L1142" s="55"/>
      <c r="M1142" s="55"/>
    </row>
    <row r="1143" spans="3:13" x14ac:dyDescent="0.2">
      <c r="C1143" s="49"/>
      <c r="G1143" s="2"/>
      <c r="H1143" s="2"/>
      <c r="L1143" s="55"/>
      <c r="M1143" s="55"/>
    </row>
    <row r="1144" spans="3:13" x14ac:dyDescent="0.2">
      <c r="C1144" s="49"/>
      <c r="G1144" s="2"/>
      <c r="H1144" s="2"/>
      <c r="L1144" s="55"/>
      <c r="M1144" s="55"/>
    </row>
    <row r="1145" spans="3:13" x14ac:dyDescent="0.2">
      <c r="C1145" s="49"/>
      <c r="G1145" s="2"/>
      <c r="H1145" s="2"/>
      <c r="L1145" s="55"/>
      <c r="M1145" s="55"/>
    </row>
    <row r="1146" spans="3:13" x14ac:dyDescent="0.2">
      <c r="C1146" s="49"/>
      <c r="G1146" s="2"/>
      <c r="H1146" s="2"/>
      <c r="L1146" s="55"/>
      <c r="M1146" s="55"/>
    </row>
    <row r="1147" spans="3:13" x14ac:dyDescent="0.2">
      <c r="C1147" s="49"/>
      <c r="G1147" s="2"/>
      <c r="H1147" s="2"/>
      <c r="L1147" s="55"/>
      <c r="M1147" s="55"/>
    </row>
    <row r="1148" spans="3:13" x14ac:dyDescent="0.2">
      <c r="C1148" s="49"/>
      <c r="G1148" s="2"/>
      <c r="H1148" s="2"/>
      <c r="L1148" s="55"/>
      <c r="M1148" s="55"/>
    </row>
    <row r="1149" spans="3:13" x14ac:dyDescent="0.2">
      <c r="C1149" s="49"/>
      <c r="G1149" s="2"/>
      <c r="H1149" s="2"/>
      <c r="L1149" s="55"/>
      <c r="M1149" s="55"/>
    </row>
    <row r="1150" spans="3:13" x14ac:dyDescent="0.2">
      <c r="C1150" s="49"/>
      <c r="G1150" s="2"/>
      <c r="H1150" s="2"/>
      <c r="L1150" s="55"/>
      <c r="M1150" s="55"/>
    </row>
    <row r="1151" spans="3:13" x14ac:dyDescent="0.2">
      <c r="C1151" s="49"/>
      <c r="G1151" s="2"/>
      <c r="H1151" s="2"/>
      <c r="L1151" s="55"/>
      <c r="M1151" s="55"/>
    </row>
    <row r="1152" spans="3:13" x14ac:dyDescent="0.2">
      <c r="C1152" s="49"/>
      <c r="G1152" s="2"/>
      <c r="H1152" s="2"/>
      <c r="L1152" s="55"/>
      <c r="M1152" s="55"/>
    </row>
    <row r="1153" spans="3:13" x14ac:dyDescent="0.2">
      <c r="C1153" s="49"/>
      <c r="G1153" s="2"/>
      <c r="H1153" s="2"/>
      <c r="L1153" s="55"/>
      <c r="M1153" s="55"/>
    </row>
    <row r="1154" spans="3:13" x14ac:dyDescent="0.2">
      <c r="C1154" s="49"/>
      <c r="G1154" s="2"/>
      <c r="H1154" s="2"/>
      <c r="L1154" s="55"/>
      <c r="M1154" s="55"/>
    </row>
    <row r="1155" spans="3:13" x14ac:dyDescent="0.2">
      <c r="C1155" s="49"/>
      <c r="G1155" s="2"/>
      <c r="H1155" s="2"/>
      <c r="L1155" s="55"/>
      <c r="M1155" s="55"/>
    </row>
    <row r="1156" spans="3:13" x14ac:dyDescent="0.2">
      <c r="C1156" s="49"/>
      <c r="G1156" s="2"/>
      <c r="H1156" s="2"/>
      <c r="L1156" s="55"/>
      <c r="M1156" s="55"/>
    </row>
    <row r="1157" spans="3:13" x14ac:dyDescent="0.2">
      <c r="C1157" s="49"/>
      <c r="G1157" s="2"/>
      <c r="H1157" s="2"/>
      <c r="L1157" s="55"/>
      <c r="M1157" s="55"/>
    </row>
    <row r="1158" spans="3:13" x14ac:dyDescent="0.2">
      <c r="C1158" s="49"/>
      <c r="G1158" s="2"/>
      <c r="H1158" s="2"/>
      <c r="L1158" s="55"/>
      <c r="M1158" s="55"/>
    </row>
    <row r="1159" spans="3:13" x14ac:dyDescent="0.2">
      <c r="C1159" s="49"/>
      <c r="G1159" s="2"/>
      <c r="H1159" s="2"/>
      <c r="L1159" s="55"/>
      <c r="M1159" s="55"/>
    </row>
    <row r="1160" spans="3:13" x14ac:dyDescent="0.2">
      <c r="C1160" s="49"/>
      <c r="G1160" s="2"/>
      <c r="H1160" s="2"/>
      <c r="L1160" s="55"/>
      <c r="M1160" s="55"/>
    </row>
    <row r="1161" spans="3:13" x14ac:dyDescent="0.2">
      <c r="C1161" s="49"/>
      <c r="G1161" s="2"/>
      <c r="H1161" s="2"/>
      <c r="L1161" s="55"/>
      <c r="M1161" s="55"/>
    </row>
    <row r="1162" spans="3:13" x14ac:dyDescent="0.2">
      <c r="C1162" s="49"/>
      <c r="G1162" s="2"/>
      <c r="H1162" s="2"/>
      <c r="L1162" s="55"/>
      <c r="M1162" s="55"/>
    </row>
    <row r="1163" spans="3:13" x14ac:dyDescent="0.2">
      <c r="C1163" s="49"/>
      <c r="G1163" s="2"/>
      <c r="H1163" s="2"/>
      <c r="L1163" s="55"/>
      <c r="M1163" s="55"/>
    </row>
    <row r="1164" spans="3:13" x14ac:dyDescent="0.2">
      <c r="C1164" s="49"/>
      <c r="G1164" s="2"/>
      <c r="H1164" s="2"/>
      <c r="L1164" s="55"/>
      <c r="M1164" s="55"/>
    </row>
    <row r="1165" spans="3:13" x14ac:dyDescent="0.2">
      <c r="C1165" s="49"/>
      <c r="G1165" s="2"/>
      <c r="H1165" s="2"/>
      <c r="L1165" s="55"/>
      <c r="M1165" s="55"/>
    </row>
    <row r="1166" spans="3:13" x14ac:dyDescent="0.2">
      <c r="C1166" s="49"/>
      <c r="G1166" s="2"/>
      <c r="H1166" s="2"/>
      <c r="L1166" s="55"/>
      <c r="M1166" s="55"/>
    </row>
    <row r="1167" spans="3:13" x14ac:dyDescent="0.2">
      <c r="C1167" s="49"/>
      <c r="G1167" s="2"/>
      <c r="H1167" s="2"/>
      <c r="L1167" s="55"/>
      <c r="M1167" s="55"/>
    </row>
    <row r="1168" spans="3:13" x14ac:dyDescent="0.2">
      <c r="C1168" s="49"/>
      <c r="G1168" s="2"/>
      <c r="H1168" s="2"/>
      <c r="L1168" s="55"/>
      <c r="M1168" s="55"/>
    </row>
    <row r="1169" spans="3:13" x14ac:dyDescent="0.2">
      <c r="C1169" s="49"/>
      <c r="G1169" s="2"/>
      <c r="H1169" s="2"/>
      <c r="L1169" s="55"/>
      <c r="M1169" s="55"/>
    </row>
    <row r="1170" spans="3:13" x14ac:dyDescent="0.2">
      <c r="C1170" s="49"/>
      <c r="G1170" s="2"/>
      <c r="H1170" s="2"/>
      <c r="L1170" s="55"/>
      <c r="M1170" s="55"/>
    </row>
    <row r="1171" spans="3:13" x14ac:dyDescent="0.2">
      <c r="C1171" s="49"/>
      <c r="G1171" s="2"/>
      <c r="H1171" s="2"/>
      <c r="L1171" s="55"/>
      <c r="M1171" s="55"/>
    </row>
    <row r="1172" spans="3:13" x14ac:dyDescent="0.2">
      <c r="C1172" s="49"/>
      <c r="G1172" s="2"/>
      <c r="H1172" s="2"/>
      <c r="L1172" s="55"/>
      <c r="M1172" s="55"/>
    </row>
    <row r="1173" spans="3:13" x14ac:dyDescent="0.2">
      <c r="C1173" s="49"/>
      <c r="G1173" s="2"/>
      <c r="H1173" s="2"/>
      <c r="L1173" s="55"/>
      <c r="M1173" s="55"/>
    </row>
    <row r="1174" spans="3:13" x14ac:dyDescent="0.2">
      <c r="C1174" s="49"/>
      <c r="G1174" s="2"/>
      <c r="H1174" s="2"/>
      <c r="L1174" s="55"/>
      <c r="M1174" s="55"/>
    </row>
    <row r="1175" spans="3:13" x14ac:dyDescent="0.2">
      <c r="C1175" s="49"/>
      <c r="G1175" s="2"/>
      <c r="H1175" s="2"/>
      <c r="L1175" s="55"/>
      <c r="M1175" s="55"/>
    </row>
    <row r="1176" spans="3:13" x14ac:dyDescent="0.2">
      <c r="C1176" s="49"/>
      <c r="G1176" s="2"/>
      <c r="H1176" s="2"/>
      <c r="L1176" s="55"/>
      <c r="M1176" s="55"/>
    </row>
    <row r="1177" spans="3:13" x14ac:dyDescent="0.2">
      <c r="C1177" s="49"/>
      <c r="G1177" s="2"/>
      <c r="H1177" s="2"/>
      <c r="L1177" s="55"/>
      <c r="M1177" s="55"/>
    </row>
    <row r="1178" spans="3:13" x14ac:dyDescent="0.2">
      <c r="C1178" s="49"/>
      <c r="G1178" s="2"/>
      <c r="H1178" s="2"/>
      <c r="L1178" s="55"/>
      <c r="M1178" s="55"/>
    </row>
    <row r="1179" spans="3:13" x14ac:dyDescent="0.2">
      <c r="C1179" s="49"/>
      <c r="G1179" s="2"/>
      <c r="H1179" s="2"/>
      <c r="L1179" s="55"/>
      <c r="M1179" s="55"/>
    </row>
    <row r="1180" spans="3:13" x14ac:dyDescent="0.2">
      <c r="C1180" s="49"/>
      <c r="G1180" s="2"/>
      <c r="H1180" s="2"/>
      <c r="L1180" s="55"/>
      <c r="M1180" s="55"/>
    </row>
    <row r="1181" spans="3:13" x14ac:dyDescent="0.2">
      <c r="C1181" s="49"/>
      <c r="G1181" s="2"/>
      <c r="H1181" s="2"/>
      <c r="L1181" s="55"/>
      <c r="M1181" s="55"/>
    </row>
    <row r="1182" spans="3:13" x14ac:dyDescent="0.2">
      <c r="C1182" s="49"/>
      <c r="G1182" s="2"/>
      <c r="H1182" s="2"/>
      <c r="L1182" s="55"/>
      <c r="M1182" s="55"/>
    </row>
    <row r="1183" spans="3:13" x14ac:dyDescent="0.2">
      <c r="C1183" s="49"/>
      <c r="G1183" s="2"/>
      <c r="H1183" s="2"/>
      <c r="L1183" s="55"/>
      <c r="M1183" s="55"/>
    </row>
    <row r="1184" spans="3:13" x14ac:dyDescent="0.2">
      <c r="C1184" s="49"/>
      <c r="G1184" s="2"/>
      <c r="H1184" s="2"/>
      <c r="L1184" s="55"/>
      <c r="M1184" s="55"/>
    </row>
    <row r="1185" spans="3:13" x14ac:dyDescent="0.2">
      <c r="C1185" s="49"/>
      <c r="G1185" s="2"/>
      <c r="H1185" s="2"/>
      <c r="L1185" s="55"/>
      <c r="M1185" s="55"/>
    </row>
    <row r="1186" spans="3:13" x14ac:dyDescent="0.2">
      <c r="C1186" s="49"/>
      <c r="G1186" s="2"/>
      <c r="H1186" s="2"/>
      <c r="L1186" s="55"/>
      <c r="M1186" s="55"/>
    </row>
    <row r="1187" spans="3:13" x14ac:dyDescent="0.2">
      <c r="C1187" s="49"/>
      <c r="G1187" s="2"/>
      <c r="H1187" s="2"/>
      <c r="L1187" s="55"/>
      <c r="M1187" s="55"/>
    </row>
    <row r="1188" spans="3:13" x14ac:dyDescent="0.2">
      <c r="C1188" s="49"/>
      <c r="G1188" s="2"/>
      <c r="H1188" s="2"/>
      <c r="L1188" s="55"/>
      <c r="M1188" s="55"/>
    </row>
    <row r="1189" spans="3:13" x14ac:dyDescent="0.2">
      <c r="C1189" s="49"/>
      <c r="G1189" s="2"/>
      <c r="H1189" s="2"/>
      <c r="L1189" s="55"/>
      <c r="M1189" s="55"/>
    </row>
    <row r="1190" spans="3:13" x14ac:dyDescent="0.2">
      <c r="C1190" s="49"/>
      <c r="G1190" s="2"/>
      <c r="H1190" s="2"/>
      <c r="L1190" s="55"/>
      <c r="M1190" s="55"/>
    </row>
    <row r="1191" spans="3:13" x14ac:dyDescent="0.2">
      <c r="C1191" s="49"/>
      <c r="G1191" s="2"/>
      <c r="H1191" s="2"/>
      <c r="L1191" s="55"/>
      <c r="M1191" s="55"/>
    </row>
    <row r="1192" spans="3:13" x14ac:dyDescent="0.2">
      <c r="C1192" s="49"/>
      <c r="G1192" s="2"/>
      <c r="H1192" s="2"/>
      <c r="L1192" s="55"/>
      <c r="M1192" s="55"/>
    </row>
    <row r="1193" spans="3:13" x14ac:dyDescent="0.2">
      <c r="C1193" s="49"/>
      <c r="G1193" s="2"/>
      <c r="H1193" s="2"/>
      <c r="L1193" s="55"/>
      <c r="M1193" s="55"/>
    </row>
    <row r="1194" spans="3:13" x14ac:dyDescent="0.2">
      <c r="C1194" s="49"/>
      <c r="G1194" s="2"/>
      <c r="H1194" s="2"/>
      <c r="L1194" s="55"/>
      <c r="M1194" s="55"/>
    </row>
    <row r="1195" spans="3:13" x14ac:dyDescent="0.2">
      <c r="C1195" s="49"/>
      <c r="G1195" s="2"/>
      <c r="H1195" s="2"/>
      <c r="L1195" s="55"/>
      <c r="M1195" s="55"/>
    </row>
    <row r="1196" spans="3:13" x14ac:dyDescent="0.2">
      <c r="C1196" s="49"/>
      <c r="G1196" s="2"/>
      <c r="H1196" s="2"/>
      <c r="L1196" s="55"/>
      <c r="M1196" s="55"/>
    </row>
    <row r="1197" spans="3:13" x14ac:dyDescent="0.2">
      <c r="C1197" s="49"/>
      <c r="G1197" s="2"/>
      <c r="H1197" s="2"/>
      <c r="L1197" s="55"/>
      <c r="M1197" s="55"/>
    </row>
    <row r="1198" spans="3:13" x14ac:dyDescent="0.2">
      <c r="C1198" s="49"/>
      <c r="G1198" s="2"/>
      <c r="H1198" s="2"/>
      <c r="L1198" s="55"/>
      <c r="M1198" s="55"/>
    </row>
    <row r="1199" spans="3:13" x14ac:dyDescent="0.2">
      <c r="C1199" s="49"/>
      <c r="G1199" s="2"/>
      <c r="H1199" s="2"/>
      <c r="L1199" s="55"/>
      <c r="M1199" s="55"/>
    </row>
    <row r="1200" spans="3:13" x14ac:dyDescent="0.2">
      <c r="C1200" s="49"/>
      <c r="G1200" s="2"/>
      <c r="H1200" s="2"/>
      <c r="L1200" s="55"/>
      <c r="M1200" s="55"/>
    </row>
    <row r="1201" spans="3:13" x14ac:dyDescent="0.2">
      <c r="C1201" s="49"/>
      <c r="G1201" s="2"/>
      <c r="H1201" s="2"/>
      <c r="L1201" s="55"/>
      <c r="M1201" s="55"/>
    </row>
    <row r="1202" spans="3:13" x14ac:dyDescent="0.2">
      <c r="C1202" s="49"/>
      <c r="G1202" s="2"/>
      <c r="H1202" s="2"/>
      <c r="L1202" s="55"/>
      <c r="M1202" s="55"/>
    </row>
    <row r="1203" spans="3:13" x14ac:dyDescent="0.2">
      <c r="C1203" s="49"/>
      <c r="G1203" s="2"/>
      <c r="H1203" s="2"/>
      <c r="L1203" s="55"/>
      <c r="M1203" s="55"/>
    </row>
    <row r="1204" spans="3:13" x14ac:dyDescent="0.2">
      <c r="C1204" s="49"/>
      <c r="G1204" s="2"/>
      <c r="H1204" s="2"/>
      <c r="L1204" s="55"/>
      <c r="M1204" s="55"/>
    </row>
    <row r="1205" spans="3:13" x14ac:dyDescent="0.2">
      <c r="C1205" s="49"/>
      <c r="G1205" s="2"/>
      <c r="H1205" s="2"/>
      <c r="L1205" s="55"/>
      <c r="M1205" s="55"/>
    </row>
    <row r="1206" spans="3:13" x14ac:dyDescent="0.2">
      <c r="C1206" s="49"/>
      <c r="G1206" s="2"/>
      <c r="H1206" s="2"/>
      <c r="L1206" s="55"/>
      <c r="M1206" s="55"/>
    </row>
    <row r="1207" spans="3:13" x14ac:dyDescent="0.2">
      <c r="C1207" s="49"/>
      <c r="G1207" s="2"/>
      <c r="H1207" s="2"/>
      <c r="L1207" s="55"/>
      <c r="M1207" s="55"/>
    </row>
    <row r="1208" spans="3:13" x14ac:dyDescent="0.2">
      <c r="C1208" s="49"/>
      <c r="G1208" s="2"/>
      <c r="H1208" s="2"/>
      <c r="L1208" s="55"/>
      <c r="M1208" s="55"/>
    </row>
    <row r="1209" spans="3:13" x14ac:dyDescent="0.2">
      <c r="C1209" s="49"/>
      <c r="G1209" s="2"/>
      <c r="H1209" s="2"/>
      <c r="L1209" s="55"/>
      <c r="M1209" s="55"/>
    </row>
    <row r="1210" spans="3:13" x14ac:dyDescent="0.2">
      <c r="C1210" s="49"/>
      <c r="G1210" s="2"/>
      <c r="H1210" s="2"/>
      <c r="L1210" s="55"/>
      <c r="M1210" s="55"/>
    </row>
    <row r="1211" spans="3:13" x14ac:dyDescent="0.2">
      <c r="C1211" s="49"/>
      <c r="G1211" s="2"/>
      <c r="H1211" s="2"/>
      <c r="L1211" s="55"/>
      <c r="M1211" s="55"/>
    </row>
    <row r="1212" spans="3:13" x14ac:dyDescent="0.2">
      <c r="C1212" s="49"/>
      <c r="G1212" s="2"/>
      <c r="H1212" s="2"/>
      <c r="L1212" s="55"/>
      <c r="M1212" s="55"/>
    </row>
    <row r="1213" spans="3:13" x14ac:dyDescent="0.2">
      <c r="C1213" s="49"/>
      <c r="G1213" s="2"/>
      <c r="H1213" s="2"/>
      <c r="L1213" s="55"/>
      <c r="M1213" s="55"/>
    </row>
    <row r="1214" spans="3:13" x14ac:dyDescent="0.2">
      <c r="C1214" s="49"/>
      <c r="G1214" s="2"/>
      <c r="H1214" s="2"/>
      <c r="L1214" s="55"/>
      <c r="M1214" s="55"/>
    </row>
    <row r="1215" spans="3:13" x14ac:dyDescent="0.2">
      <c r="C1215" s="49"/>
      <c r="G1215" s="2"/>
      <c r="H1215" s="2"/>
      <c r="L1215" s="55"/>
      <c r="M1215" s="55"/>
    </row>
    <row r="1216" spans="3:13" x14ac:dyDescent="0.2">
      <c r="C1216" s="49"/>
      <c r="G1216" s="2"/>
      <c r="H1216" s="2"/>
      <c r="L1216" s="55"/>
      <c r="M1216" s="55"/>
    </row>
    <row r="1217" spans="3:13" x14ac:dyDescent="0.2">
      <c r="C1217" s="49"/>
      <c r="G1217" s="2"/>
      <c r="H1217" s="2"/>
      <c r="L1217" s="55"/>
      <c r="M1217" s="55"/>
    </row>
    <row r="1218" spans="3:13" x14ac:dyDescent="0.2">
      <c r="C1218" s="49"/>
      <c r="G1218" s="2"/>
      <c r="H1218" s="2"/>
      <c r="L1218" s="55"/>
      <c r="M1218" s="55"/>
    </row>
    <row r="1219" spans="3:13" x14ac:dyDescent="0.2">
      <c r="C1219" s="49"/>
      <c r="G1219" s="2"/>
      <c r="H1219" s="2"/>
      <c r="L1219" s="55"/>
      <c r="M1219" s="55"/>
    </row>
    <row r="1220" spans="3:13" x14ac:dyDescent="0.2">
      <c r="C1220" s="49"/>
      <c r="G1220" s="2"/>
      <c r="H1220" s="2"/>
      <c r="L1220" s="55"/>
      <c r="M1220" s="55"/>
    </row>
    <row r="1221" spans="3:13" x14ac:dyDescent="0.2">
      <c r="C1221" s="49"/>
      <c r="G1221" s="2"/>
      <c r="H1221" s="2"/>
      <c r="L1221" s="55"/>
      <c r="M1221" s="55"/>
    </row>
    <row r="1222" spans="3:13" x14ac:dyDescent="0.2">
      <c r="C1222" s="49"/>
      <c r="G1222" s="2"/>
      <c r="H1222" s="2"/>
      <c r="L1222" s="55"/>
      <c r="M1222" s="55"/>
    </row>
    <row r="1223" spans="3:13" x14ac:dyDescent="0.2">
      <c r="C1223" s="49"/>
      <c r="G1223" s="2"/>
      <c r="H1223" s="2"/>
      <c r="L1223" s="55"/>
      <c r="M1223" s="55"/>
    </row>
    <row r="1224" spans="3:13" x14ac:dyDescent="0.2">
      <c r="C1224" s="49"/>
      <c r="G1224" s="2"/>
      <c r="H1224" s="2"/>
      <c r="L1224" s="55"/>
      <c r="M1224" s="55"/>
    </row>
    <row r="1225" spans="3:13" x14ac:dyDescent="0.2">
      <c r="C1225" s="49"/>
      <c r="G1225" s="2"/>
      <c r="H1225" s="2"/>
      <c r="L1225" s="55"/>
      <c r="M1225" s="55"/>
    </row>
    <row r="1226" spans="3:13" x14ac:dyDescent="0.2">
      <c r="C1226" s="49"/>
      <c r="G1226" s="2"/>
      <c r="H1226" s="2"/>
      <c r="L1226" s="55"/>
      <c r="M1226" s="55"/>
    </row>
    <row r="1227" spans="3:13" x14ac:dyDescent="0.2">
      <c r="C1227" s="49"/>
      <c r="G1227" s="2"/>
      <c r="H1227" s="2"/>
      <c r="L1227" s="55"/>
      <c r="M1227" s="55"/>
    </row>
    <row r="1228" spans="3:13" x14ac:dyDescent="0.2">
      <c r="C1228" s="49"/>
      <c r="G1228" s="2"/>
      <c r="H1228" s="2"/>
      <c r="L1228" s="55"/>
      <c r="M1228" s="55"/>
    </row>
    <row r="1229" spans="3:13" x14ac:dyDescent="0.2">
      <c r="C1229" s="49"/>
      <c r="G1229" s="2"/>
      <c r="H1229" s="2"/>
      <c r="L1229" s="55"/>
      <c r="M1229" s="55"/>
    </row>
    <row r="1230" spans="3:13" x14ac:dyDescent="0.2">
      <c r="C1230" s="49"/>
      <c r="G1230" s="2"/>
      <c r="H1230" s="2"/>
      <c r="L1230" s="55"/>
      <c r="M1230" s="55"/>
    </row>
    <row r="1231" spans="3:13" x14ac:dyDescent="0.2">
      <c r="C1231" s="49"/>
      <c r="G1231" s="2"/>
      <c r="H1231" s="2"/>
      <c r="L1231" s="55"/>
      <c r="M1231" s="55"/>
    </row>
    <row r="1232" spans="3:13" x14ac:dyDescent="0.2">
      <c r="C1232" s="49"/>
      <c r="G1232" s="2"/>
      <c r="H1232" s="2"/>
      <c r="L1232" s="55"/>
      <c r="M1232" s="55"/>
    </row>
    <row r="1233" spans="3:13" x14ac:dyDescent="0.2">
      <c r="C1233" s="49"/>
      <c r="G1233" s="2"/>
      <c r="H1233" s="2"/>
      <c r="L1233" s="55"/>
      <c r="M1233" s="55"/>
    </row>
    <row r="1234" spans="3:13" x14ac:dyDescent="0.2">
      <c r="C1234" s="49"/>
      <c r="G1234" s="2"/>
      <c r="H1234" s="2"/>
      <c r="L1234" s="55"/>
      <c r="M1234" s="55"/>
    </row>
    <row r="1235" spans="3:13" x14ac:dyDescent="0.2">
      <c r="C1235" s="49"/>
      <c r="G1235" s="2"/>
      <c r="H1235" s="2"/>
      <c r="L1235" s="55"/>
      <c r="M1235" s="55"/>
    </row>
    <row r="1236" spans="3:13" x14ac:dyDescent="0.2">
      <c r="C1236" s="49"/>
      <c r="G1236" s="2"/>
      <c r="H1236" s="2"/>
      <c r="L1236" s="55"/>
      <c r="M1236" s="55"/>
    </row>
    <row r="1237" spans="3:13" x14ac:dyDescent="0.2">
      <c r="C1237" s="49"/>
      <c r="G1237" s="2"/>
      <c r="H1237" s="2"/>
      <c r="L1237" s="55"/>
      <c r="M1237" s="55"/>
    </row>
    <row r="1238" spans="3:13" x14ac:dyDescent="0.2">
      <c r="C1238" s="49"/>
      <c r="G1238" s="2"/>
      <c r="H1238" s="2"/>
      <c r="L1238" s="55"/>
      <c r="M1238" s="55"/>
    </row>
    <row r="1239" spans="3:13" x14ac:dyDescent="0.2">
      <c r="C1239" s="49"/>
      <c r="G1239" s="2"/>
      <c r="H1239" s="2"/>
      <c r="L1239" s="55"/>
      <c r="M1239" s="55"/>
    </row>
    <row r="1240" spans="3:13" x14ac:dyDescent="0.2">
      <c r="C1240" s="49"/>
      <c r="G1240" s="2"/>
      <c r="H1240" s="2"/>
      <c r="L1240" s="55"/>
      <c r="M1240" s="55"/>
    </row>
    <row r="1241" spans="3:13" x14ac:dyDescent="0.2">
      <c r="C1241" s="49"/>
      <c r="G1241" s="2"/>
      <c r="H1241" s="2"/>
      <c r="L1241" s="55"/>
      <c r="M1241" s="55"/>
    </row>
    <row r="1242" spans="3:13" x14ac:dyDescent="0.2">
      <c r="C1242" s="49"/>
      <c r="G1242" s="2"/>
      <c r="H1242" s="2"/>
      <c r="L1242" s="55"/>
      <c r="M1242" s="55"/>
    </row>
    <row r="1243" spans="3:13" x14ac:dyDescent="0.2">
      <c r="C1243" s="49"/>
      <c r="G1243" s="2"/>
      <c r="H1243" s="2"/>
      <c r="L1243" s="55"/>
      <c r="M1243" s="55"/>
    </row>
    <row r="1244" spans="3:13" x14ac:dyDescent="0.2">
      <c r="C1244" s="49"/>
      <c r="G1244" s="2"/>
      <c r="H1244" s="2"/>
      <c r="L1244" s="55"/>
      <c r="M1244" s="55"/>
    </row>
    <row r="1245" spans="3:13" x14ac:dyDescent="0.2">
      <c r="C1245" s="49"/>
      <c r="G1245" s="2"/>
      <c r="H1245" s="2"/>
      <c r="L1245" s="55"/>
      <c r="M1245" s="55"/>
    </row>
    <row r="1246" spans="3:13" x14ac:dyDescent="0.2">
      <c r="C1246" s="49"/>
      <c r="G1246" s="2"/>
      <c r="H1246" s="2"/>
      <c r="L1246" s="55"/>
      <c r="M1246" s="55"/>
    </row>
    <row r="1247" spans="3:13" x14ac:dyDescent="0.2">
      <c r="C1247" s="49"/>
      <c r="G1247" s="2"/>
      <c r="H1247" s="2"/>
      <c r="L1247" s="55"/>
      <c r="M1247" s="55"/>
    </row>
    <row r="1248" spans="3:13" x14ac:dyDescent="0.2">
      <c r="C1248" s="49"/>
      <c r="G1248" s="2"/>
      <c r="H1248" s="2"/>
      <c r="L1248" s="55"/>
      <c r="M1248" s="55"/>
    </row>
    <row r="1249" spans="3:13" x14ac:dyDescent="0.2">
      <c r="C1249" s="49"/>
      <c r="G1249" s="2"/>
      <c r="H1249" s="2"/>
      <c r="L1249" s="55"/>
      <c r="M1249" s="55"/>
    </row>
    <row r="1250" spans="3:13" x14ac:dyDescent="0.2">
      <c r="C1250" s="49"/>
      <c r="G1250" s="2"/>
      <c r="H1250" s="2"/>
      <c r="L1250" s="55"/>
      <c r="M1250" s="55"/>
    </row>
    <row r="1251" spans="3:13" x14ac:dyDescent="0.2">
      <c r="C1251" s="49"/>
      <c r="G1251" s="2"/>
      <c r="H1251" s="2"/>
      <c r="L1251" s="55"/>
      <c r="M1251" s="55"/>
    </row>
    <row r="1252" spans="3:13" x14ac:dyDescent="0.2">
      <c r="C1252" s="49"/>
      <c r="G1252" s="2"/>
      <c r="H1252" s="2"/>
      <c r="L1252" s="55"/>
      <c r="M1252" s="55"/>
    </row>
    <row r="1253" spans="3:13" x14ac:dyDescent="0.2">
      <c r="C1253" s="49"/>
      <c r="G1253" s="2"/>
      <c r="H1253" s="2"/>
      <c r="L1253" s="55"/>
      <c r="M1253" s="55"/>
    </row>
    <row r="1254" spans="3:13" x14ac:dyDescent="0.2">
      <c r="C1254" s="49"/>
      <c r="G1254" s="2"/>
      <c r="H1254" s="2"/>
      <c r="L1254" s="55"/>
      <c r="M1254" s="55"/>
    </row>
    <row r="1255" spans="3:13" x14ac:dyDescent="0.2">
      <c r="C1255" s="49"/>
      <c r="G1255" s="2"/>
      <c r="H1255" s="2"/>
      <c r="L1255" s="55"/>
      <c r="M1255" s="55"/>
    </row>
    <row r="1256" spans="3:13" x14ac:dyDescent="0.2">
      <c r="C1256" s="49"/>
      <c r="G1256" s="2"/>
      <c r="H1256" s="2"/>
      <c r="L1256" s="55"/>
      <c r="M1256" s="55"/>
    </row>
    <row r="1257" spans="3:13" x14ac:dyDescent="0.2">
      <c r="C1257" s="49"/>
      <c r="G1257" s="2"/>
      <c r="H1257" s="2"/>
      <c r="L1257" s="55"/>
      <c r="M1257" s="55"/>
    </row>
    <row r="1258" spans="3:13" x14ac:dyDescent="0.2">
      <c r="C1258" s="49"/>
      <c r="G1258" s="2"/>
      <c r="H1258" s="2"/>
      <c r="L1258" s="55"/>
      <c r="M1258" s="55"/>
    </row>
    <row r="1259" spans="3:13" x14ac:dyDescent="0.2">
      <c r="C1259" s="49"/>
      <c r="G1259" s="2"/>
      <c r="H1259" s="2"/>
      <c r="L1259" s="55"/>
      <c r="M1259" s="55"/>
    </row>
    <row r="1260" spans="3:13" x14ac:dyDescent="0.2">
      <c r="C1260" s="49"/>
      <c r="G1260" s="2"/>
      <c r="H1260" s="2"/>
      <c r="L1260" s="55"/>
      <c r="M1260" s="55"/>
    </row>
    <row r="1261" spans="3:13" x14ac:dyDescent="0.2">
      <c r="C1261" s="49"/>
      <c r="G1261" s="2"/>
      <c r="H1261" s="2"/>
      <c r="L1261" s="55"/>
      <c r="M1261" s="55"/>
    </row>
    <row r="1262" spans="3:13" x14ac:dyDescent="0.2">
      <c r="C1262" s="49"/>
      <c r="G1262" s="2"/>
      <c r="H1262" s="2"/>
      <c r="L1262" s="55"/>
      <c r="M1262" s="55"/>
    </row>
    <row r="1263" spans="3:13" x14ac:dyDescent="0.2">
      <c r="C1263" s="49"/>
      <c r="G1263" s="2"/>
      <c r="H1263" s="2"/>
      <c r="L1263" s="55"/>
      <c r="M1263" s="55"/>
    </row>
    <row r="1264" spans="3:13" x14ac:dyDescent="0.2">
      <c r="C1264" s="49"/>
      <c r="G1264" s="2"/>
      <c r="H1264" s="2"/>
      <c r="L1264" s="55"/>
      <c r="M1264" s="55"/>
    </row>
    <row r="1265" spans="3:13" x14ac:dyDescent="0.2">
      <c r="C1265" s="49"/>
      <c r="G1265" s="2"/>
      <c r="H1265" s="2"/>
      <c r="L1265" s="55"/>
      <c r="M1265" s="55"/>
    </row>
    <row r="1266" spans="3:13" x14ac:dyDescent="0.2">
      <c r="C1266" s="49"/>
      <c r="G1266" s="2"/>
      <c r="H1266" s="2"/>
      <c r="L1266" s="55"/>
      <c r="M1266" s="55"/>
    </row>
    <row r="1267" spans="3:13" x14ac:dyDescent="0.2">
      <c r="C1267" s="49"/>
      <c r="G1267" s="2"/>
      <c r="H1267" s="2"/>
      <c r="L1267" s="55"/>
      <c r="M1267" s="55"/>
    </row>
    <row r="1268" spans="3:13" x14ac:dyDescent="0.2">
      <c r="C1268" s="49"/>
      <c r="G1268" s="2"/>
      <c r="H1268" s="2"/>
      <c r="L1268" s="55"/>
      <c r="M1268" s="55"/>
    </row>
    <row r="1269" spans="3:13" x14ac:dyDescent="0.2">
      <c r="C1269" s="49"/>
      <c r="G1269" s="2"/>
      <c r="H1269" s="2"/>
      <c r="L1269" s="55"/>
      <c r="M1269" s="55"/>
    </row>
    <row r="1270" spans="3:13" x14ac:dyDescent="0.2">
      <c r="C1270" s="49"/>
      <c r="G1270" s="2"/>
      <c r="H1270" s="2"/>
      <c r="L1270" s="55"/>
      <c r="M1270" s="55"/>
    </row>
    <row r="1271" spans="3:13" x14ac:dyDescent="0.2">
      <c r="C1271" s="49"/>
      <c r="G1271" s="2"/>
      <c r="H1271" s="2"/>
      <c r="L1271" s="55"/>
      <c r="M1271" s="55"/>
    </row>
    <row r="1272" spans="3:13" x14ac:dyDescent="0.2">
      <c r="C1272" s="49"/>
      <c r="G1272" s="2"/>
      <c r="H1272" s="2"/>
      <c r="L1272" s="55"/>
      <c r="M1272" s="55"/>
    </row>
    <row r="1273" spans="3:13" x14ac:dyDescent="0.2">
      <c r="C1273" s="49"/>
      <c r="G1273" s="2"/>
      <c r="H1273" s="2"/>
      <c r="L1273" s="55"/>
      <c r="M1273" s="55"/>
    </row>
    <row r="1274" spans="3:13" x14ac:dyDescent="0.2">
      <c r="C1274" s="49"/>
      <c r="G1274" s="2"/>
      <c r="H1274" s="2"/>
      <c r="L1274" s="55"/>
      <c r="M1274" s="55"/>
    </row>
    <row r="1275" spans="3:13" x14ac:dyDescent="0.2">
      <c r="C1275" s="49"/>
      <c r="G1275" s="2"/>
      <c r="H1275" s="2"/>
      <c r="L1275" s="55"/>
      <c r="M1275" s="55"/>
    </row>
    <row r="1276" spans="3:13" x14ac:dyDescent="0.2">
      <c r="C1276" s="49"/>
      <c r="G1276" s="2"/>
      <c r="H1276" s="2"/>
      <c r="L1276" s="55"/>
      <c r="M1276" s="55"/>
    </row>
    <row r="1277" spans="3:13" x14ac:dyDescent="0.2">
      <c r="C1277" s="49"/>
      <c r="G1277" s="2"/>
      <c r="H1277" s="2"/>
      <c r="L1277" s="55"/>
      <c r="M1277" s="55"/>
    </row>
    <row r="1278" spans="3:13" x14ac:dyDescent="0.2">
      <c r="C1278" s="49"/>
      <c r="G1278" s="2"/>
      <c r="H1278" s="2"/>
      <c r="L1278" s="55"/>
      <c r="M1278" s="55"/>
    </row>
    <row r="1279" spans="3:13" x14ac:dyDescent="0.2">
      <c r="C1279" s="49"/>
      <c r="G1279" s="2"/>
      <c r="H1279" s="2"/>
      <c r="L1279" s="55"/>
      <c r="M1279" s="55"/>
    </row>
    <row r="1280" spans="3:13" x14ac:dyDescent="0.2">
      <c r="C1280" s="49"/>
      <c r="G1280" s="2"/>
      <c r="H1280" s="2"/>
      <c r="L1280" s="55"/>
      <c r="M1280" s="55"/>
    </row>
    <row r="1281" spans="3:13" x14ac:dyDescent="0.2">
      <c r="C1281" s="49"/>
      <c r="G1281" s="2"/>
      <c r="H1281" s="2"/>
      <c r="L1281" s="55"/>
      <c r="M1281" s="55"/>
    </row>
    <row r="1282" spans="3:13" x14ac:dyDescent="0.2">
      <c r="C1282" s="49"/>
      <c r="G1282" s="2"/>
      <c r="H1282" s="2"/>
      <c r="L1282" s="55"/>
      <c r="M1282" s="55"/>
    </row>
    <row r="1283" spans="3:13" x14ac:dyDescent="0.2">
      <c r="C1283" s="49"/>
      <c r="G1283" s="2"/>
      <c r="H1283" s="2"/>
      <c r="L1283" s="55"/>
      <c r="M1283" s="55"/>
    </row>
    <row r="1284" spans="3:13" x14ac:dyDescent="0.2">
      <c r="C1284" s="49"/>
      <c r="G1284" s="2"/>
      <c r="H1284" s="2"/>
      <c r="L1284" s="55"/>
      <c r="M1284" s="55"/>
    </row>
    <row r="1285" spans="3:13" x14ac:dyDescent="0.2">
      <c r="C1285" s="49"/>
      <c r="G1285" s="2"/>
      <c r="H1285" s="2"/>
      <c r="L1285" s="55"/>
      <c r="M1285" s="55"/>
    </row>
    <row r="1286" spans="3:13" x14ac:dyDescent="0.2">
      <c r="C1286" s="49"/>
      <c r="G1286" s="2"/>
      <c r="H1286" s="2"/>
      <c r="L1286" s="55"/>
      <c r="M1286" s="55"/>
    </row>
    <row r="1287" spans="3:13" x14ac:dyDescent="0.2">
      <c r="C1287" s="49"/>
      <c r="G1287" s="2"/>
      <c r="H1287" s="2"/>
      <c r="L1287" s="55"/>
      <c r="M1287" s="55"/>
    </row>
    <row r="1288" spans="3:13" x14ac:dyDescent="0.2">
      <c r="C1288" s="49"/>
      <c r="G1288" s="2"/>
      <c r="H1288" s="2"/>
      <c r="L1288" s="55"/>
      <c r="M1288" s="55"/>
    </row>
    <row r="1289" spans="3:13" x14ac:dyDescent="0.2">
      <c r="C1289" s="49"/>
      <c r="G1289" s="2"/>
      <c r="H1289" s="2"/>
      <c r="L1289" s="55"/>
      <c r="M1289" s="55"/>
    </row>
    <row r="1290" spans="3:13" x14ac:dyDescent="0.2">
      <c r="C1290" s="49"/>
      <c r="G1290" s="2"/>
      <c r="H1290" s="2"/>
      <c r="L1290" s="55"/>
      <c r="M1290" s="55"/>
    </row>
    <row r="1291" spans="3:13" x14ac:dyDescent="0.2">
      <c r="C1291" s="49"/>
      <c r="G1291" s="2"/>
      <c r="H1291" s="2"/>
      <c r="L1291" s="55"/>
      <c r="M1291" s="55"/>
    </row>
    <row r="1292" spans="3:13" x14ac:dyDescent="0.2">
      <c r="C1292" s="49"/>
      <c r="G1292" s="2"/>
      <c r="H1292" s="2"/>
      <c r="L1292" s="55"/>
      <c r="M1292" s="55"/>
    </row>
    <row r="1293" spans="3:13" x14ac:dyDescent="0.2">
      <c r="C1293" s="49"/>
      <c r="G1293" s="2"/>
      <c r="H1293" s="2"/>
      <c r="L1293" s="55"/>
      <c r="M1293" s="55"/>
    </row>
    <row r="1294" spans="3:13" x14ac:dyDescent="0.2">
      <c r="C1294" s="49"/>
      <c r="G1294" s="2"/>
      <c r="H1294" s="2"/>
      <c r="L1294" s="55"/>
      <c r="M1294" s="55"/>
    </row>
    <row r="1295" spans="3:13" x14ac:dyDescent="0.2">
      <c r="C1295" s="49"/>
      <c r="G1295" s="2"/>
      <c r="H1295" s="2"/>
      <c r="L1295" s="55"/>
      <c r="M1295" s="55"/>
    </row>
    <row r="1296" spans="3:13" x14ac:dyDescent="0.2">
      <c r="C1296" s="49"/>
      <c r="G1296" s="2"/>
      <c r="H1296" s="2"/>
      <c r="L1296" s="55"/>
      <c r="M1296" s="55"/>
    </row>
    <row r="1297" spans="3:13" x14ac:dyDescent="0.2">
      <c r="C1297" s="49"/>
      <c r="G1297" s="2"/>
      <c r="H1297" s="2"/>
      <c r="L1297" s="55"/>
      <c r="M1297" s="55"/>
    </row>
    <row r="1298" spans="3:13" x14ac:dyDescent="0.2">
      <c r="C1298" s="49"/>
      <c r="G1298" s="2"/>
      <c r="H1298" s="2"/>
      <c r="L1298" s="55"/>
      <c r="M1298" s="55"/>
    </row>
    <row r="1299" spans="3:13" x14ac:dyDescent="0.2">
      <c r="C1299" s="49"/>
      <c r="G1299" s="2"/>
      <c r="H1299" s="2"/>
      <c r="L1299" s="55"/>
      <c r="M1299" s="55"/>
    </row>
    <row r="1300" spans="3:13" x14ac:dyDescent="0.2">
      <c r="C1300" s="49"/>
      <c r="G1300" s="2"/>
      <c r="H1300" s="2"/>
      <c r="L1300" s="55"/>
      <c r="M1300" s="55"/>
    </row>
    <row r="1301" spans="3:13" x14ac:dyDescent="0.2">
      <c r="C1301" s="49"/>
      <c r="G1301" s="2"/>
      <c r="H1301" s="2"/>
      <c r="L1301" s="55"/>
      <c r="M1301" s="55"/>
    </row>
    <row r="1302" spans="3:13" x14ac:dyDescent="0.2">
      <c r="C1302" s="49"/>
      <c r="G1302" s="2"/>
      <c r="H1302" s="2"/>
      <c r="L1302" s="55"/>
      <c r="M1302" s="55"/>
    </row>
    <row r="1303" spans="3:13" x14ac:dyDescent="0.2">
      <c r="C1303" s="49"/>
      <c r="G1303" s="2"/>
      <c r="H1303" s="2"/>
      <c r="L1303" s="55"/>
      <c r="M1303" s="55"/>
    </row>
    <row r="1304" spans="3:13" x14ac:dyDescent="0.2">
      <c r="C1304" s="49"/>
      <c r="G1304" s="2"/>
      <c r="H1304" s="2"/>
      <c r="L1304" s="55"/>
      <c r="M1304" s="55"/>
    </row>
    <row r="1305" spans="3:13" x14ac:dyDescent="0.2">
      <c r="C1305" s="49"/>
      <c r="G1305" s="2"/>
      <c r="H1305" s="2"/>
      <c r="L1305" s="55"/>
      <c r="M1305" s="55"/>
    </row>
    <row r="1306" spans="3:13" x14ac:dyDescent="0.2">
      <c r="C1306" s="49"/>
      <c r="G1306" s="2"/>
      <c r="H1306" s="2"/>
      <c r="L1306" s="55"/>
      <c r="M1306" s="55"/>
    </row>
    <row r="1307" spans="3:13" x14ac:dyDescent="0.2">
      <c r="C1307" s="49"/>
      <c r="G1307" s="2"/>
      <c r="H1307" s="2"/>
      <c r="L1307" s="55"/>
      <c r="M1307" s="55"/>
    </row>
    <row r="1308" spans="3:13" x14ac:dyDescent="0.2">
      <c r="C1308" s="49"/>
      <c r="G1308" s="2"/>
      <c r="H1308" s="2"/>
      <c r="L1308" s="55"/>
      <c r="M1308" s="55"/>
    </row>
    <row r="1309" spans="3:13" x14ac:dyDescent="0.2">
      <c r="C1309" s="49"/>
      <c r="G1309" s="2"/>
      <c r="H1309" s="2"/>
      <c r="L1309" s="55"/>
      <c r="M1309" s="55"/>
    </row>
    <row r="1310" spans="3:13" x14ac:dyDescent="0.2">
      <c r="C1310" s="49"/>
      <c r="G1310" s="2"/>
      <c r="H1310" s="2"/>
      <c r="L1310" s="55"/>
      <c r="M1310" s="55"/>
    </row>
    <row r="1311" spans="3:13" x14ac:dyDescent="0.2">
      <c r="C1311" s="49"/>
      <c r="G1311" s="2"/>
      <c r="H1311" s="2"/>
      <c r="L1311" s="55"/>
      <c r="M1311" s="55"/>
    </row>
    <row r="1312" spans="3:13" x14ac:dyDescent="0.2">
      <c r="C1312" s="49"/>
      <c r="G1312" s="2"/>
      <c r="H1312" s="2"/>
      <c r="L1312" s="55"/>
      <c r="M1312" s="55"/>
    </row>
    <row r="1313" spans="3:13" x14ac:dyDescent="0.2">
      <c r="C1313" s="49"/>
      <c r="G1313" s="2"/>
      <c r="H1313" s="2"/>
      <c r="L1313" s="55"/>
      <c r="M1313" s="55"/>
    </row>
    <row r="1314" spans="3:13" x14ac:dyDescent="0.2">
      <c r="C1314" s="49"/>
      <c r="G1314" s="2"/>
      <c r="H1314" s="2"/>
      <c r="L1314" s="55"/>
      <c r="M1314" s="55"/>
    </row>
    <row r="1315" spans="3:13" x14ac:dyDescent="0.2">
      <c r="C1315" s="49"/>
      <c r="G1315" s="2"/>
      <c r="H1315" s="2"/>
      <c r="L1315" s="55"/>
      <c r="M1315" s="55"/>
    </row>
    <row r="1316" spans="3:13" x14ac:dyDescent="0.2">
      <c r="C1316" s="49"/>
      <c r="G1316" s="2"/>
      <c r="H1316" s="2"/>
      <c r="L1316" s="55"/>
      <c r="M1316" s="55"/>
    </row>
    <row r="1317" spans="3:13" x14ac:dyDescent="0.2">
      <c r="C1317" s="49"/>
      <c r="G1317" s="2"/>
      <c r="H1317" s="2"/>
      <c r="L1317" s="55"/>
      <c r="M1317" s="55"/>
    </row>
    <row r="1318" spans="3:13" x14ac:dyDescent="0.2">
      <c r="C1318" s="49"/>
      <c r="G1318" s="2"/>
      <c r="H1318" s="2"/>
      <c r="L1318" s="55"/>
      <c r="M1318" s="55"/>
    </row>
    <row r="1319" spans="3:13" x14ac:dyDescent="0.2">
      <c r="C1319" s="49"/>
      <c r="G1319" s="2"/>
      <c r="H1319" s="2"/>
      <c r="L1319" s="55"/>
      <c r="M1319" s="55"/>
    </row>
    <row r="1320" spans="3:13" x14ac:dyDescent="0.2">
      <c r="C1320" s="49"/>
      <c r="G1320" s="2"/>
      <c r="H1320" s="2"/>
      <c r="L1320" s="55"/>
      <c r="M1320" s="55"/>
    </row>
    <row r="1321" spans="3:13" x14ac:dyDescent="0.2">
      <c r="C1321" s="49"/>
      <c r="G1321" s="2"/>
      <c r="H1321" s="2"/>
      <c r="L1321" s="55"/>
      <c r="M1321" s="55"/>
    </row>
    <row r="1322" spans="3:13" x14ac:dyDescent="0.2">
      <c r="C1322" s="49"/>
      <c r="G1322" s="2"/>
      <c r="H1322" s="2"/>
      <c r="L1322" s="55"/>
      <c r="M1322" s="55"/>
    </row>
    <row r="1323" spans="3:13" x14ac:dyDescent="0.2">
      <c r="C1323" s="49"/>
      <c r="G1323" s="2"/>
      <c r="H1323" s="2"/>
      <c r="L1323" s="55"/>
      <c r="M1323" s="55"/>
    </row>
    <row r="1324" spans="3:13" x14ac:dyDescent="0.2">
      <c r="C1324" s="49"/>
      <c r="G1324" s="2"/>
      <c r="H1324" s="2"/>
      <c r="L1324" s="55"/>
      <c r="M1324" s="55"/>
    </row>
    <row r="1325" spans="3:13" x14ac:dyDescent="0.2">
      <c r="C1325" s="49"/>
      <c r="G1325" s="2"/>
      <c r="H1325" s="2"/>
      <c r="L1325" s="55"/>
      <c r="M1325" s="55"/>
    </row>
    <row r="1326" spans="3:13" x14ac:dyDescent="0.2">
      <c r="C1326" s="49"/>
      <c r="G1326" s="2"/>
      <c r="H1326" s="2"/>
      <c r="L1326" s="55"/>
      <c r="M1326" s="55"/>
    </row>
    <row r="1327" spans="3:13" x14ac:dyDescent="0.2">
      <c r="C1327" s="49"/>
      <c r="G1327" s="2"/>
      <c r="H1327" s="2"/>
      <c r="L1327" s="55"/>
      <c r="M1327" s="55"/>
    </row>
    <row r="1328" spans="3:13" x14ac:dyDescent="0.2">
      <c r="C1328" s="49"/>
      <c r="G1328" s="2"/>
      <c r="H1328" s="2"/>
      <c r="L1328" s="55"/>
      <c r="M1328" s="55"/>
    </row>
    <row r="1329" spans="3:13" x14ac:dyDescent="0.2">
      <c r="C1329" s="49"/>
      <c r="G1329" s="2"/>
      <c r="H1329" s="2"/>
      <c r="L1329" s="55"/>
      <c r="M1329" s="55"/>
    </row>
    <row r="1330" spans="3:13" x14ac:dyDescent="0.2">
      <c r="C1330" s="49"/>
      <c r="G1330" s="2"/>
      <c r="H1330" s="2"/>
      <c r="L1330" s="55"/>
      <c r="M1330" s="55"/>
    </row>
    <row r="1331" spans="3:13" x14ac:dyDescent="0.2">
      <c r="C1331" s="49"/>
      <c r="G1331" s="2"/>
      <c r="H1331" s="2"/>
      <c r="L1331" s="55"/>
      <c r="M1331" s="55"/>
    </row>
    <row r="1332" spans="3:13" x14ac:dyDescent="0.2">
      <c r="C1332" s="49"/>
      <c r="G1332" s="2"/>
      <c r="H1332" s="2"/>
      <c r="L1332" s="55"/>
      <c r="M1332" s="55"/>
    </row>
    <row r="1333" spans="3:13" x14ac:dyDescent="0.2">
      <c r="C1333" s="49"/>
      <c r="G1333" s="2"/>
      <c r="H1333" s="2"/>
      <c r="L1333" s="55"/>
      <c r="M1333" s="55"/>
    </row>
    <row r="1334" spans="3:13" x14ac:dyDescent="0.2">
      <c r="C1334" s="49"/>
      <c r="G1334" s="2"/>
      <c r="H1334" s="2"/>
      <c r="L1334" s="55"/>
      <c r="M1334" s="55"/>
    </row>
    <row r="1335" spans="3:13" x14ac:dyDescent="0.2">
      <c r="C1335" s="49"/>
      <c r="G1335" s="2"/>
      <c r="H1335" s="2"/>
      <c r="L1335" s="55"/>
      <c r="M1335" s="55"/>
    </row>
    <row r="1336" spans="3:13" x14ac:dyDescent="0.2">
      <c r="C1336" s="49"/>
      <c r="G1336" s="2"/>
      <c r="H1336" s="2"/>
      <c r="L1336" s="55"/>
      <c r="M1336" s="55"/>
    </row>
    <row r="1337" spans="3:13" x14ac:dyDescent="0.2">
      <c r="C1337" s="49"/>
      <c r="G1337" s="2"/>
      <c r="H1337" s="2"/>
      <c r="L1337" s="55"/>
      <c r="M1337" s="55"/>
    </row>
    <row r="1338" spans="3:13" x14ac:dyDescent="0.2">
      <c r="C1338" s="49"/>
      <c r="G1338" s="2"/>
      <c r="H1338" s="2"/>
      <c r="L1338" s="55"/>
      <c r="M1338" s="55"/>
    </row>
    <row r="1339" spans="3:13" x14ac:dyDescent="0.2">
      <c r="C1339" s="49"/>
      <c r="G1339" s="2"/>
      <c r="H1339" s="2"/>
      <c r="L1339" s="55"/>
      <c r="M1339" s="55"/>
    </row>
    <row r="1340" spans="3:13" x14ac:dyDescent="0.2">
      <c r="C1340" s="49"/>
      <c r="G1340" s="2"/>
      <c r="H1340" s="2"/>
      <c r="L1340" s="55"/>
      <c r="M1340" s="55"/>
    </row>
    <row r="1341" spans="3:13" x14ac:dyDescent="0.2">
      <c r="C1341" s="49"/>
      <c r="G1341" s="2"/>
      <c r="H1341" s="2"/>
      <c r="L1341" s="55"/>
      <c r="M1341" s="55"/>
    </row>
    <row r="1342" spans="3:13" x14ac:dyDescent="0.2">
      <c r="C1342" s="49"/>
      <c r="G1342" s="2"/>
      <c r="H1342" s="2"/>
      <c r="L1342" s="55"/>
      <c r="M1342" s="55"/>
    </row>
    <row r="1343" spans="3:13" x14ac:dyDescent="0.2">
      <c r="C1343" s="49"/>
      <c r="G1343" s="2"/>
      <c r="H1343" s="2"/>
      <c r="L1343" s="55"/>
      <c r="M1343" s="55"/>
    </row>
    <row r="1344" spans="3:13" x14ac:dyDescent="0.2">
      <c r="C1344" s="49"/>
      <c r="G1344" s="2"/>
      <c r="H1344" s="2"/>
      <c r="L1344" s="55"/>
      <c r="M1344" s="55"/>
    </row>
    <row r="1345" spans="3:13" x14ac:dyDescent="0.2">
      <c r="C1345" s="49"/>
      <c r="G1345" s="2"/>
      <c r="H1345" s="2"/>
      <c r="L1345" s="55"/>
      <c r="M1345" s="55"/>
    </row>
    <row r="1346" spans="3:13" x14ac:dyDescent="0.2">
      <c r="C1346" s="49"/>
      <c r="G1346" s="2"/>
      <c r="H1346" s="2"/>
      <c r="L1346" s="55"/>
      <c r="M1346" s="55"/>
    </row>
    <row r="1347" spans="3:13" x14ac:dyDescent="0.2">
      <c r="C1347" s="49"/>
      <c r="G1347" s="2"/>
      <c r="H1347" s="2"/>
      <c r="L1347" s="55"/>
      <c r="M1347" s="55"/>
    </row>
    <row r="1348" spans="3:13" x14ac:dyDescent="0.2">
      <c r="C1348" s="49"/>
      <c r="G1348" s="2"/>
      <c r="H1348" s="2"/>
      <c r="L1348" s="55"/>
      <c r="M1348" s="55"/>
    </row>
    <row r="1349" spans="3:13" x14ac:dyDescent="0.2">
      <c r="C1349" s="49"/>
      <c r="G1349" s="2"/>
      <c r="H1349" s="2"/>
      <c r="L1349" s="55"/>
      <c r="M1349" s="55"/>
    </row>
    <row r="1350" spans="3:13" x14ac:dyDescent="0.2">
      <c r="C1350" s="49"/>
      <c r="G1350" s="2"/>
      <c r="H1350" s="2"/>
      <c r="L1350" s="55"/>
      <c r="M1350" s="55"/>
    </row>
    <row r="1351" spans="3:13" x14ac:dyDescent="0.2">
      <c r="C1351" s="49"/>
      <c r="G1351" s="2"/>
      <c r="H1351" s="2"/>
      <c r="L1351" s="55"/>
      <c r="M1351" s="55"/>
    </row>
    <row r="1352" spans="3:13" x14ac:dyDescent="0.2">
      <c r="C1352" s="49"/>
      <c r="G1352" s="2"/>
      <c r="H1352" s="2"/>
      <c r="L1352" s="55"/>
      <c r="M1352" s="55"/>
    </row>
    <row r="1353" spans="3:13" x14ac:dyDescent="0.2">
      <c r="C1353" s="49"/>
      <c r="G1353" s="2"/>
      <c r="H1353" s="2"/>
      <c r="L1353" s="55"/>
      <c r="M1353" s="55"/>
    </row>
    <row r="1354" spans="3:13" x14ac:dyDescent="0.2">
      <c r="C1354" s="49"/>
      <c r="G1354" s="2"/>
      <c r="H1354" s="2"/>
      <c r="L1354" s="55"/>
      <c r="M1354" s="55"/>
    </row>
    <row r="1355" spans="3:13" x14ac:dyDescent="0.2">
      <c r="C1355" s="49"/>
      <c r="G1355" s="2"/>
      <c r="H1355" s="2"/>
      <c r="L1355" s="55"/>
      <c r="M1355" s="55"/>
    </row>
    <row r="1356" spans="3:13" x14ac:dyDescent="0.2">
      <c r="C1356" s="49"/>
      <c r="G1356" s="2"/>
      <c r="H1356" s="2"/>
      <c r="L1356" s="55"/>
      <c r="M1356" s="55"/>
    </row>
    <row r="1357" spans="3:13" x14ac:dyDescent="0.2">
      <c r="C1357" s="49"/>
      <c r="G1357" s="2"/>
      <c r="H1357" s="2"/>
      <c r="L1357" s="55"/>
      <c r="M1357" s="55"/>
    </row>
    <row r="1358" spans="3:13" x14ac:dyDescent="0.2">
      <c r="C1358" s="49"/>
      <c r="G1358" s="2"/>
      <c r="H1358" s="2"/>
      <c r="L1358" s="55"/>
      <c r="M1358" s="55"/>
    </row>
    <row r="1359" spans="3:13" x14ac:dyDescent="0.2">
      <c r="C1359" s="49"/>
      <c r="G1359" s="2"/>
      <c r="H1359" s="2"/>
      <c r="L1359" s="55"/>
      <c r="M1359" s="55"/>
    </row>
    <row r="1360" spans="3:13" x14ac:dyDescent="0.2">
      <c r="C1360" s="49"/>
      <c r="G1360" s="2"/>
      <c r="H1360" s="2"/>
      <c r="L1360" s="55"/>
      <c r="M1360" s="55"/>
    </row>
    <row r="1361" spans="3:13" x14ac:dyDescent="0.2">
      <c r="C1361" s="49"/>
      <c r="G1361" s="2"/>
      <c r="H1361" s="2"/>
      <c r="L1361" s="55"/>
      <c r="M1361" s="55"/>
    </row>
    <row r="1362" spans="3:13" x14ac:dyDescent="0.2">
      <c r="C1362" s="49"/>
      <c r="G1362" s="2"/>
      <c r="H1362" s="2"/>
      <c r="L1362" s="55"/>
      <c r="M1362" s="55"/>
    </row>
    <row r="1363" spans="3:13" x14ac:dyDescent="0.2">
      <c r="C1363" s="49"/>
      <c r="G1363" s="2"/>
      <c r="H1363" s="2"/>
      <c r="L1363" s="55"/>
      <c r="M1363" s="55"/>
    </row>
    <row r="1364" spans="3:13" x14ac:dyDescent="0.2">
      <c r="C1364" s="49"/>
      <c r="G1364" s="2"/>
      <c r="H1364" s="2"/>
      <c r="L1364" s="55"/>
      <c r="M1364" s="55"/>
    </row>
    <row r="1365" spans="3:13" x14ac:dyDescent="0.2">
      <c r="C1365" s="49"/>
      <c r="G1365" s="2"/>
      <c r="H1365" s="2"/>
      <c r="L1365" s="55"/>
      <c r="M1365" s="55"/>
    </row>
    <row r="1366" spans="3:13" x14ac:dyDescent="0.2">
      <c r="C1366" s="49"/>
      <c r="G1366" s="2"/>
      <c r="H1366" s="2"/>
      <c r="L1366" s="55"/>
      <c r="M1366" s="55"/>
    </row>
    <row r="1367" spans="3:13" x14ac:dyDescent="0.2">
      <c r="C1367" s="49"/>
      <c r="G1367" s="2"/>
      <c r="H1367" s="2"/>
      <c r="L1367" s="55"/>
      <c r="M1367" s="55"/>
    </row>
    <row r="1368" spans="3:13" x14ac:dyDescent="0.2">
      <c r="C1368" s="49"/>
      <c r="G1368" s="2"/>
      <c r="H1368" s="2"/>
      <c r="L1368" s="55"/>
      <c r="M1368" s="55"/>
    </row>
    <row r="1369" spans="3:13" x14ac:dyDescent="0.2">
      <c r="C1369" s="49"/>
      <c r="G1369" s="2"/>
      <c r="H1369" s="2"/>
      <c r="L1369" s="55"/>
      <c r="M1369" s="55"/>
    </row>
    <row r="1370" spans="3:13" x14ac:dyDescent="0.2">
      <c r="C1370" s="49"/>
      <c r="G1370" s="2"/>
      <c r="H1370" s="2"/>
      <c r="L1370" s="55"/>
      <c r="M1370" s="55"/>
    </row>
    <row r="1371" spans="3:13" x14ac:dyDescent="0.2">
      <c r="C1371" s="49"/>
      <c r="G1371" s="2"/>
      <c r="H1371" s="2"/>
      <c r="L1371" s="55"/>
      <c r="M1371" s="55"/>
    </row>
    <row r="1372" spans="3:13" x14ac:dyDescent="0.2">
      <c r="C1372" s="49"/>
      <c r="G1372" s="2"/>
      <c r="H1372" s="2"/>
      <c r="L1372" s="55"/>
      <c r="M1372" s="55"/>
    </row>
    <row r="1373" spans="3:13" x14ac:dyDescent="0.2">
      <c r="C1373" s="49"/>
      <c r="G1373" s="2"/>
      <c r="H1373" s="2"/>
      <c r="L1373" s="55"/>
      <c r="M1373" s="55"/>
    </row>
    <row r="1374" spans="3:13" x14ac:dyDescent="0.2">
      <c r="C1374" s="49"/>
      <c r="G1374" s="2"/>
      <c r="H1374" s="2"/>
      <c r="L1374" s="55"/>
      <c r="M1374" s="55"/>
    </row>
    <row r="1375" spans="3:13" x14ac:dyDescent="0.2">
      <c r="C1375" s="49"/>
      <c r="G1375" s="2"/>
      <c r="H1375" s="2"/>
      <c r="L1375" s="55"/>
      <c r="M1375" s="55"/>
    </row>
    <row r="1376" spans="3:13" x14ac:dyDescent="0.2">
      <c r="C1376" s="49"/>
      <c r="G1376" s="2"/>
      <c r="H1376" s="2"/>
      <c r="L1376" s="55"/>
      <c r="M1376" s="55"/>
    </row>
    <row r="1377" spans="3:13" x14ac:dyDescent="0.2">
      <c r="C1377" s="49"/>
      <c r="G1377" s="2"/>
      <c r="H1377" s="2"/>
      <c r="L1377" s="55"/>
      <c r="M1377" s="55"/>
    </row>
    <row r="1378" spans="3:13" x14ac:dyDescent="0.2">
      <c r="C1378" s="49"/>
      <c r="G1378" s="2"/>
      <c r="H1378" s="2"/>
      <c r="L1378" s="55"/>
      <c r="M1378" s="55"/>
    </row>
    <row r="1379" spans="3:13" x14ac:dyDescent="0.2">
      <c r="C1379" s="49"/>
      <c r="G1379" s="2"/>
      <c r="H1379" s="2"/>
      <c r="L1379" s="55"/>
      <c r="M1379" s="55"/>
    </row>
    <row r="1380" spans="3:13" x14ac:dyDescent="0.2">
      <c r="C1380" s="49"/>
      <c r="G1380" s="2"/>
      <c r="H1380" s="2"/>
      <c r="L1380" s="55"/>
      <c r="M1380" s="55"/>
    </row>
    <row r="1381" spans="3:13" x14ac:dyDescent="0.2">
      <c r="C1381" s="49"/>
      <c r="G1381" s="2"/>
      <c r="H1381" s="2"/>
      <c r="L1381" s="55"/>
      <c r="M1381" s="55"/>
    </row>
    <row r="1382" spans="3:13" x14ac:dyDescent="0.2">
      <c r="C1382" s="49"/>
      <c r="G1382" s="2"/>
      <c r="H1382" s="2"/>
      <c r="L1382" s="55"/>
      <c r="M1382" s="55"/>
    </row>
    <row r="1383" spans="3:13" x14ac:dyDescent="0.2">
      <c r="C1383" s="49"/>
      <c r="G1383" s="2"/>
      <c r="H1383" s="2"/>
      <c r="L1383" s="55"/>
      <c r="M1383" s="55"/>
    </row>
    <row r="1384" spans="3:13" x14ac:dyDescent="0.2">
      <c r="C1384" s="49"/>
      <c r="G1384" s="2"/>
      <c r="H1384" s="2"/>
      <c r="L1384" s="55"/>
      <c r="M1384" s="55"/>
    </row>
    <row r="1385" spans="3:13" x14ac:dyDescent="0.2">
      <c r="C1385" s="49"/>
      <c r="G1385" s="2"/>
      <c r="H1385" s="2"/>
      <c r="L1385" s="55"/>
      <c r="M1385" s="55"/>
    </row>
    <row r="1386" spans="3:13" x14ac:dyDescent="0.2">
      <c r="C1386" s="49"/>
      <c r="G1386" s="2"/>
      <c r="H1386" s="2"/>
      <c r="L1386" s="55"/>
      <c r="M1386" s="55"/>
    </row>
    <row r="1387" spans="3:13" x14ac:dyDescent="0.2">
      <c r="C1387" s="49"/>
      <c r="G1387" s="2"/>
      <c r="H1387" s="2"/>
      <c r="L1387" s="55"/>
      <c r="M1387" s="55"/>
    </row>
    <row r="1388" spans="3:13" x14ac:dyDescent="0.2">
      <c r="C1388" s="49"/>
      <c r="G1388" s="2"/>
      <c r="H1388" s="2"/>
      <c r="L1388" s="55"/>
      <c r="M1388" s="55"/>
    </row>
    <row r="1389" spans="3:13" x14ac:dyDescent="0.2">
      <c r="C1389" s="49"/>
      <c r="G1389" s="2"/>
      <c r="H1389" s="2"/>
      <c r="L1389" s="55"/>
      <c r="M1389" s="55"/>
    </row>
    <row r="1390" spans="3:13" x14ac:dyDescent="0.2">
      <c r="C1390" s="49"/>
      <c r="G1390" s="2"/>
      <c r="H1390" s="2"/>
      <c r="L1390" s="55"/>
      <c r="M1390" s="55"/>
    </row>
    <row r="1391" spans="3:13" x14ac:dyDescent="0.2">
      <c r="C1391" s="49"/>
      <c r="G1391" s="2"/>
      <c r="H1391" s="2"/>
      <c r="L1391" s="55"/>
      <c r="M1391" s="55"/>
    </row>
    <row r="1392" spans="3:13" x14ac:dyDescent="0.2">
      <c r="C1392" s="49"/>
      <c r="G1392" s="2"/>
      <c r="H1392" s="2"/>
      <c r="L1392" s="55"/>
      <c r="M1392" s="55"/>
    </row>
    <row r="1393" spans="3:13" x14ac:dyDescent="0.2">
      <c r="C1393" s="49"/>
      <c r="G1393" s="2"/>
      <c r="H1393" s="2"/>
      <c r="L1393" s="55"/>
      <c r="M1393" s="55"/>
    </row>
    <row r="1394" spans="3:13" x14ac:dyDescent="0.2">
      <c r="C1394" s="49"/>
      <c r="G1394" s="2"/>
      <c r="H1394" s="2"/>
      <c r="L1394" s="55"/>
      <c r="M1394" s="55"/>
    </row>
    <row r="1395" spans="3:13" x14ac:dyDescent="0.2">
      <c r="C1395" s="49"/>
      <c r="G1395" s="2"/>
      <c r="H1395" s="2"/>
      <c r="L1395" s="55"/>
      <c r="M1395" s="55"/>
    </row>
    <row r="1396" spans="3:13" x14ac:dyDescent="0.2">
      <c r="C1396" s="49"/>
      <c r="G1396" s="2"/>
      <c r="H1396" s="2"/>
      <c r="L1396" s="55"/>
      <c r="M1396" s="55"/>
    </row>
    <row r="1397" spans="3:13" x14ac:dyDescent="0.2">
      <c r="C1397" s="49"/>
      <c r="G1397" s="2"/>
      <c r="H1397" s="2"/>
      <c r="L1397" s="55"/>
      <c r="M1397" s="55"/>
    </row>
    <row r="1398" spans="3:13" x14ac:dyDescent="0.2">
      <c r="C1398" s="49"/>
      <c r="G1398" s="2"/>
      <c r="H1398" s="2"/>
      <c r="L1398" s="55"/>
      <c r="M1398" s="55"/>
    </row>
    <row r="1399" spans="3:13" x14ac:dyDescent="0.2">
      <c r="C1399" s="49"/>
      <c r="G1399" s="2"/>
      <c r="H1399" s="2"/>
      <c r="L1399" s="55"/>
      <c r="M1399" s="55"/>
    </row>
    <row r="1400" spans="3:13" x14ac:dyDescent="0.2">
      <c r="C1400" s="49"/>
      <c r="G1400" s="2"/>
      <c r="H1400" s="2"/>
      <c r="L1400" s="55"/>
      <c r="M1400" s="55"/>
    </row>
    <row r="1401" spans="3:13" x14ac:dyDescent="0.2">
      <c r="C1401" s="49"/>
      <c r="G1401" s="2"/>
      <c r="H1401" s="2"/>
      <c r="L1401" s="55"/>
      <c r="M1401" s="55"/>
    </row>
    <row r="1402" spans="3:13" x14ac:dyDescent="0.2">
      <c r="C1402" s="49"/>
      <c r="G1402" s="2"/>
      <c r="H1402" s="2"/>
      <c r="L1402" s="55"/>
      <c r="M1402" s="55"/>
    </row>
    <row r="1403" spans="3:13" x14ac:dyDescent="0.2">
      <c r="C1403" s="49"/>
      <c r="G1403" s="2"/>
      <c r="H1403" s="2"/>
      <c r="L1403" s="55"/>
      <c r="M1403" s="55"/>
    </row>
    <row r="1404" spans="3:13" x14ac:dyDescent="0.2">
      <c r="C1404" s="49"/>
      <c r="G1404" s="2"/>
      <c r="H1404" s="2"/>
      <c r="L1404" s="55"/>
      <c r="M1404" s="55"/>
    </row>
    <row r="1405" spans="3:13" x14ac:dyDescent="0.2">
      <c r="C1405" s="49"/>
      <c r="G1405" s="2"/>
      <c r="H1405" s="2"/>
      <c r="L1405" s="55"/>
      <c r="M1405" s="55"/>
    </row>
    <row r="1406" spans="3:13" x14ac:dyDescent="0.2">
      <c r="C1406" s="49"/>
      <c r="G1406" s="2"/>
      <c r="H1406" s="2"/>
      <c r="L1406" s="55"/>
      <c r="M1406" s="55"/>
    </row>
    <row r="1407" spans="3:13" x14ac:dyDescent="0.2">
      <c r="C1407" s="49"/>
      <c r="G1407" s="2"/>
      <c r="H1407" s="2"/>
      <c r="L1407" s="55"/>
      <c r="M1407" s="55"/>
    </row>
    <row r="1408" spans="3:13" x14ac:dyDescent="0.2">
      <c r="C1408" s="49"/>
      <c r="G1408" s="2"/>
      <c r="H1408" s="2"/>
      <c r="L1408" s="55"/>
      <c r="M1408" s="55"/>
    </row>
    <row r="1409" spans="3:13" x14ac:dyDescent="0.2">
      <c r="C1409" s="49"/>
      <c r="G1409" s="2"/>
      <c r="H1409" s="2"/>
      <c r="L1409" s="55"/>
      <c r="M1409" s="55"/>
    </row>
    <row r="1410" spans="3:13" x14ac:dyDescent="0.2">
      <c r="C1410" s="49"/>
      <c r="G1410" s="2"/>
      <c r="H1410" s="2"/>
      <c r="L1410" s="55"/>
      <c r="M1410" s="55"/>
    </row>
    <row r="1411" spans="3:13" x14ac:dyDescent="0.2">
      <c r="C1411" s="49"/>
      <c r="G1411" s="2"/>
      <c r="H1411" s="2"/>
      <c r="L1411" s="55"/>
      <c r="M1411" s="55"/>
    </row>
    <row r="1412" spans="3:13" x14ac:dyDescent="0.2">
      <c r="C1412" s="49"/>
      <c r="G1412" s="2"/>
      <c r="H1412" s="2"/>
      <c r="L1412" s="55"/>
      <c r="M1412" s="55"/>
    </row>
    <row r="1413" spans="3:13" x14ac:dyDescent="0.2">
      <c r="C1413" s="49"/>
      <c r="G1413" s="2"/>
      <c r="H1413" s="2"/>
      <c r="L1413" s="55"/>
      <c r="M1413" s="55"/>
    </row>
    <row r="1414" spans="3:13" x14ac:dyDescent="0.2">
      <c r="C1414" s="49"/>
      <c r="G1414" s="2"/>
      <c r="H1414" s="2"/>
      <c r="L1414" s="55"/>
      <c r="M1414" s="55"/>
    </row>
    <row r="1415" spans="3:13" x14ac:dyDescent="0.2">
      <c r="C1415" s="49"/>
      <c r="G1415" s="2"/>
      <c r="H1415" s="2"/>
      <c r="L1415" s="55"/>
      <c r="M1415" s="55"/>
    </row>
    <row r="1416" spans="3:13" x14ac:dyDescent="0.2">
      <c r="C1416" s="49"/>
      <c r="G1416" s="2"/>
      <c r="H1416" s="2"/>
      <c r="L1416" s="55"/>
      <c r="M1416" s="55"/>
    </row>
    <row r="1417" spans="3:13" x14ac:dyDescent="0.2">
      <c r="C1417" s="49"/>
      <c r="G1417" s="2"/>
      <c r="H1417" s="2"/>
      <c r="L1417" s="55"/>
      <c r="M1417" s="55"/>
    </row>
    <row r="1418" spans="3:13" x14ac:dyDescent="0.2">
      <c r="C1418" s="49"/>
      <c r="G1418" s="2"/>
      <c r="H1418" s="2"/>
      <c r="L1418" s="55"/>
      <c r="M1418" s="55"/>
    </row>
    <row r="1419" spans="3:13" x14ac:dyDescent="0.2">
      <c r="C1419" s="49"/>
      <c r="G1419" s="2"/>
      <c r="H1419" s="2"/>
      <c r="L1419" s="55"/>
      <c r="M1419" s="55"/>
    </row>
    <row r="1420" spans="3:13" x14ac:dyDescent="0.2">
      <c r="C1420" s="49"/>
      <c r="G1420" s="2"/>
      <c r="H1420" s="2"/>
      <c r="L1420" s="55"/>
      <c r="M1420" s="55"/>
    </row>
    <row r="1421" spans="3:13" x14ac:dyDescent="0.2">
      <c r="C1421" s="49"/>
      <c r="G1421" s="2"/>
      <c r="H1421" s="2"/>
      <c r="L1421" s="55"/>
      <c r="M1421" s="55"/>
    </row>
    <row r="1422" spans="3:13" x14ac:dyDescent="0.2">
      <c r="C1422" s="49"/>
      <c r="G1422" s="2"/>
      <c r="H1422" s="2"/>
      <c r="L1422" s="55"/>
      <c r="M1422" s="55"/>
    </row>
    <row r="1423" spans="3:13" x14ac:dyDescent="0.2">
      <c r="C1423" s="49"/>
      <c r="G1423" s="2"/>
      <c r="H1423" s="2"/>
      <c r="L1423" s="55"/>
      <c r="M1423" s="55"/>
    </row>
    <row r="1424" spans="3:13" x14ac:dyDescent="0.2">
      <c r="C1424" s="49"/>
      <c r="G1424" s="2"/>
      <c r="H1424" s="2"/>
      <c r="L1424" s="55"/>
      <c r="M1424" s="55"/>
    </row>
    <row r="1425" spans="3:13" x14ac:dyDescent="0.2">
      <c r="C1425" s="49"/>
      <c r="G1425" s="2"/>
      <c r="H1425" s="2"/>
      <c r="L1425" s="55"/>
      <c r="M1425" s="55"/>
    </row>
    <row r="1426" spans="3:13" x14ac:dyDescent="0.2">
      <c r="C1426" s="49"/>
      <c r="G1426" s="2"/>
      <c r="H1426" s="2"/>
      <c r="L1426" s="55"/>
      <c r="M1426" s="55"/>
    </row>
    <row r="1427" spans="3:13" x14ac:dyDescent="0.2">
      <c r="C1427" s="49"/>
      <c r="G1427" s="2"/>
      <c r="H1427" s="2"/>
      <c r="L1427" s="55"/>
      <c r="M1427" s="55"/>
    </row>
    <row r="1428" spans="3:13" x14ac:dyDescent="0.2">
      <c r="C1428" s="49"/>
      <c r="G1428" s="2"/>
      <c r="H1428" s="2"/>
      <c r="L1428" s="55"/>
      <c r="M1428" s="55"/>
    </row>
    <row r="1429" spans="3:13" x14ac:dyDescent="0.2">
      <c r="C1429" s="49"/>
      <c r="G1429" s="2"/>
      <c r="H1429" s="2"/>
      <c r="L1429" s="55"/>
      <c r="M1429" s="55"/>
    </row>
    <row r="1430" spans="3:13" x14ac:dyDescent="0.2">
      <c r="C1430" s="49"/>
      <c r="G1430" s="2"/>
      <c r="H1430" s="2"/>
      <c r="L1430" s="55"/>
      <c r="M1430" s="55"/>
    </row>
    <row r="1431" spans="3:13" x14ac:dyDescent="0.2">
      <c r="C1431" s="49"/>
      <c r="G1431" s="2"/>
      <c r="H1431" s="2"/>
      <c r="L1431" s="55"/>
      <c r="M1431" s="55"/>
    </row>
    <row r="1432" spans="3:13" x14ac:dyDescent="0.2">
      <c r="C1432" s="49"/>
      <c r="G1432" s="2"/>
      <c r="H1432" s="2"/>
      <c r="L1432" s="55"/>
      <c r="M1432" s="55"/>
    </row>
    <row r="1433" spans="3:13" x14ac:dyDescent="0.2">
      <c r="C1433" s="49"/>
      <c r="G1433" s="2"/>
      <c r="H1433" s="2"/>
      <c r="L1433" s="55"/>
      <c r="M1433" s="55"/>
    </row>
    <row r="1434" spans="3:13" x14ac:dyDescent="0.2">
      <c r="C1434" s="49"/>
      <c r="G1434" s="2"/>
      <c r="H1434" s="2"/>
      <c r="L1434" s="55"/>
      <c r="M1434" s="55"/>
    </row>
    <row r="1435" spans="3:13" x14ac:dyDescent="0.2">
      <c r="C1435" s="49"/>
      <c r="G1435" s="2"/>
      <c r="H1435" s="2"/>
      <c r="L1435" s="55"/>
      <c r="M1435" s="55"/>
    </row>
    <row r="1436" spans="3:13" x14ac:dyDescent="0.2">
      <c r="C1436" s="49"/>
      <c r="G1436" s="2"/>
      <c r="H1436" s="2"/>
      <c r="L1436" s="55"/>
      <c r="M1436" s="55"/>
    </row>
    <row r="1437" spans="3:13" x14ac:dyDescent="0.2">
      <c r="C1437" s="49"/>
      <c r="G1437" s="2"/>
      <c r="H1437" s="2"/>
      <c r="L1437" s="55"/>
      <c r="M1437" s="55"/>
    </row>
    <row r="1438" spans="3:13" x14ac:dyDescent="0.2">
      <c r="C1438" s="49"/>
      <c r="G1438" s="2"/>
      <c r="H1438" s="2"/>
      <c r="L1438" s="55"/>
      <c r="M1438" s="55"/>
    </row>
    <row r="1439" spans="3:13" x14ac:dyDescent="0.2">
      <c r="C1439" s="49"/>
      <c r="G1439" s="2"/>
      <c r="H1439" s="2"/>
      <c r="L1439" s="55"/>
      <c r="M1439" s="55"/>
    </row>
    <row r="1440" spans="3:13" x14ac:dyDescent="0.2">
      <c r="C1440" s="49"/>
      <c r="G1440" s="2"/>
      <c r="H1440" s="2"/>
      <c r="L1440" s="55"/>
      <c r="M1440" s="55"/>
    </row>
    <row r="1441" spans="3:13" x14ac:dyDescent="0.2">
      <c r="C1441" s="49"/>
      <c r="G1441" s="2"/>
      <c r="H1441" s="2"/>
      <c r="L1441" s="55"/>
      <c r="M1441" s="55"/>
    </row>
    <row r="1442" spans="3:13" x14ac:dyDescent="0.2">
      <c r="C1442" s="49"/>
      <c r="G1442" s="2"/>
      <c r="H1442" s="2"/>
      <c r="L1442" s="55"/>
      <c r="M1442" s="55"/>
    </row>
    <row r="1443" spans="3:13" x14ac:dyDescent="0.2">
      <c r="C1443" s="49"/>
      <c r="G1443" s="2"/>
      <c r="H1443" s="2"/>
      <c r="L1443" s="55"/>
      <c r="M1443" s="55"/>
    </row>
    <row r="1444" spans="3:13" x14ac:dyDescent="0.2">
      <c r="C1444" s="49"/>
      <c r="G1444" s="2"/>
      <c r="H1444" s="2"/>
      <c r="L1444" s="55"/>
      <c r="M1444" s="55"/>
    </row>
    <row r="1445" spans="3:13" x14ac:dyDescent="0.2">
      <c r="C1445" s="49"/>
      <c r="G1445" s="2"/>
      <c r="H1445" s="2"/>
      <c r="L1445" s="55"/>
      <c r="M1445" s="55"/>
    </row>
    <row r="1446" spans="3:13" x14ac:dyDescent="0.2">
      <c r="C1446" s="49"/>
      <c r="G1446" s="2"/>
      <c r="H1446" s="2"/>
      <c r="L1446" s="55"/>
      <c r="M1446" s="55"/>
    </row>
    <row r="1447" spans="3:13" x14ac:dyDescent="0.2">
      <c r="C1447" s="49"/>
      <c r="G1447" s="2"/>
      <c r="H1447" s="2"/>
      <c r="L1447" s="55"/>
      <c r="M1447" s="55"/>
    </row>
    <row r="1448" spans="3:13" x14ac:dyDescent="0.2">
      <c r="C1448" s="49"/>
      <c r="G1448" s="2"/>
      <c r="H1448" s="2"/>
      <c r="L1448" s="55"/>
      <c r="M1448" s="55"/>
    </row>
    <row r="1449" spans="3:13" x14ac:dyDescent="0.2">
      <c r="C1449" s="49"/>
      <c r="G1449" s="2"/>
      <c r="H1449" s="2"/>
      <c r="L1449" s="55"/>
      <c r="M1449" s="55"/>
    </row>
    <row r="1450" spans="3:13" x14ac:dyDescent="0.2">
      <c r="C1450" s="49"/>
      <c r="G1450" s="2"/>
      <c r="H1450" s="2"/>
      <c r="L1450" s="55"/>
      <c r="M1450" s="55"/>
    </row>
    <row r="1451" spans="3:13" x14ac:dyDescent="0.2">
      <c r="C1451" s="49"/>
      <c r="G1451" s="2"/>
      <c r="H1451" s="2"/>
      <c r="L1451" s="55"/>
      <c r="M1451" s="55"/>
    </row>
    <row r="1452" spans="3:13" x14ac:dyDescent="0.2">
      <c r="C1452" s="49"/>
      <c r="G1452" s="2"/>
      <c r="H1452" s="2"/>
      <c r="L1452" s="55"/>
      <c r="M1452" s="55"/>
    </row>
    <row r="1453" spans="3:13" x14ac:dyDescent="0.2">
      <c r="C1453" s="49"/>
      <c r="G1453" s="2"/>
      <c r="H1453" s="2"/>
      <c r="L1453" s="55"/>
      <c r="M1453" s="55"/>
    </row>
    <row r="1454" spans="3:13" x14ac:dyDescent="0.2">
      <c r="C1454" s="49"/>
      <c r="G1454" s="2"/>
      <c r="H1454" s="2"/>
      <c r="L1454" s="55"/>
      <c r="M1454" s="55"/>
    </row>
    <row r="1455" spans="3:13" x14ac:dyDescent="0.2">
      <c r="C1455" s="49"/>
      <c r="G1455" s="2"/>
      <c r="H1455" s="2"/>
      <c r="L1455" s="55"/>
      <c r="M1455" s="55"/>
    </row>
    <row r="1456" spans="3:13" x14ac:dyDescent="0.2">
      <c r="C1456" s="49"/>
      <c r="G1456" s="2"/>
      <c r="H1456" s="2"/>
      <c r="L1456" s="55"/>
      <c r="M1456" s="55"/>
    </row>
    <row r="1457" spans="3:13" x14ac:dyDescent="0.2">
      <c r="C1457" s="49"/>
      <c r="G1457" s="2"/>
      <c r="H1457" s="2"/>
      <c r="L1457" s="55"/>
      <c r="M1457" s="55"/>
    </row>
    <row r="1458" spans="3:13" x14ac:dyDescent="0.2">
      <c r="C1458" s="49"/>
      <c r="G1458" s="2"/>
      <c r="H1458" s="2"/>
      <c r="L1458" s="55"/>
      <c r="M1458" s="55"/>
    </row>
    <row r="1459" spans="3:13" x14ac:dyDescent="0.2">
      <c r="C1459" s="49"/>
      <c r="G1459" s="2"/>
      <c r="H1459" s="2"/>
      <c r="L1459" s="55"/>
      <c r="M1459" s="55"/>
    </row>
    <row r="1460" spans="3:13" x14ac:dyDescent="0.2">
      <c r="C1460" s="49"/>
      <c r="G1460" s="2"/>
      <c r="H1460" s="2"/>
      <c r="L1460" s="55"/>
      <c r="M1460" s="55"/>
    </row>
    <row r="1461" spans="3:13" x14ac:dyDescent="0.2">
      <c r="C1461" s="49"/>
      <c r="G1461" s="2"/>
      <c r="H1461" s="2"/>
      <c r="L1461" s="55"/>
      <c r="M1461" s="55"/>
    </row>
    <row r="1462" spans="3:13" x14ac:dyDescent="0.2">
      <c r="C1462" s="49"/>
      <c r="G1462" s="2"/>
      <c r="H1462" s="2"/>
      <c r="L1462" s="55"/>
      <c r="M1462" s="55"/>
    </row>
    <row r="1463" spans="3:13" x14ac:dyDescent="0.2">
      <c r="C1463" s="49"/>
      <c r="G1463" s="2"/>
      <c r="H1463" s="2"/>
      <c r="L1463" s="55"/>
      <c r="M1463" s="55"/>
    </row>
    <row r="1464" spans="3:13" x14ac:dyDescent="0.2">
      <c r="C1464" s="49"/>
      <c r="G1464" s="2"/>
      <c r="H1464" s="2"/>
      <c r="L1464" s="55"/>
      <c r="M1464" s="55"/>
    </row>
    <row r="1465" spans="3:13" x14ac:dyDescent="0.2">
      <c r="C1465" s="49"/>
      <c r="G1465" s="2"/>
      <c r="H1465" s="2"/>
      <c r="L1465" s="55"/>
      <c r="M1465" s="55"/>
    </row>
    <row r="1466" spans="3:13" x14ac:dyDescent="0.2">
      <c r="C1466" s="49"/>
      <c r="G1466" s="2"/>
      <c r="H1466" s="2"/>
      <c r="L1466" s="55"/>
      <c r="M1466" s="55"/>
    </row>
    <row r="1467" spans="3:13" x14ac:dyDescent="0.2">
      <c r="C1467" s="49"/>
      <c r="G1467" s="2"/>
      <c r="H1467" s="2"/>
      <c r="L1467" s="55"/>
      <c r="M1467" s="55"/>
    </row>
    <row r="1468" spans="3:13" x14ac:dyDescent="0.2">
      <c r="C1468" s="49"/>
      <c r="G1468" s="2"/>
      <c r="H1468" s="2"/>
      <c r="L1468" s="55"/>
      <c r="M1468" s="55"/>
    </row>
    <row r="1469" spans="3:13" x14ac:dyDescent="0.2">
      <c r="C1469" s="49"/>
      <c r="G1469" s="2"/>
      <c r="H1469" s="2"/>
      <c r="L1469" s="55"/>
      <c r="M1469" s="55"/>
    </row>
    <row r="1470" spans="3:13" x14ac:dyDescent="0.2">
      <c r="C1470" s="49"/>
      <c r="G1470" s="2"/>
      <c r="H1470" s="2"/>
      <c r="L1470" s="55"/>
      <c r="M1470" s="55"/>
    </row>
    <row r="1471" spans="3:13" x14ac:dyDescent="0.2">
      <c r="C1471" s="49"/>
      <c r="G1471" s="2"/>
      <c r="H1471" s="2"/>
      <c r="L1471" s="55"/>
      <c r="M1471" s="55"/>
    </row>
    <row r="1472" spans="3:13" x14ac:dyDescent="0.2">
      <c r="C1472" s="49"/>
      <c r="G1472" s="2"/>
      <c r="H1472" s="2"/>
      <c r="L1472" s="55"/>
      <c r="M1472" s="55"/>
    </row>
    <row r="1473" spans="3:13" x14ac:dyDescent="0.2">
      <c r="C1473" s="49"/>
      <c r="G1473" s="2"/>
      <c r="H1473" s="2"/>
      <c r="L1473" s="55"/>
      <c r="M1473" s="55"/>
    </row>
    <row r="1474" spans="3:13" x14ac:dyDescent="0.2">
      <c r="C1474" s="49"/>
      <c r="G1474" s="2"/>
      <c r="H1474" s="2"/>
      <c r="L1474" s="55"/>
      <c r="M1474" s="55"/>
    </row>
    <row r="1475" spans="3:13" x14ac:dyDescent="0.2">
      <c r="C1475" s="49"/>
      <c r="G1475" s="2"/>
      <c r="H1475" s="2"/>
      <c r="L1475" s="55"/>
      <c r="M1475" s="55"/>
    </row>
    <row r="1476" spans="3:13" x14ac:dyDescent="0.2">
      <c r="C1476" s="49"/>
      <c r="G1476" s="2"/>
      <c r="H1476" s="2"/>
      <c r="L1476" s="55"/>
      <c r="M1476" s="55"/>
    </row>
    <row r="1477" spans="3:13" x14ac:dyDescent="0.2">
      <c r="C1477" s="49"/>
      <c r="G1477" s="2"/>
      <c r="H1477" s="2"/>
      <c r="L1477" s="55"/>
      <c r="M1477" s="55"/>
    </row>
    <row r="1478" spans="3:13" x14ac:dyDescent="0.2">
      <c r="C1478" s="49"/>
      <c r="G1478" s="2"/>
      <c r="H1478" s="2"/>
      <c r="L1478" s="55"/>
      <c r="M1478" s="55"/>
    </row>
    <row r="1479" spans="3:13" x14ac:dyDescent="0.2">
      <c r="C1479" s="49"/>
      <c r="G1479" s="2"/>
      <c r="H1479" s="2"/>
      <c r="L1479" s="55"/>
      <c r="M1479" s="55"/>
    </row>
    <row r="1480" spans="3:13" x14ac:dyDescent="0.2">
      <c r="C1480" s="49"/>
      <c r="G1480" s="2"/>
      <c r="H1480" s="2"/>
      <c r="L1480" s="55"/>
      <c r="M1480" s="55"/>
    </row>
    <row r="1481" spans="3:13" x14ac:dyDescent="0.2">
      <c r="C1481" s="49"/>
      <c r="G1481" s="2"/>
      <c r="H1481" s="2"/>
      <c r="L1481" s="55"/>
      <c r="M1481" s="55"/>
    </row>
    <row r="1482" spans="3:13" x14ac:dyDescent="0.2">
      <c r="C1482" s="49"/>
      <c r="G1482" s="2"/>
      <c r="H1482" s="2"/>
      <c r="L1482" s="55"/>
      <c r="M1482" s="55"/>
    </row>
    <row r="1483" spans="3:13" x14ac:dyDescent="0.2">
      <c r="C1483" s="49"/>
      <c r="G1483" s="2"/>
      <c r="H1483" s="2"/>
      <c r="L1483" s="55"/>
      <c r="M1483" s="55"/>
    </row>
    <row r="1484" spans="3:13" x14ac:dyDescent="0.2">
      <c r="C1484" s="49"/>
      <c r="G1484" s="2"/>
      <c r="H1484" s="2"/>
      <c r="L1484" s="55"/>
      <c r="M1484" s="55"/>
    </row>
    <row r="1485" spans="3:13" x14ac:dyDescent="0.2">
      <c r="C1485" s="49"/>
      <c r="G1485" s="2"/>
      <c r="H1485" s="2"/>
      <c r="L1485" s="55"/>
      <c r="M1485" s="55"/>
    </row>
    <row r="1486" spans="3:13" x14ac:dyDescent="0.2">
      <c r="C1486" s="49"/>
      <c r="G1486" s="2"/>
      <c r="H1486" s="2"/>
      <c r="L1486" s="55"/>
      <c r="M1486" s="55"/>
    </row>
    <row r="1487" spans="3:13" x14ac:dyDescent="0.2">
      <c r="C1487" s="49"/>
      <c r="G1487" s="2"/>
      <c r="H1487" s="2"/>
      <c r="L1487" s="55"/>
      <c r="M1487" s="55"/>
    </row>
    <row r="1488" spans="3:13" x14ac:dyDescent="0.2">
      <c r="C1488" s="49"/>
      <c r="G1488" s="2"/>
      <c r="H1488" s="2"/>
      <c r="L1488" s="55"/>
      <c r="M1488" s="55"/>
    </row>
    <row r="1489" spans="3:13" x14ac:dyDescent="0.2">
      <c r="C1489" s="49"/>
      <c r="G1489" s="2"/>
      <c r="H1489" s="2"/>
      <c r="L1489" s="55"/>
      <c r="M1489" s="55"/>
    </row>
    <row r="1490" spans="3:13" x14ac:dyDescent="0.2">
      <c r="C1490" s="49"/>
      <c r="G1490" s="2"/>
      <c r="H1490" s="2"/>
      <c r="L1490" s="55"/>
      <c r="M1490" s="55"/>
    </row>
    <row r="1491" spans="3:13" x14ac:dyDescent="0.2">
      <c r="C1491" s="49"/>
      <c r="G1491" s="2"/>
      <c r="H1491" s="2"/>
      <c r="L1491" s="55"/>
      <c r="M1491" s="55"/>
    </row>
    <row r="1492" spans="3:13" x14ac:dyDescent="0.2">
      <c r="C1492" s="49"/>
      <c r="G1492" s="2"/>
      <c r="H1492" s="2"/>
      <c r="L1492" s="55"/>
      <c r="M1492" s="55"/>
    </row>
    <row r="1493" spans="3:13" x14ac:dyDescent="0.2">
      <c r="C1493" s="49"/>
      <c r="G1493" s="2"/>
      <c r="H1493" s="2"/>
      <c r="L1493" s="55"/>
      <c r="M1493" s="55"/>
    </row>
    <row r="1494" spans="3:13" x14ac:dyDescent="0.2">
      <c r="C1494" s="49"/>
      <c r="G1494" s="2"/>
      <c r="H1494" s="2"/>
      <c r="L1494" s="55"/>
      <c r="M1494" s="55"/>
    </row>
    <row r="1495" spans="3:13" x14ac:dyDescent="0.2">
      <c r="C1495" s="49"/>
      <c r="G1495" s="2"/>
      <c r="H1495" s="2"/>
      <c r="L1495" s="55"/>
      <c r="M1495" s="55"/>
    </row>
    <row r="1496" spans="3:13" x14ac:dyDescent="0.2">
      <c r="C1496" s="49"/>
      <c r="G1496" s="2"/>
      <c r="H1496" s="2"/>
      <c r="L1496" s="55"/>
      <c r="M1496" s="55"/>
    </row>
    <row r="1497" spans="3:13" x14ac:dyDescent="0.2">
      <c r="C1497" s="49"/>
      <c r="G1497" s="2"/>
      <c r="H1497" s="2"/>
      <c r="L1497" s="55"/>
      <c r="M1497" s="55"/>
    </row>
    <row r="1498" spans="3:13" x14ac:dyDescent="0.2">
      <c r="C1498" s="49"/>
      <c r="G1498" s="2"/>
      <c r="H1498" s="2"/>
      <c r="L1498" s="55"/>
      <c r="M1498" s="55"/>
    </row>
    <row r="1499" spans="3:13" x14ac:dyDescent="0.2">
      <c r="C1499" s="49"/>
      <c r="G1499" s="2"/>
      <c r="H1499" s="2"/>
      <c r="L1499" s="55"/>
      <c r="M1499" s="55"/>
    </row>
    <row r="1500" spans="3:13" x14ac:dyDescent="0.2">
      <c r="C1500" s="49"/>
      <c r="G1500" s="2"/>
      <c r="H1500" s="2"/>
      <c r="L1500" s="55"/>
      <c r="M1500" s="55"/>
    </row>
    <row r="1501" spans="3:13" x14ac:dyDescent="0.2">
      <c r="C1501" s="49"/>
      <c r="G1501" s="2"/>
      <c r="H1501" s="2"/>
      <c r="L1501" s="55"/>
      <c r="M1501" s="55"/>
    </row>
    <row r="1502" spans="3:13" x14ac:dyDescent="0.2">
      <c r="C1502" s="49"/>
      <c r="G1502" s="2"/>
      <c r="H1502" s="2"/>
      <c r="L1502" s="55"/>
      <c r="M1502" s="55"/>
    </row>
    <row r="1503" spans="3:13" x14ac:dyDescent="0.2">
      <c r="C1503" s="49"/>
      <c r="G1503" s="2"/>
      <c r="H1503" s="2"/>
      <c r="L1503" s="55"/>
      <c r="M1503" s="55"/>
    </row>
    <row r="1504" spans="3:13" x14ac:dyDescent="0.2">
      <c r="C1504" s="49"/>
      <c r="G1504" s="2"/>
      <c r="H1504" s="2"/>
      <c r="L1504" s="55"/>
      <c r="M1504" s="55"/>
    </row>
    <row r="1505" spans="3:13" x14ac:dyDescent="0.2">
      <c r="C1505" s="49"/>
      <c r="G1505" s="2"/>
      <c r="H1505" s="2"/>
      <c r="L1505" s="55"/>
      <c r="M1505" s="55"/>
    </row>
    <row r="1506" spans="3:13" x14ac:dyDescent="0.2">
      <c r="C1506" s="49"/>
      <c r="G1506" s="2"/>
      <c r="H1506" s="2"/>
      <c r="L1506" s="55"/>
      <c r="M1506" s="55"/>
    </row>
    <row r="1507" spans="3:13" x14ac:dyDescent="0.2">
      <c r="C1507" s="49"/>
      <c r="G1507" s="2"/>
      <c r="H1507" s="2"/>
      <c r="L1507" s="55"/>
      <c r="M1507" s="55"/>
    </row>
    <row r="1508" spans="3:13" x14ac:dyDescent="0.2">
      <c r="C1508" s="49"/>
      <c r="G1508" s="2"/>
      <c r="H1508" s="2"/>
      <c r="L1508" s="55"/>
      <c r="M1508" s="55"/>
    </row>
    <row r="1509" spans="3:13" x14ac:dyDescent="0.2">
      <c r="C1509" s="49"/>
      <c r="G1509" s="2"/>
      <c r="H1509" s="2"/>
      <c r="L1509" s="55"/>
      <c r="M1509" s="55"/>
    </row>
    <row r="1510" spans="3:13" x14ac:dyDescent="0.2">
      <c r="C1510" s="49"/>
      <c r="G1510" s="2"/>
      <c r="H1510" s="2"/>
      <c r="L1510" s="55"/>
      <c r="M1510" s="55"/>
    </row>
    <row r="1511" spans="3:13" x14ac:dyDescent="0.2">
      <c r="C1511" s="49"/>
      <c r="G1511" s="2"/>
      <c r="H1511" s="2"/>
      <c r="L1511" s="55"/>
      <c r="M1511" s="55"/>
    </row>
    <row r="1512" spans="3:13" x14ac:dyDescent="0.2">
      <c r="C1512" s="49"/>
      <c r="G1512" s="2"/>
      <c r="H1512" s="2"/>
      <c r="L1512" s="55"/>
      <c r="M1512" s="55"/>
    </row>
    <row r="1513" spans="3:13" x14ac:dyDescent="0.2">
      <c r="C1513" s="49"/>
      <c r="G1513" s="2"/>
      <c r="H1513" s="2"/>
      <c r="L1513" s="55"/>
      <c r="M1513" s="55"/>
    </row>
    <row r="1514" spans="3:13" x14ac:dyDescent="0.2">
      <c r="C1514" s="49"/>
      <c r="G1514" s="2"/>
      <c r="H1514" s="2"/>
      <c r="L1514" s="55"/>
      <c r="M1514" s="55"/>
    </row>
    <row r="1515" spans="3:13" x14ac:dyDescent="0.2">
      <c r="C1515" s="49"/>
      <c r="G1515" s="2"/>
      <c r="H1515" s="2"/>
      <c r="L1515" s="55"/>
      <c r="M1515" s="55"/>
    </row>
    <row r="1516" spans="3:13" x14ac:dyDescent="0.2">
      <c r="C1516" s="49"/>
      <c r="G1516" s="2"/>
      <c r="H1516" s="2"/>
      <c r="L1516" s="55"/>
      <c r="M1516" s="55"/>
    </row>
    <row r="1517" spans="3:13" x14ac:dyDescent="0.2">
      <c r="C1517" s="49"/>
      <c r="G1517" s="2"/>
      <c r="H1517" s="2"/>
      <c r="L1517" s="55"/>
      <c r="M1517" s="55"/>
    </row>
    <row r="1518" spans="3:13" x14ac:dyDescent="0.2">
      <c r="C1518" s="49"/>
      <c r="G1518" s="2"/>
      <c r="H1518" s="2"/>
      <c r="L1518" s="55"/>
      <c r="M1518" s="55"/>
    </row>
    <row r="1519" spans="3:13" x14ac:dyDescent="0.2">
      <c r="C1519" s="49"/>
      <c r="G1519" s="2"/>
      <c r="H1519" s="2"/>
      <c r="L1519" s="55"/>
      <c r="M1519" s="55"/>
    </row>
    <row r="1520" spans="3:13" x14ac:dyDescent="0.2">
      <c r="C1520" s="49"/>
      <c r="G1520" s="2"/>
      <c r="H1520" s="2"/>
      <c r="L1520" s="55"/>
      <c r="M1520" s="55"/>
    </row>
    <row r="1521" spans="3:13" x14ac:dyDescent="0.2">
      <c r="C1521" s="49"/>
      <c r="G1521" s="2"/>
      <c r="H1521" s="2"/>
      <c r="L1521" s="55"/>
      <c r="M1521" s="55"/>
    </row>
    <row r="1522" spans="3:13" x14ac:dyDescent="0.2">
      <c r="C1522" s="49"/>
      <c r="G1522" s="2"/>
      <c r="H1522" s="2"/>
      <c r="L1522" s="55"/>
      <c r="M1522" s="55"/>
    </row>
    <row r="1523" spans="3:13" x14ac:dyDescent="0.2">
      <c r="C1523" s="49"/>
      <c r="G1523" s="2"/>
      <c r="H1523" s="2"/>
      <c r="L1523" s="55"/>
      <c r="M1523" s="55"/>
    </row>
    <row r="1524" spans="3:13" x14ac:dyDescent="0.2">
      <c r="C1524" s="49"/>
      <c r="G1524" s="2"/>
      <c r="H1524" s="2"/>
      <c r="L1524" s="55"/>
      <c r="M1524" s="55"/>
    </row>
    <row r="1525" spans="3:13" x14ac:dyDescent="0.2">
      <c r="C1525" s="49"/>
      <c r="G1525" s="2"/>
      <c r="H1525" s="2"/>
      <c r="L1525" s="55"/>
      <c r="M1525" s="55"/>
    </row>
    <row r="1526" spans="3:13" x14ac:dyDescent="0.2">
      <c r="C1526" s="49"/>
      <c r="G1526" s="2"/>
      <c r="H1526" s="2"/>
      <c r="L1526" s="55"/>
      <c r="M1526" s="55"/>
    </row>
    <row r="1527" spans="3:13" x14ac:dyDescent="0.2">
      <c r="C1527" s="49"/>
      <c r="G1527" s="2"/>
      <c r="H1527" s="2"/>
      <c r="L1527" s="55"/>
      <c r="M1527" s="55"/>
    </row>
    <row r="1528" spans="3:13" x14ac:dyDescent="0.2">
      <c r="C1528" s="49"/>
      <c r="G1528" s="2"/>
      <c r="H1528" s="2"/>
      <c r="L1528" s="55"/>
      <c r="M1528" s="55"/>
    </row>
    <row r="1529" spans="3:13" x14ac:dyDescent="0.2">
      <c r="C1529" s="49"/>
      <c r="G1529" s="2"/>
      <c r="H1529" s="2"/>
      <c r="L1529" s="55"/>
      <c r="M1529" s="55"/>
    </row>
    <row r="1530" spans="3:13" x14ac:dyDescent="0.2">
      <c r="C1530" s="49"/>
      <c r="G1530" s="2"/>
      <c r="H1530" s="2"/>
      <c r="L1530" s="55"/>
      <c r="M1530" s="55"/>
    </row>
    <row r="1531" spans="3:13" x14ac:dyDescent="0.2">
      <c r="C1531" s="49"/>
      <c r="G1531" s="2"/>
      <c r="H1531" s="2"/>
      <c r="L1531" s="55"/>
      <c r="M1531" s="55"/>
    </row>
    <row r="1532" spans="3:13" x14ac:dyDescent="0.2">
      <c r="C1532" s="49"/>
      <c r="G1532" s="2"/>
      <c r="H1532" s="2"/>
      <c r="L1532" s="55"/>
      <c r="M1532" s="55"/>
    </row>
    <row r="1533" spans="3:13" x14ac:dyDescent="0.2">
      <c r="C1533" s="49"/>
      <c r="G1533" s="2"/>
      <c r="H1533" s="2"/>
      <c r="L1533" s="55"/>
      <c r="M1533" s="55"/>
    </row>
    <row r="1534" spans="3:13" x14ac:dyDescent="0.2">
      <c r="C1534" s="49"/>
      <c r="G1534" s="2"/>
      <c r="H1534" s="2"/>
      <c r="L1534" s="55"/>
      <c r="M1534" s="55"/>
    </row>
    <row r="1535" spans="3:13" x14ac:dyDescent="0.2">
      <c r="C1535" s="49"/>
      <c r="G1535" s="2"/>
      <c r="H1535" s="2"/>
      <c r="L1535" s="55"/>
      <c r="M1535" s="55"/>
    </row>
    <row r="1536" spans="3:13" x14ac:dyDescent="0.2">
      <c r="C1536" s="49"/>
      <c r="G1536" s="2"/>
      <c r="H1536" s="2"/>
      <c r="L1536" s="55"/>
      <c r="M1536" s="55"/>
    </row>
    <row r="1537" spans="3:13" x14ac:dyDescent="0.2">
      <c r="C1537" s="49"/>
      <c r="G1537" s="2"/>
      <c r="H1537" s="2"/>
      <c r="L1537" s="55"/>
      <c r="M1537" s="55"/>
    </row>
    <row r="1538" spans="3:13" x14ac:dyDescent="0.2">
      <c r="C1538" s="49"/>
      <c r="G1538" s="2"/>
      <c r="H1538" s="2"/>
      <c r="L1538" s="55"/>
      <c r="M1538" s="55"/>
    </row>
    <row r="1539" spans="3:13" x14ac:dyDescent="0.2">
      <c r="C1539" s="49"/>
      <c r="G1539" s="2"/>
      <c r="H1539" s="2"/>
      <c r="L1539" s="55"/>
      <c r="M1539" s="55"/>
    </row>
    <row r="1540" spans="3:13" x14ac:dyDescent="0.2">
      <c r="C1540" s="49"/>
      <c r="G1540" s="2"/>
      <c r="H1540" s="2"/>
      <c r="L1540" s="55"/>
      <c r="M1540" s="55"/>
    </row>
    <row r="1541" spans="3:13" x14ac:dyDescent="0.2">
      <c r="C1541" s="49"/>
      <c r="G1541" s="2"/>
      <c r="H1541" s="2"/>
      <c r="L1541" s="55"/>
      <c r="M1541" s="55"/>
    </row>
    <row r="1542" spans="3:13" x14ac:dyDescent="0.2">
      <c r="C1542" s="49"/>
      <c r="G1542" s="2"/>
      <c r="H1542" s="2"/>
      <c r="L1542" s="55"/>
      <c r="M1542" s="55"/>
    </row>
    <row r="1543" spans="3:13" x14ac:dyDescent="0.2">
      <c r="C1543" s="49"/>
      <c r="G1543" s="2"/>
      <c r="H1543" s="2"/>
      <c r="L1543" s="55"/>
      <c r="M1543" s="55"/>
    </row>
    <row r="1544" spans="3:13" x14ac:dyDescent="0.2">
      <c r="C1544" s="49"/>
      <c r="G1544" s="2"/>
      <c r="H1544" s="2"/>
      <c r="L1544" s="55"/>
      <c r="M1544" s="55"/>
    </row>
    <row r="1545" spans="3:13" x14ac:dyDescent="0.2">
      <c r="C1545" s="49"/>
      <c r="G1545" s="2"/>
      <c r="H1545" s="2"/>
      <c r="L1545" s="55"/>
      <c r="M1545" s="55"/>
    </row>
    <row r="1546" spans="3:13" x14ac:dyDescent="0.2">
      <c r="C1546" s="49"/>
      <c r="G1546" s="2"/>
      <c r="H1546" s="2"/>
      <c r="L1546" s="55"/>
      <c r="M1546" s="55"/>
    </row>
    <row r="1547" spans="3:13" x14ac:dyDescent="0.2">
      <c r="C1547" s="49"/>
      <c r="G1547" s="2"/>
      <c r="H1547" s="2"/>
      <c r="L1547" s="55"/>
      <c r="M1547" s="55"/>
    </row>
    <row r="1548" spans="3:13" x14ac:dyDescent="0.2">
      <c r="C1548" s="49"/>
      <c r="G1548" s="2"/>
      <c r="H1548" s="2"/>
      <c r="L1548" s="55"/>
      <c r="M1548" s="55"/>
    </row>
    <row r="1549" spans="3:13" x14ac:dyDescent="0.2">
      <c r="C1549" s="49"/>
      <c r="G1549" s="2"/>
      <c r="H1549" s="2"/>
      <c r="L1549" s="55"/>
      <c r="M1549" s="55"/>
    </row>
    <row r="1550" spans="3:13" x14ac:dyDescent="0.2">
      <c r="C1550" s="49"/>
      <c r="G1550" s="2"/>
      <c r="H1550" s="2"/>
      <c r="L1550" s="55"/>
      <c r="M1550" s="55"/>
    </row>
    <row r="1551" spans="3:13" x14ac:dyDescent="0.2">
      <c r="C1551" s="49"/>
      <c r="G1551" s="2"/>
      <c r="H1551" s="2"/>
      <c r="L1551" s="55"/>
      <c r="M1551" s="55"/>
    </row>
    <row r="1552" spans="3:13" x14ac:dyDescent="0.2">
      <c r="C1552" s="49"/>
      <c r="G1552" s="2"/>
      <c r="H1552" s="2"/>
      <c r="L1552" s="55"/>
      <c r="M1552" s="55"/>
    </row>
    <row r="1553" spans="3:13" x14ac:dyDescent="0.2">
      <c r="C1553" s="49"/>
      <c r="G1553" s="2"/>
      <c r="H1553" s="2"/>
      <c r="L1553" s="55"/>
      <c r="M1553" s="55"/>
    </row>
    <row r="1554" spans="3:13" x14ac:dyDescent="0.2">
      <c r="C1554" s="49"/>
      <c r="G1554" s="2"/>
      <c r="H1554" s="2"/>
      <c r="L1554" s="55"/>
      <c r="M1554" s="55"/>
    </row>
    <row r="1555" spans="3:13" x14ac:dyDescent="0.2">
      <c r="C1555" s="49"/>
      <c r="G1555" s="2"/>
      <c r="H1555" s="2"/>
      <c r="L1555" s="55"/>
      <c r="M1555" s="55"/>
    </row>
    <row r="1556" spans="3:13" x14ac:dyDescent="0.2">
      <c r="C1556" s="49"/>
      <c r="G1556" s="2"/>
      <c r="H1556" s="2"/>
      <c r="L1556" s="55"/>
      <c r="M1556" s="55"/>
    </row>
    <row r="1557" spans="3:13" x14ac:dyDescent="0.2">
      <c r="C1557" s="49"/>
      <c r="G1557" s="2"/>
      <c r="H1557" s="2"/>
      <c r="L1557" s="55"/>
      <c r="M1557" s="55"/>
    </row>
    <row r="1558" spans="3:13" x14ac:dyDescent="0.2">
      <c r="C1558" s="49"/>
      <c r="G1558" s="2"/>
      <c r="H1558" s="2"/>
      <c r="L1558" s="55"/>
      <c r="M1558" s="55"/>
    </row>
    <row r="1559" spans="3:13" x14ac:dyDescent="0.2">
      <c r="C1559" s="49"/>
      <c r="G1559" s="2"/>
      <c r="H1559" s="2"/>
      <c r="L1559" s="55"/>
      <c r="M1559" s="55"/>
    </row>
    <row r="1560" spans="3:13" x14ac:dyDescent="0.2">
      <c r="C1560" s="49"/>
      <c r="G1560" s="2"/>
      <c r="H1560" s="2"/>
      <c r="L1560" s="55"/>
      <c r="M1560" s="55"/>
    </row>
    <row r="1561" spans="3:13" x14ac:dyDescent="0.2">
      <c r="C1561" s="49"/>
      <c r="G1561" s="2"/>
      <c r="H1561" s="2"/>
      <c r="L1561" s="55"/>
      <c r="M1561" s="55"/>
    </row>
    <row r="1562" spans="3:13" x14ac:dyDescent="0.2">
      <c r="C1562" s="49"/>
      <c r="G1562" s="2"/>
      <c r="H1562" s="2"/>
      <c r="L1562" s="55"/>
      <c r="M1562" s="55"/>
    </row>
    <row r="1563" spans="3:13" x14ac:dyDescent="0.2">
      <c r="C1563" s="49"/>
      <c r="G1563" s="2"/>
      <c r="H1563" s="2"/>
      <c r="L1563" s="55"/>
      <c r="M1563" s="55"/>
    </row>
    <row r="1564" spans="3:13" x14ac:dyDescent="0.2">
      <c r="C1564" s="49"/>
      <c r="G1564" s="2"/>
      <c r="H1564" s="2"/>
      <c r="L1564" s="55"/>
      <c r="M1564" s="55"/>
    </row>
    <row r="1565" spans="3:13" x14ac:dyDescent="0.2">
      <c r="C1565" s="49"/>
      <c r="G1565" s="2"/>
      <c r="H1565" s="2"/>
      <c r="L1565" s="55"/>
      <c r="M1565" s="55"/>
    </row>
    <row r="1566" spans="3:13" x14ac:dyDescent="0.2">
      <c r="C1566" s="49"/>
      <c r="G1566" s="2"/>
      <c r="H1566" s="2"/>
      <c r="L1566" s="55"/>
      <c r="M1566" s="55"/>
    </row>
    <row r="1567" spans="3:13" x14ac:dyDescent="0.2">
      <c r="C1567" s="49"/>
      <c r="G1567" s="2"/>
      <c r="H1567" s="2"/>
      <c r="L1567" s="55"/>
      <c r="M1567" s="55"/>
    </row>
    <row r="1568" spans="3:13" x14ac:dyDescent="0.2">
      <c r="C1568" s="49"/>
      <c r="G1568" s="2"/>
      <c r="H1568" s="2"/>
      <c r="L1568" s="55"/>
      <c r="M1568" s="55"/>
    </row>
    <row r="1569" spans="3:13" x14ac:dyDescent="0.2">
      <c r="C1569" s="49"/>
      <c r="G1569" s="2"/>
      <c r="H1569" s="2"/>
      <c r="L1569" s="55"/>
      <c r="M1569" s="55"/>
    </row>
    <row r="1570" spans="3:13" x14ac:dyDescent="0.2">
      <c r="C1570" s="49"/>
      <c r="G1570" s="2"/>
      <c r="H1570" s="2"/>
      <c r="L1570" s="55"/>
      <c r="M1570" s="55"/>
    </row>
    <row r="1571" spans="3:13" x14ac:dyDescent="0.2">
      <c r="C1571" s="49"/>
      <c r="G1571" s="2"/>
      <c r="H1571" s="2"/>
      <c r="L1571" s="55"/>
      <c r="M1571" s="55"/>
    </row>
    <row r="1572" spans="3:13" x14ac:dyDescent="0.2">
      <c r="C1572" s="49"/>
      <c r="G1572" s="2"/>
      <c r="H1572" s="2"/>
      <c r="L1572" s="55"/>
      <c r="M1572" s="55"/>
    </row>
    <row r="1573" spans="3:13" x14ac:dyDescent="0.2">
      <c r="C1573" s="49"/>
      <c r="G1573" s="2"/>
      <c r="H1573" s="2"/>
      <c r="L1573" s="55"/>
      <c r="M1573" s="55"/>
    </row>
    <row r="1574" spans="3:13" x14ac:dyDescent="0.2">
      <c r="C1574" s="49"/>
      <c r="G1574" s="2"/>
      <c r="H1574" s="2"/>
      <c r="L1574" s="55"/>
      <c r="M1574" s="55"/>
    </row>
    <row r="1575" spans="3:13" x14ac:dyDescent="0.2">
      <c r="C1575" s="49"/>
      <c r="G1575" s="2"/>
      <c r="H1575" s="2"/>
      <c r="L1575" s="55"/>
      <c r="M1575" s="55"/>
    </row>
    <row r="1576" spans="3:13" x14ac:dyDescent="0.2">
      <c r="C1576" s="49"/>
      <c r="G1576" s="2"/>
      <c r="H1576" s="2"/>
      <c r="L1576" s="55"/>
      <c r="M1576" s="55"/>
    </row>
    <row r="1577" spans="3:13" x14ac:dyDescent="0.2">
      <c r="C1577" s="49"/>
      <c r="G1577" s="2"/>
      <c r="H1577" s="2"/>
      <c r="L1577" s="55"/>
      <c r="M1577" s="55"/>
    </row>
    <row r="1578" spans="3:13" x14ac:dyDescent="0.2">
      <c r="C1578" s="49"/>
      <c r="G1578" s="2"/>
      <c r="H1578" s="2"/>
      <c r="L1578" s="55"/>
      <c r="M1578" s="55"/>
    </row>
    <row r="1579" spans="3:13" x14ac:dyDescent="0.2">
      <c r="C1579" s="49"/>
      <c r="G1579" s="2"/>
      <c r="H1579" s="2"/>
      <c r="L1579" s="55"/>
      <c r="M1579" s="55"/>
    </row>
    <row r="1580" spans="3:13" x14ac:dyDescent="0.2">
      <c r="C1580" s="49"/>
      <c r="G1580" s="2"/>
      <c r="H1580" s="2"/>
      <c r="L1580" s="55"/>
      <c r="M1580" s="55"/>
    </row>
    <row r="1581" spans="3:13" x14ac:dyDescent="0.2">
      <c r="C1581" s="49"/>
      <c r="G1581" s="2"/>
      <c r="H1581" s="2"/>
      <c r="L1581" s="55"/>
      <c r="M1581" s="55"/>
    </row>
    <row r="1582" spans="3:13" x14ac:dyDescent="0.2">
      <c r="C1582" s="49"/>
      <c r="G1582" s="2"/>
      <c r="H1582" s="2"/>
      <c r="L1582" s="55"/>
      <c r="M1582" s="55"/>
    </row>
    <row r="1583" spans="3:13" x14ac:dyDescent="0.2">
      <c r="C1583" s="49"/>
      <c r="G1583" s="2"/>
      <c r="H1583" s="2"/>
      <c r="L1583" s="55"/>
      <c r="M1583" s="55"/>
    </row>
    <row r="1584" spans="3:13" x14ac:dyDescent="0.2">
      <c r="C1584" s="49"/>
      <c r="G1584" s="2"/>
      <c r="H1584" s="2"/>
      <c r="L1584" s="55"/>
      <c r="M1584" s="55"/>
    </row>
    <row r="1585" spans="3:13" x14ac:dyDescent="0.2">
      <c r="C1585" s="49"/>
      <c r="G1585" s="2"/>
      <c r="H1585" s="2"/>
      <c r="L1585" s="55"/>
      <c r="M1585" s="55"/>
    </row>
    <row r="1586" spans="3:13" x14ac:dyDescent="0.2">
      <c r="C1586" s="49"/>
      <c r="G1586" s="2"/>
      <c r="H1586" s="2"/>
      <c r="L1586" s="55"/>
      <c r="M1586" s="55"/>
    </row>
    <row r="1587" spans="3:13" x14ac:dyDescent="0.2">
      <c r="C1587" s="49"/>
      <c r="G1587" s="2"/>
      <c r="H1587" s="2"/>
      <c r="L1587" s="55"/>
      <c r="M1587" s="55"/>
    </row>
    <row r="1588" spans="3:13" x14ac:dyDescent="0.2">
      <c r="C1588" s="49"/>
      <c r="G1588" s="2"/>
      <c r="H1588" s="2"/>
      <c r="L1588" s="55"/>
      <c r="M1588" s="55"/>
    </row>
    <row r="1589" spans="3:13" x14ac:dyDescent="0.2">
      <c r="C1589" s="49"/>
      <c r="G1589" s="2"/>
      <c r="H1589" s="2"/>
      <c r="L1589" s="55"/>
      <c r="M1589" s="55"/>
    </row>
    <row r="1590" spans="3:13" x14ac:dyDescent="0.2">
      <c r="C1590" s="49"/>
      <c r="G1590" s="2"/>
      <c r="H1590" s="2"/>
      <c r="L1590" s="55"/>
      <c r="M1590" s="55"/>
    </row>
    <row r="1591" spans="3:13" x14ac:dyDescent="0.2">
      <c r="C1591" s="49"/>
      <c r="G1591" s="2"/>
      <c r="H1591" s="2"/>
      <c r="L1591" s="55"/>
      <c r="M1591" s="55"/>
    </row>
    <row r="1592" spans="3:13" x14ac:dyDescent="0.2">
      <c r="C1592" s="49"/>
      <c r="G1592" s="2"/>
      <c r="H1592" s="2"/>
      <c r="L1592" s="55"/>
      <c r="M1592" s="55"/>
    </row>
    <row r="1593" spans="3:13" x14ac:dyDescent="0.2">
      <c r="C1593" s="49"/>
      <c r="G1593" s="2"/>
      <c r="H1593" s="2"/>
      <c r="L1593" s="55"/>
      <c r="M1593" s="55"/>
    </row>
    <row r="1594" spans="3:13" x14ac:dyDescent="0.2">
      <c r="C1594" s="49"/>
      <c r="G1594" s="2"/>
      <c r="H1594" s="2"/>
      <c r="L1594" s="55"/>
      <c r="M1594" s="55"/>
    </row>
    <row r="1595" spans="3:13" x14ac:dyDescent="0.2">
      <c r="C1595" s="49"/>
      <c r="G1595" s="2"/>
      <c r="H1595" s="2"/>
      <c r="L1595" s="55"/>
      <c r="M1595" s="55"/>
    </row>
    <row r="1596" spans="3:13" x14ac:dyDescent="0.2">
      <c r="C1596" s="49"/>
      <c r="G1596" s="2"/>
      <c r="H1596" s="2"/>
      <c r="L1596" s="55"/>
      <c r="M1596" s="55"/>
    </row>
    <row r="1597" spans="3:13" x14ac:dyDescent="0.2">
      <c r="C1597" s="49"/>
      <c r="G1597" s="2"/>
      <c r="H1597" s="2"/>
      <c r="L1597" s="55"/>
      <c r="M1597" s="55"/>
    </row>
    <row r="1598" spans="3:13" x14ac:dyDescent="0.2">
      <c r="C1598" s="49"/>
      <c r="G1598" s="2"/>
      <c r="H1598" s="2"/>
      <c r="L1598" s="55"/>
      <c r="M1598" s="55"/>
    </row>
    <row r="1599" spans="3:13" x14ac:dyDescent="0.2">
      <c r="C1599" s="49"/>
      <c r="G1599" s="2"/>
      <c r="H1599" s="2"/>
      <c r="L1599" s="55"/>
      <c r="M1599" s="55"/>
    </row>
    <row r="1600" spans="3:13" x14ac:dyDescent="0.2">
      <c r="C1600" s="49"/>
      <c r="G1600" s="2"/>
      <c r="H1600" s="2"/>
      <c r="L1600" s="55"/>
      <c r="M1600" s="55"/>
    </row>
    <row r="1601" spans="3:13" x14ac:dyDescent="0.2">
      <c r="C1601" s="49"/>
      <c r="G1601" s="2"/>
      <c r="H1601" s="2"/>
      <c r="L1601" s="55"/>
      <c r="M1601" s="55"/>
    </row>
    <row r="1602" spans="3:13" x14ac:dyDescent="0.2">
      <c r="C1602" s="49"/>
      <c r="G1602" s="2"/>
      <c r="H1602" s="2"/>
      <c r="L1602" s="55"/>
      <c r="M1602" s="55"/>
    </row>
    <row r="1603" spans="3:13" x14ac:dyDescent="0.2">
      <c r="C1603" s="49"/>
      <c r="G1603" s="2"/>
      <c r="H1603" s="2"/>
      <c r="L1603" s="55"/>
      <c r="M1603" s="55"/>
    </row>
    <row r="1604" spans="3:13" x14ac:dyDescent="0.2">
      <c r="C1604" s="49"/>
      <c r="G1604" s="2"/>
      <c r="H1604" s="2"/>
      <c r="L1604" s="55"/>
      <c r="M1604" s="55"/>
    </row>
    <row r="1605" spans="3:13" x14ac:dyDescent="0.2">
      <c r="C1605" s="49"/>
      <c r="G1605" s="2"/>
      <c r="H1605" s="2"/>
      <c r="L1605" s="55"/>
      <c r="M1605" s="55"/>
    </row>
    <row r="1606" spans="3:13" x14ac:dyDescent="0.2">
      <c r="C1606" s="49"/>
      <c r="G1606" s="2"/>
      <c r="H1606" s="2"/>
      <c r="L1606" s="55"/>
      <c r="M1606" s="55"/>
    </row>
    <row r="1607" spans="3:13" x14ac:dyDescent="0.2">
      <c r="C1607" s="49"/>
      <c r="G1607" s="2"/>
      <c r="H1607" s="2"/>
      <c r="L1607" s="55"/>
      <c r="M1607" s="55"/>
    </row>
    <row r="1608" spans="3:13" x14ac:dyDescent="0.2">
      <c r="C1608" s="49"/>
      <c r="G1608" s="2"/>
      <c r="H1608" s="2"/>
      <c r="L1608" s="55"/>
      <c r="M1608" s="55"/>
    </row>
    <row r="1609" spans="3:13" x14ac:dyDescent="0.2">
      <c r="C1609" s="49"/>
      <c r="G1609" s="2"/>
      <c r="H1609" s="2"/>
      <c r="L1609" s="55"/>
      <c r="M1609" s="55"/>
    </row>
    <row r="1610" spans="3:13" x14ac:dyDescent="0.2">
      <c r="C1610" s="49"/>
      <c r="G1610" s="2"/>
      <c r="H1610" s="2"/>
      <c r="L1610" s="55"/>
      <c r="M1610" s="55"/>
    </row>
    <row r="1611" spans="3:13" x14ac:dyDescent="0.2">
      <c r="C1611" s="49"/>
      <c r="G1611" s="2"/>
      <c r="H1611" s="2"/>
      <c r="L1611" s="55"/>
      <c r="M1611" s="55"/>
    </row>
    <row r="1612" spans="3:13" x14ac:dyDescent="0.2">
      <c r="C1612" s="49"/>
      <c r="G1612" s="2"/>
      <c r="H1612" s="2"/>
      <c r="L1612" s="55"/>
      <c r="M1612" s="55"/>
    </row>
    <row r="1613" spans="3:13" x14ac:dyDescent="0.2">
      <c r="C1613" s="49"/>
      <c r="G1613" s="2"/>
      <c r="H1613" s="2"/>
      <c r="L1613" s="55"/>
      <c r="M1613" s="55"/>
    </row>
    <row r="1614" spans="3:13" x14ac:dyDescent="0.2">
      <c r="C1614" s="49"/>
      <c r="G1614" s="2"/>
      <c r="H1614" s="2"/>
      <c r="L1614" s="55"/>
      <c r="M1614" s="55"/>
    </row>
    <row r="1615" spans="3:13" x14ac:dyDescent="0.2">
      <c r="C1615" s="49"/>
      <c r="G1615" s="2"/>
      <c r="H1615" s="2"/>
      <c r="L1615" s="55"/>
      <c r="M1615" s="55"/>
    </row>
    <row r="1616" spans="3:13" x14ac:dyDescent="0.2">
      <c r="C1616" s="49"/>
      <c r="G1616" s="2"/>
      <c r="H1616" s="2"/>
      <c r="L1616" s="55"/>
      <c r="M1616" s="55"/>
    </row>
    <row r="1617" spans="3:13" x14ac:dyDescent="0.2">
      <c r="C1617" s="49"/>
      <c r="G1617" s="2"/>
      <c r="H1617" s="2"/>
      <c r="L1617" s="55"/>
      <c r="M1617" s="55"/>
    </row>
    <row r="1618" spans="3:13" x14ac:dyDescent="0.2">
      <c r="C1618" s="49"/>
      <c r="G1618" s="2"/>
      <c r="H1618" s="2"/>
      <c r="L1618" s="55"/>
      <c r="M1618" s="55"/>
    </row>
    <row r="1619" spans="3:13" x14ac:dyDescent="0.2">
      <c r="C1619" s="49"/>
      <c r="G1619" s="2"/>
      <c r="H1619" s="2"/>
      <c r="L1619" s="55"/>
      <c r="M1619" s="55"/>
    </row>
    <row r="1620" spans="3:13" x14ac:dyDescent="0.2">
      <c r="C1620" s="49"/>
      <c r="G1620" s="2"/>
      <c r="H1620" s="2"/>
      <c r="L1620" s="55"/>
      <c r="M1620" s="55"/>
    </row>
    <row r="1621" spans="3:13" x14ac:dyDescent="0.2">
      <c r="C1621" s="49"/>
      <c r="G1621" s="2"/>
      <c r="H1621" s="2"/>
      <c r="L1621" s="55"/>
      <c r="M1621" s="55"/>
    </row>
    <row r="1622" spans="3:13" x14ac:dyDescent="0.2">
      <c r="C1622" s="49"/>
      <c r="G1622" s="2"/>
      <c r="H1622" s="2"/>
      <c r="L1622" s="55"/>
      <c r="M1622" s="55"/>
    </row>
    <row r="1623" spans="3:13" x14ac:dyDescent="0.2">
      <c r="C1623" s="49"/>
      <c r="G1623" s="2"/>
      <c r="H1623" s="2"/>
      <c r="L1623" s="55"/>
      <c r="M1623" s="55"/>
    </row>
    <row r="1624" spans="3:13" x14ac:dyDescent="0.2">
      <c r="C1624" s="49"/>
      <c r="G1624" s="2"/>
      <c r="H1624" s="2"/>
      <c r="L1624" s="55"/>
      <c r="M1624" s="55"/>
    </row>
    <row r="1625" spans="3:13" x14ac:dyDescent="0.2">
      <c r="C1625" s="49"/>
      <c r="G1625" s="2"/>
      <c r="H1625" s="2"/>
      <c r="L1625" s="55"/>
      <c r="M1625" s="55"/>
    </row>
    <row r="1626" spans="3:13" x14ac:dyDescent="0.2">
      <c r="C1626" s="49"/>
      <c r="G1626" s="2"/>
      <c r="H1626" s="2"/>
      <c r="L1626" s="55"/>
      <c r="M1626" s="55"/>
    </row>
    <row r="1627" spans="3:13" x14ac:dyDescent="0.2">
      <c r="C1627" s="49"/>
      <c r="G1627" s="2"/>
      <c r="H1627" s="2"/>
      <c r="L1627" s="55"/>
      <c r="M1627" s="55"/>
    </row>
    <row r="1628" spans="3:13" x14ac:dyDescent="0.2">
      <c r="C1628" s="49"/>
      <c r="G1628" s="2"/>
      <c r="H1628" s="2"/>
      <c r="L1628" s="55"/>
      <c r="M1628" s="55"/>
    </row>
    <row r="1629" spans="3:13" x14ac:dyDescent="0.2">
      <c r="C1629" s="49"/>
      <c r="G1629" s="2"/>
      <c r="H1629" s="2"/>
      <c r="L1629" s="55"/>
      <c r="M1629" s="55"/>
    </row>
    <row r="1630" spans="3:13" x14ac:dyDescent="0.2">
      <c r="C1630" s="49"/>
      <c r="G1630" s="2"/>
      <c r="H1630" s="2"/>
      <c r="L1630" s="55"/>
      <c r="M1630" s="55"/>
    </row>
    <row r="1631" spans="3:13" x14ac:dyDescent="0.2">
      <c r="C1631" s="49"/>
      <c r="G1631" s="2"/>
      <c r="H1631" s="2"/>
      <c r="L1631" s="55"/>
      <c r="M1631" s="55"/>
    </row>
    <row r="1632" spans="3:13" x14ac:dyDescent="0.2">
      <c r="C1632" s="49"/>
      <c r="G1632" s="2"/>
      <c r="H1632" s="2"/>
      <c r="L1632" s="55"/>
      <c r="M1632" s="55"/>
    </row>
    <row r="1633" spans="3:13" x14ac:dyDescent="0.2">
      <c r="C1633" s="49"/>
      <c r="G1633" s="2"/>
      <c r="H1633" s="2"/>
      <c r="L1633" s="55"/>
      <c r="M1633" s="55"/>
    </row>
    <row r="1634" spans="3:13" x14ac:dyDescent="0.2">
      <c r="C1634" s="49"/>
      <c r="G1634" s="2"/>
      <c r="H1634" s="2"/>
      <c r="L1634" s="55"/>
      <c r="M1634" s="55"/>
    </row>
    <row r="1635" spans="3:13" x14ac:dyDescent="0.2">
      <c r="C1635" s="49"/>
      <c r="G1635" s="2"/>
      <c r="H1635" s="2"/>
      <c r="L1635" s="55"/>
      <c r="M1635" s="55"/>
    </row>
    <row r="1636" spans="3:13" x14ac:dyDescent="0.2">
      <c r="C1636" s="49"/>
      <c r="G1636" s="2"/>
      <c r="H1636" s="2"/>
      <c r="L1636" s="55"/>
      <c r="M1636" s="55"/>
    </row>
    <row r="1637" spans="3:13" x14ac:dyDescent="0.2">
      <c r="C1637" s="49"/>
      <c r="G1637" s="2"/>
      <c r="H1637" s="2"/>
      <c r="L1637" s="55"/>
      <c r="M1637" s="55"/>
    </row>
    <row r="1638" spans="3:13" x14ac:dyDescent="0.2">
      <c r="C1638" s="49"/>
      <c r="G1638" s="2"/>
      <c r="H1638" s="2"/>
      <c r="L1638" s="55"/>
      <c r="M1638" s="55"/>
    </row>
    <row r="1639" spans="3:13" x14ac:dyDescent="0.2">
      <c r="C1639" s="49"/>
      <c r="G1639" s="2"/>
      <c r="H1639" s="2"/>
      <c r="L1639" s="55"/>
      <c r="M1639" s="55"/>
    </row>
    <row r="1640" spans="3:13" x14ac:dyDescent="0.2">
      <c r="C1640" s="49"/>
      <c r="G1640" s="2"/>
      <c r="H1640" s="2"/>
      <c r="L1640" s="55"/>
      <c r="M1640" s="55"/>
    </row>
    <row r="1641" spans="3:13" x14ac:dyDescent="0.2">
      <c r="C1641" s="49"/>
      <c r="G1641" s="2"/>
      <c r="H1641" s="2"/>
      <c r="L1641" s="55"/>
      <c r="M1641" s="55"/>
    </row>
    <row r="1642" spans="3:13" x14ac:dyDescent="0.2">
      <c r="C1642" s="49"/>
      <c r="G1642" s="2"/>
      <c r="H1642" s="2"/>
      <c r="L1642" s="55"/>
      <c r="M1642" s="55"/>
    </row>
    <row r="1643" spans="3:13" x14ac:dyDescent="0.2">
      <c r="C1643" s="49"/>
      <c r="G1643" s="2"/>
      <c r="H1643" s="2"/>
      <c r="L1643" s="55"/>
      <c r="M1643" s="55"/>
    </row>
    <row r="1644" spans="3:13" x14ac:dyDescent="0.2">
      <c r="C1644" s="49"/>
      <c r="G1644" s="2"/>
      <c r="H1644" s="2"/>
      <c r="L1644" s="55"/>
      <c r="M1644" s="55"/>
    </row>
    <row r="1645" spans="3:13" x14ac:dyDescent="0.2">
      <c r="C1645" s="49"/>
      <c r="G1645" s="2"/>
      <c r="H1645" s="2"/>
      <c r="L1645" s="55"/>
      <c r="M1645" s="55"/>
    </row>
    <row r="1646" spans="3:13" x14ac:dyDescent="0.2">
      <c r="C1646" s="49"/>
      <c r="G1646" s="2"/>
      <c r="H1646" s="2"/>
      <c r="L1646" s="55"/>
      <c r="M1646" s="55"/>
    </row>
    <row r="1647" spans="3:13" x14ac:dyDescent="0.2">
      <c r="C1647" s="49"/>
      <c r="G1647" s="2"/>
      <c r="H1647" s="2"/>
      <c r="L1647" s="55"/>
      <c r="M1647" s="55"/>
    </row>
    <row r="1648" spans="3:13" x14ac:dyDescent="0.2">
      <c r="C1648" s="49"/>
      <c r="G1648" s="2"/>
      <c r="H1648" s="2"/>
      <c r="L1648" s="55"/>
      <c r="M1648" s="55"/>
    </row>
    <row r="1649" spans="3:13" x14ac:dyDescent="0.2">
      <c r="C1649" s="49"/>
      <c r="G1649" s="2"/>
      <c r="H1649" s="2"/>
      <c r="L1649" s="55"/>
      <c r="M1649" s="55"/>
    </row>
    <row r="1650" spans="3:13" x14ac:dyDescent="0.2">
      <c r="C1650" s="49"/>
      <c r="G1650" s="2"/>
      <c r="H1650" s="2"/>
      <c r="L1650" s="55"/>
      <c r="M1650" s="55"/>
    </row>
    <row r="1651" spans="3:13" x14ac:dyDescent="0.2">
      <c r="C1651" s="49"/>
      <c r="G1651" s="2"/>
      <c r="H1651" s="2"/>
      <c r="L1651" s="55"/>
      <c r="M1651" s="55"/>
    </row>
    <row r="1652" spans="3:13" x14ac:dyDescent="0.2">
      <c r="C1652" s="49"/>
      <c r="G1652" s="2"/>
      <c r="H1652" s="2"/>
      <c r="L1652" s="55"/>
      <c r="M1652" s="55"/>
    </row>
    <row r="1653" spans="3:13" x14ac:dyDescent="0.2">
      <c r="C1653" s="49"/>
      <c r="G1653" s="2"/>
      <c r="H1653" s="2"/>
      <c r="L1653" s="55"/>
      <c r="M1653" s="55"/>
    </row>
    <row r="1654" spans="3:13" x14ac:dyDescent="0.2">
      <c r="C1654" s="49"/>
      <c r="G1654" s="2"/>
      <c r="H1654" s="2"/>
      <c r="L1654" s="55"/>
      <c r="M1654" s="55"/>
    </row>
    <row r="1655" spans="3:13" x14ac:dyDescent="0.2">
      <c r="C1655" s="49"/>
      <c r="G1655" s="2"/>
      <c r="H1655" s="2"/>
      <c r="L1655" s="55"/>
      <c r="M1655" s="55"/>
    </row>
    <row r="1656" spans="3:13" x14ac:dyDescent="0.2">
      <c r="C1656" s="49"/>
      <c r="G1656" s="2"/>
      <c r="H1656" s="2"/>
      <c r="L1656" s="55"/>
      <c r="M1656" s="55"/>
    </row>
    <row r="1657" spans="3:13" x14ac:dyDescent="0.2">
      <c r="C1657" s="49"/>
      <c r="G1657" s="2"/>
      <c r="H1657" s="2"/>
      <c r="L1657" s="55"/>
      <c r="M1657" s="55"/>
    </row>
    <row r="1658" spans="3:13" x14ac:dyDescent="0.2">
      <c r="C1658" s="49"/>
      <c r="G1658" s="2"/>
      <c r="H1658" s="2"/>
      <c r="L1658" s="55"/>
      <c r="M1658" s="55"/>
    </row>
    <row r="1659" spans="3:13" x14ac:dyDescent="0.2">
      <c r="C1659" s="49"/>
      <c r="G1659" s="2"/>
      <c r="H1659" s="2"/>
      <c r="L1659" s="55"/>
      <c r="M1659" s="55"/>
    </row>
    <row r="1660" spans="3:13" x14ac:dyDescent="0.2">
      <c r="C1660" s="49"/>
      <c r="G1660" s="2"/>
      <c r="H1660" s="2"/>
      <c r="L1660" s="55"/>
      <c r="M1660" s="55"/>
    </row>
    <row r="1661" spans="3:13" x14ac:dyDescent="0.2">
      <c r="C1661" s="49"/>
      <c r="G1661" s="2"/>
      <c r="H1661" s="2"/>
      <c r="L1661" s="55"/>
      <c r="M1661" s="55"/>
    </row>
    <row r="1662" spans="3:13" x14ac:dyDescent="0.2">
      <c r="C1662" s="49"/>
      <c r="G1662" s="2"/>
      <c r="H1662" s="2"/>
      <c r="L1662" s="55"/>
      <c r="M1662" s="55"/>
    </row>
    <row r="1663" spans="3:13" x14ac:dyDescent="0.2">
      <c r="C1663" s="49"/>
      <c r="G1663" s="2"/>
      <c r="H1663" s="2"/>
      <c r="L1663" s="55"/>
      <c r="M1663" s="55"/>
    </row>
    <row r="1664" spans="3:13" x14ac:dyDescent="0.2">
      <c r="C1664" s="49"/>
      <c r="G1664" s="2"/>
      <c r="H1664" s="2"/>
      <c r="L1664" s="55"/>
      <c r="M1664" s="55"/>
    </row>
    <row r="1665" spans="3:13" x14ac:dyDescent="0.2">
      <c r="C1665" s="49"/>
      <c r="G1665" s="2"/>
      <c r="H1665" s="2"/>
      <c r="L1665" s="55"/>
      <c r="M1665" s="55"/>
    </row>
    <row r="1666" spans="3:13" x14ac:dyDescent="0.2">
      <c r="C1666" s="49"/>
      <c r="G1666" s="2"/>
      <c r="H1666" s="2"/>
      <c r="L1666" s="55"/>
      <c r="M1666" s="55"/>
    </row>
    <row r="1667" spans="3:13" x14ac:dyDescent="0.2">
      <c r="C1667" s="49"/>
      <c r="G1667" s="2"/>
      <c r="H1667" s="2"/>
      <c r="L1667" s="55"/>
      <c r="M1667" s="55"/>
    </row>
    <row r="1668" spans="3:13" x14ac:dyDescent="0.2">
      <c r="C1668" s="49"/>
      <c r="G1668" s="2"/>
      <c r="H1668" s="2"/>
      <c r="L1668" s="55"/>
      <c r="M1668" s="55"/>
    </row>
    <row r="1669" spans="3:13" x14ac:dyDescent="0.2">
      <c r="C1669" s="49"/>
      <c r="G1669" s="2"/>
      <c r="H1669" s="2"/>
      <c r="L1669" s="55"/>
      <c r="M1669" s="55"/>
    </row>
    <row r="1670" spans="3:13" x14ac:dyDescent="0.2">
      <c r="C1670" s="49"/>
      <c r="G1670" s="2"/>
      <c r="H1670" s="2"/>
      <c r="L1670" s="55"/>
      <c r="M1670" s="55"/>
    </row>
    <row r="1671" spans="3:13" x14ac:dyDescent="0.2">
      <c r="C1671" s="49"/>
      <c r="G1671" s="2"/>
      <c r="H1671" s="2"/>
      <c r="L1671" s="55"/>
      <c r="M1671" s="55"/>
    </row>
    <row r="1672" spans="3:13" x14ac:dyDescent="0.2">
      <c r="C1672" s="49"/>
      <c r="G1672" s="2"/>
      <c r="H1672" s="2"/>
      <c r="L1672" s="55"/>
      <c r="M1672" s="55"/>
    </row>
    <row r="1673" spans="3:13" x14ac:dyDescent="0.2">
      <c r="C1673" s="49"/>
      <c r="G1673" s="2"/>
      <c r="H1673" s="2"/>
      <c r="L1673" s="55"/>
      <c r="M1673" s="55"/>
    </row>
    <row r="1674" spans="3:13" x14ac:dyDescent="0.2">
      <c r="C1674" s="49"/>
      <c r="G1674" s="2"/>
      <c r="H1674" s="2"/>
      <c r="L1674" s="55"/>
      <c r="M1674" s="55"/>
    </row>
    <row r="1675" spans="3:13" x14ac:dyDescent="0.2">
      <c r="C1675" s="49"/>
      <c r="G1675" s="2"/>
      <c r="H1675" s="2"/>
      <c r="L1675" s="55"/>
      <c r="M1675" s="55"/>
    </row>
    <row r="1676" spans="3:13" x14ac:dyDescent="0.2">
      <c r="C1676" s="49"/>
      <c r="G1676" s="2"/>
      <c r="H1676" s="2"/>
      <c r="L1676" s="55"/>
      <c r="M1676" s="55"/>
    </row>
    <row r="1677" spans="3:13" x14ac:dyDescent="0.2">
      <c r="C1677" s="49"/>
      <c r="G1677" s="2"/>
      <c r="H1677" s="2"/>
      <c r="L1677" s="55"/>
      <c r="M1677" s="55"/>
    </row>
    <row r="1678" spans="3:13" x14ac:dyDescent="0.2">
      <c r="C1678" s="49"/>
      <c r="G1678" s="2"/>
      <c r="H1678" s="2"/>
      <c r="L1678" s="55"/>
      <c r="M1678" s="55"/>
    </row>
    <row r="1679" spans="3:13" x14ac:dyDescent="0.2">
      <c r="C1679" s="49"/>
      <c r="G1679" s="2"/>
      <c r="H1679" s="2"/>
      <c r="L1679" s="55"/>
      <c r="M1679" s="55"/>
    </row>
    <row r="1680" spans="3:13" x14ac:dyDescent="0.2">
      <c r="C1680" s="49"/>
      <c r="G1680" s="2"/>
      <c r="H1680" s="2"/>
      <c r="L1680" s="55"/>
      <c r="M1680" s="55"/>
    </row>
    <row r="1681" spans="3:13" x14ac:dyDescent="0.2">
      <c r="C1681" s="49"/>
      <c r="G1681" s="2"/>
      <c r="H1681" s="2"/>
      <c r="L1681" s="55"/>
      <c r="M1681" s="55"/>
    </row>
    <row r="1682" spans="3:13" x14ac:dyDescent="0.2">
      <c r="C1682" s="49"/>
      <c r="G1682" s="2"/>
      <c r="H1682" s="2"/>
      <c r="L1682" s="55"/>
      <c r="M1682" s="55"/>
    </row>
    <row r="1683" spans="3:13" x14ac:dyDescent="0.2">
      <c r="C1683" s="49"/>
      <c r="G1683" s="2"/>
      <c r="H1683" s="2"/>
      <c r="L1683" s="55"/>
      <c r="M1683" s="55"/>
    </row>
    <row r="1684" spans="3:13" x14ac:dyDescent="0.2">
      <c r="C1684" s="49"/>
      <c r="G1684" s="2"/>
      <c r="H1684" s="2"/>
      <c r="L1684" s="55"/>
      <c r="M1684" s="55"/>
    </row>
    <row r="1685" spans="3:13" x14ac:dyDescent="0.2">
      <c r="C1685" s="49"/>
      <c r="G1685" s="2"/>
      <c r="H1685" s="2"/>
      <c r="L1685" s="55"/>
      <c r="M1685" s="55"/>
    </row>
    <row r="1686" spans="3:13" x14ac:dyDescent="0.2">
      <c r="C1686" s="49"/>
      <c r="G1686" s="2"/>
      <c r="H1686" s="2"/>
      <c r="L1686" s="55"/>
      <c r="M1686" s="55"/>
    </row>
    <row r="1687" spans="3:13" x14ac:dyDescent="0.2">
      <c r="C1687" s="49"/>
      <c r="G1687" s="2"/>
      <c r="H1687" s="2"/>
      <c r="L1687" s="55"/>
      <c r="M1687" s="55"/>
    </row>
    <row r="1688" spans="3:13" x14ac:dyDescent="0.2">
      <c r="C1688" s="49"/>
      <c r="G1688" s="2"/>
      <c r="H1688" s="2"/>
      <c r="L1688" s="55"/>
      <c r="M1688" s="55"/>
    </row>
    <row r="1689" spans="3:13" x14ac:dyDescent="0.2">
      <c r="C1689" s="49"/>
      <c r="G1689" s="2"/>
      <c r="H1689" s="2"/>
      <c r="L1689" s="55"/>
      <c r="M1689" s="55"/>
    </row>
    <row r="1690" spans="3:13" x14ac:dyDescent="0.2">
      <c r="C1690" s="49"/>
      <c r="G1690" s="2"/>
      <c r="H1690" s="2"/>
      <c r="L1690" s="55"/>
      <c r="M1690" s="55"/>
    </row>
    <row r="1691" spans="3:13" x14ac:dyDescent="0.2">
      <c r="C1691" s="49"/>
      <c r="G1691" s="2"/>
      <c r="H1691" s="2"/>
      <c r="L1691" s="55"/>
      <c r="M1691" s="55"/>
    </row>
    <row r="1692" spans="3:13" x14ac:dyDescent="0.2">
      <c r="C1692" s="49"/>
      <c r="G1692" s="2"/>
      <c r="H1692" s="2"/>
      <c r="L1692" s="55"/>
      <c r="M1692" s="55"/>
    </row>
    <row r="1693" spans="3:13" x14ac:dyDescent="0.2">
      <c r="C1693" s="49"/>
      <c r="G1693" s="2"/>
      <c r="H1693" s="2"/>
      <c r="L1693" s="55"/>
      <c r="M1693" s="55"/>
    </row>
    <row r="1694" spans="3:13" x14ac:dyDescent="0.2">
      <c r="C1694" s="49"/>
      <c r="G1694" s="2"/>
      <c r="H1694" s="2"/>
      <c r="L1694" s="55"/>
      <c r="M1694" s="55"/>
    </row>
    <row r="1695" spans="3:13" x14ac:dyDescent="0.2">
      <c r="C1695" s="49"/>
      <c r="G1695" s="2"/>
      <c r="H1695" s="2"/>
      <c r="L1695" s="55"/>
      <c r="M1695" s="55"/>
    </row>
    <row r="1696" spans="3:13" x14ac:dyDescent="0.2">
      <c r="C1696" s="49"/>
      <c r="G1696" s="2"/>
      <c r="H1696" s="2"/>
      <c r="L1696" s="55"/>
      <c r="M1696" s="55"/>
    </row>
    <row r="1697" spans="3:13" x14ac:dyDescent="0.2">
      <c r="C1697" s="49"/>
      <c r="G1697" s="2"/>
      <c r="H1697" s="2"/>
      <c r="L1697" s="55"/>
      <c r="M1697" s="55"/>
    </row>
    <row r="1698" spans="3:13" x14ac:dyDescent="0.2">
      <c r="C1698" s="49"/>
      <c r="G1698" s="2"/>
      <c r="H1698" s="2"/>
      <c r="L1698" s="55"/>
      <c r="M1698" s="55"/>
    </row>
    <row r="1699" spans="3:13" x14ac:dyDescent="0.2">
      <c r="C1699" s="49"/>
      <c r="G1699" s="2"/>
      <c r="H1699" s="2"/>
      <c r="L1699" s="55"/>
      <c r="M1699" s="55"/>
    </row>
    <row r="1700" spans="3:13" x14ac:dyDescent="0.2">
      <c r="C1700" s="49"/>
      <c r="G1700" s="2"/>
      <c r="H1700" s="2"/>
      <c r="L1700" s="55"/>
      <c r="M1700" s="55"/>
    </row>
    <row r="1701" spans="3:13" x14ac:dyDescent="0.2">
      <c r="C1701" s="49"/>
      <c r="G1701" s="2"/>
      <c r="H1701" s="2"/>
      <c r="L1701" s="55"/>
      <c r="M1701" s="55"/>
    </row>
    <row r="1702" spans="3:13" x14ac:dyDescent="0.2">
      <c r="C1702" s="49"/>
      <c r="G1702" s="2"/>
      <c r="H1702" s="2"/>
      <c r="L1702" s="55"/>
      <c r="M1702" s="55"/>
    </row>
    <row r="1703" spans="3:13" x14ac:dyDescent="0.2">
      <c r="C1703" s="49"/>
      <c r="G1703" s="2"/>
      <c r="H1703" s="2"/>
      <c r="L1703" s="55"/>
      <c r="M1703" s="55"/>
    </row>
    <row r="1704" spans="3:13" x14ac:dyDescent="0.2">
      <c r="C1704" s="49"/>
      <c r="G1704" s="2"/>
      <c r="H1704" s="2"/>
      <c r="L1704" s="55"/>
      <c r="M1704" s="55"/>
    </row>
    <row r="1705" spans="3:13" x14ac:dyDescent="0.2">
      <c r="C1705" s="49"/>
      <c r="G1705" s="2"/>
      <c r="H1705" s="2"/>
      <c r="L1705" s="55"/>
      <c r="M1705" s="55"/>
    </row>
    <row r="1706" spans="3:13" x14ac:dyDescent="0.2">
      <c r="C1706" s="49"/>
      <c r="G1706" s="2"/>
      <c r="H1706" s="2"/>
      <c r="L1706" s="55"/>
      <c r="M1706" s="55"/>
    </row>
    <row r="1707" spans="3:13" x14ac:dyDescent="0.2">
      <c r="C1707" s="49"/>
      <c r="G1707" s="2"/>
      <c r="H1707" s="2"/>
      <c r="L1707" s="55"/>
      <c r="M1707" s="55"/>
    </row>
    <row r="1708" spans="3:13" x14ac:dyDescent="0.2">
      <c r="C1708" s="49"/>
      <c r="G1708" s="2"/>
      <c r="H1708" s="2"/>
      <c r="L1708" s="55"/>
      <c r="M1708" s="55"/>
    </row>
    <row r="1709" spans="3:13" x14ac:dyDescent="0.2">
      <c r="C1709" s="49"/>
      <c r="G1709" s="2"/>
      <c r="H1709" s="2"/>
      <c r="L1709" s="55"/>
      <c r="M1709" s="55"/>
    </row>
    <row r="1710" spans="3:13" x14ac:dyDescent="0.2">
      <c r="C1710" s="49"/>
      <c r="G1710" s="2"/>
      <c r="H1710" s="2"/>
      <c r="L1710" s="55"/>
      <c r="M1710" s="55"/>
    </row>
    <row r="1711" spans="3:13" x14ac:dyDescent="0.2">
      <c r="C1711" s="49"/>
      <c r="G1711" s="2"/>
      <c r="H1711" s="2"/>
      <c r="L1711" s="55"/>
      <c r="M1711" s="55"/>
    </row>
    <row r="1712" spans="3:13" x14ac:dyDescent="0.2">
      <c r="C1712" s="49"/>
      <c r="G1712" s="2"/>
      <c r="H1712" s="2"/>
      <c r="L1712" s="55"/>
      <c r="M1712" s="55"/>
    </row>
    <row r="1713" spans="3:13" x14ac:dyDescent="0.2">
      <c r="C1713" s="49"/>
      <c r="G1713" s="2"/>
      <c r="H1713" s="2"/>
      <c r="L1713" s="55"/>
      <c r="M1713" s="55"/>
    </row>
    <row r="1714" spans="3:13" x14ac:dyDescent="0.2">
      <c r="C1714" s="49"/>
      <c r="G1714" s="2"/>
      <c r="H1714" s="2"/>
      <c r="L1714" s="55"/>
      <c r="M1714" s="55"/>
    </row>
    <row r="1715" spans="3:13" x14ac:dyDescent="0.2">
      <c r="C1715" s="49"/>
      <c r="G1715" s="2"/>
      <c r="H1715" s="2"/>
      <c r="L1715" s="55"/>
      <c r="M1715" s="55"/>
    </row>
    <row r="1716" spans="3:13" x14ac:dyDescent="0.2">
      <c r="C1716" s="49"/>
      <c r="G1716" s="2"/>
      <c r="H1716" s="2"/>
      <c r="L1716" s="55"/>
      <c r="M1716" s="55"/>
    </row>
    <row r="1717" spans="3:13" x14ac:dyDescent="0.2">
      <c r="C1717" s="49"/>
      <c r="G1717" s="2"/>
      <c r="H1717" s="2"/>
      <c r="L1717" s="55"/>
      <c r="M1717" s="55"/>
    </row>
    <row r="1718" spans="3:13" x14ac:dyDescent="0.2">
      <c r="C1718" s="49"/>
      <c r="G1718" s="2"/>
      <c r="H1718" s="2"/>
      <c r="L1718" s="55"/>
      <c r="M1718" s="55"/>
    </row>
    <row r="1719" spans="3:13" x14ac:dyDescent="0.2">
      <c r="C1719" s="49"/>
      <c r="G1719" s="2"/>
      <c r="H1719" s="2"/>
      <c r="L1719" s="55"/>
      <c r="M1719" s="55"/>
    </row>
    <row r="1720" spans="3:13" x14ac:dyDescent="0.2">
      <c r="C1720" s="49"/>
      <c r="G1720" s="2"/>
      <c r="H1720" s="2"/>
      <c r="L1720" s="55"/>
      <c r="M1720" s="55"/>
    </row>
    <row r="1721" spans="3:13" x14ac:dyDescent="0.2">
      <c r="C1721" s="49"/>
      <c r="G1721" s="2"/>
      <c r="H1721" s="2"/>
      <c r="L1721" s="55"/>
      <c r="M1721" s="55"/>
    </row>
    <row r="1722" spans="3:13" x14ac:dyDescent="0.2">
      <c r="C1722" s="49"/>
      <c r="G1722" s="2"/>
      <c r="H1722" s="2"/>
      <c r="L1722" s="55"/>
      <c r="M1722" s="55"/>
    </row>
    <row r="1723" spans="3:13" x14ac:dyDescent="0.2">
      <c r="C1723" s="49"/>
      <c r="G1723" s="2"/>
      <c r="H1723" s="2"/>
      <c r="L1723" s="55"/>
      <c r="M1723" s="55"/>
    </row>
    <row r="1724" spans="3:13" x14ac:dyDescent="0.2">
      <c r="C1724" s="49"/>
      <c r="G1724" s="2"/>
      <c r="H1724" s="2"/>
      <c r="L1724" s="55"/>
      <c r="M1724" s="55"/>
    </row>
    <row r="1725" spans="3:13" x14ac:dyDescent="0.2">
      <c r="C1725" s="49"/>
      <c r="G1725" s="2"/>
      <c r="H1725" s="2"/>
      <c r="L1725" s="55"/>
      <c r="M1725" s="55"/>
    </row>
    <row r="1726" spans="3:13" x14ac:dyDescent="0.2">
      <c r="C1726" s="49"/>
      <c r="G1726" s="2"/>
      <c r="H1726" s="2"/>
      <c r="L1726" s="55"/>
      <c r="M1726" s="55"/>
    </row>
    <row r="1727" spans="3:13" x14ac:dyDescent="0.2">
      <c r="C1727" s="49"/>
      <c r="G1727" s="2"/>
      <c r="H1727" s="2"/>
      <c r="L1727" s="55"/>
      <c r="M1727" s="55"/>
    </row>
    <row r="1728" spans="3:13" x14ac:dyDescent="0.2">
      <c r="C1728" s="49"/>
      <c r="G1728" s="2"/>
      <c r="H1728" s="2"/>
      <c r="L1728" s="55"/>
      <c r="M1728" s="55"/>
    </row>
    <row r="1729" spans="3:13" x14ac:dyDescent="0.2">
      <c r="C1729" s="49"/>
      <c r="G1729" s="2"/>
      <c r="H1729" s="2"/>
      <c r="L1729" s="55"/>
      <c r="M1729" s="55"/>
    </row>
    <row r="1730" spans="3:13" x14ac:dyDescent="0.2">
      <c r="C1730" s="49"/>
      <c r="G1730" s="2"/>
      <c r="H1730" s="2"/>
      <c r="L1730" s="55"/>
      <c r="M1730" s="55"/>
    </row>
    <row r="1731" spans="3:13" x14ac:dyDescent="0.2">
      <c r="C1731" s="49"/>
      <c r="G1731" s="2"/>
      <c r="H1731" s="2"/>
      <c r="L1731" s="55"/>
      <c r="M1731" s="55"/>
    </row>
    <row r="1732" spans="3:13" x14ac:dyDescent="0.2">
      <c r="C1732" s="49"/>
      <c r="G1732" s="2"/>
      <c r="H1732" s="2"/>
      <c r="L1732" s="55"/>
      <c r="M1732" s="55"/>
    </row>
    <row r="1733" spans="3:13" x14ac:dyDescent="0.2">
      <c r="C1733" s="49"/>
      <c r="G1733" s="2"/>
      <c r="H1733" s="2"/>
      <c r="L1733" s="55"/>
      <c r="M1733" s="55"/>
    </row>
    <row r="1734" spans="3:13" x14ac:dyDescent="0.2">
      <c r="C1734" s="49"/>
      <c r="G1734" s="2"/>
      <c r="H1734" s="2"/>
      <c r="L1734" s="55"/>
      <c r="M1734" s="55"/>
    </row>
    <row r="1735" spans="3:13" x14ac:dyDescent="0.2">
      <c r="C1735" s="49"/>
      <c r="G1735" s="2"/>
      <c r="H1735" s="2"/>
      <c r="L1735" s="55"/>
      <c r="M1735" s="55"/>
    </row>
    <row r="1736" spans="3:13" x14ac:dyDescent="0.2">
      <c r="C1736" s="49"/>
      <c r="G1736" s="2"/>
      <c r="H1736" s="2"/>
      <c r="L1736" s="55"/>
      <c r="M1736" s="55"/>
    </row>
    <row r="1737" spans="3:13" x14ac:dyDescent="0.2">
      <c r="C1737" s="49"/>
      <c r="G1737" s="2"/>
      <c r="H1737" s="2"/>
      <c r="L1737" s="55"/>
      <c r="M1737" s="55"/>
    </row>
    <row r="1738" spans="3:13" x14ac:dyDescent="0.2">
      <c r="C1738" s="49"/>
      <c r="G1738" s="2"/>
      <c r="H1738" s="2"/>
      <c r="L1738" s="55"/>
      <c r="M1738" s="55"/>
    </row>
    <row r="1739" spans="3:13" x14ac:dyDescent="0.2">
      <c r="C1739" s="49"/>
      <c r="G1739" s="2"/>
      <c r="H1739" s="2"/>
      <c r="L1739" s="55"/>
      <c r="M1739" s="55"/>
    </row>
    <row r="1740" spans="3:13" x14ac:dyDescent="0.2">
      <c r="C1740" s="49"/>
      <c r="G1740" s="2"/>
      <c r="H1740" s="2"/>
      <c r="L1740" s="55"/>
      <c r="M1740" s="55"/>
    </row>
    <row r="1741" spans="3:13" x14ac:dyDescent="0.2">
      <c r="C1741" s="49"/>
      <c r="G1741" s="2"/>
      <c r="H1741" s="2"/>
      <c r="L1741" s="55"/>
      <c r="M1741" s="55"/>
    </row>
    <row r="1742" spans="3:13" x14ac:dyDescent="0.2">
      <c r="C1742" s="49"/>
      <c r="G1742" s="2"/>
      <c r="H1742" s="2"/>
      <c r="L1742" s="55"/>
      <c r="M1742" s="55"/>
    </row>
    <row r="1743" spans="3:13" x14ac:dyDescent="0.2">
      <c r="C1743" s="49"/>
      <c r="G1743" s="2"/>
      <c r="H1743" s="2"/>
      <c r="L1743" s="55"/>
      <c r="M1743" s="55"/>
    </row>
    <row r="1744" spans="3:13" x14ac:dyDescent="0.2">
      <c r="C1744" s="49"/>
      <c r="G1744" s="2"/>
      <c r="H1744" s="2"/>
      <c r="L1744" s="55"/>
      <c r="M1744" s="55"/>
    </row>
    <row r="1745" spans="3:13" x14ac:dyDescent="0.2">
      <c r="C1745" s="49"/>
      <c r="G1745" s="2"/>
      <c r="H1745" s="2"/>
      <c r="L1745" s="55"/>
      <c r="M1745" s="55"/>
    </row>
    <row r="1746" spans="3:13" x14ac:dyDescent="0.2">
      <c r="C1746" s="49"/>
      <c r="G1746" s="2"/>
      <c r="H1746" s="2"/>
      <c r="L1746" s="55"/>
      <c r="M1746" s="55"/>
    </row>
    <row r="1747" spans="3:13" x14ac:dyDescent="0.2">
      <c r="C1747" s="49"/>
      <c r="G1747" s="2"/>
      <c r="H1747" s="2"/>
      <c r="L1747" s="55"/>
      <c r="M1747" s="55"/>
    </row>
    <row r="1748" spans="3:13" x14ac:dyDescent="0.2">
      <c r="C1748" s="49"/>
      <c r="G1748" s="2"/>
      <c r="H1748" s="2"/>
      <c r="L1748" s="55"/>
      <c r="M1748" s="55"/>
    </row>
    <row r="1749" spans="3:13" x14ac:dyDescent="0.2">
      <c r="C1749" s="49"/>
      <c r="G1749" s="2"/>
      <c r="H1749" s="2"/>
      <c r="L1749" s="55"/>
      <c r="M1749" s="55"/>
    </row>
    <row r="1750" spans="3:13" x14ac:dyDescent="0.2">
      <c r="C1750" s="49"/>
      <c r="G1750" s="2"/>
      <c r="H1750" s="2"/>
      <c r="L1750" s="55"/>
      <c r="M1750" s="55"/>
    </row>
    <row r="1751" spans="3:13" x14ac:dyDescent="0.2">
      <c r="C1751" s="49"/>
      <c r="G1751" s="2"/>
      <c r="H1751" s="2"/>
      <c r="L1751" s="55"/>
      <c r="M1751" s="55"/>
    </row>
    <row r="1752" spans="3:13" x14ac:dyDescent="0.2">
      <c r="C1752" s="49"/>
      <c r="G1752" s="2"/>
      <c r="H1752" s="2"/>
      <c r="L1752" s="55"/>
      <c r="M1752" s="55"/>
    </row>
    <row r="1753" spans="3:13" x14ac:dyDescent="0.2">
      <c r="C1753" s="49"/>
      <c r="G1753" s="2"/>
      <c r="H1753" s="2"/>
      <c r="L1753" s="55"/>
      <c r="M1753" s="55"/>
    </row>
    <row r="1754" spans="3:13" x14ac:dyDescent="0.2">
      <c r="C1754" s="49"/>
      <c r="G1754" s="2"/>
      <c r="H1754" s="2"/>
      <c r="L1754" s="55"/>
      <c r="M1754" s="55"/>
    </row>
    <row r="1755" spans="3:13" x14ac:dyDescent="0.2">
      <c r="C1755" s="49"/>
      <c r="G1755" s="2"/>
      <c r="H1755" s="2"/>
      <c r="L1755" s="55"/>
      <c r="M1755" s="55"/>
    </row>
    <row r="1756" spans="3:13" x14ac:dyDescent="0.2">
      <c r="C1756" s="49"/>
      <c r="G1756" s="2"/>
      <c r="H1756" s="2"/>
      <c r="L1756" s="55"/>
      <c r="M1756" s="55"/>
    </row>
    <row r="1757" spans="3:13" x14ac:dyDescent="0.2">
      <c r="C1757" s="49"/>
      <c r="G1757" s="2"/>
      <c r="H1757" s="2"/>
      <c r="L1757" s="55"/>
      <c r="M1757" s="55"/>
    </row>
    <row r="1758" spans="3:13" x14ac:dyDescent="0.2">
      <c r="C1758" s="49"/>
      <c r="G1758" s="2"/>
      <c r="H1758" s="2"/>
      <c r="L1758" s="55"/>
      <c r="M1758" s="55"/>
    </row>
    <row r="1759" spans="3:13" x14ac:dyDescent="0.2">
      <c r="C1759" s="49"/>
      <c r="G1759" s="2"/>
      <c r="H1759" s="2"/>
      <c r="L1759" s="55"/>
      <c r="M1759" s="55"/>
    </row>
    <row r="1760" spans="3:13" x14ac:dyDescent="0.2">
      <c r="C1760" s="49"/>
      <c r="G1760" s="2"/>
      <c r="H1760" s="2"/>
      <c r="L1760" s="55"/>
      <c r="M1760" s="55"/>
    </row>
    <row r="1761" spans="3:13" x14ac:dyDescent="0.2">
      <c r="C1761" s="49"/>
      <c r="G1761" s="2"/>
      <c r="H1761" s="2"/>
      <c r="L1761" s="55"/>
      <c r="M1761" s="55"/>
    </row>
    <row r="1762" spans="3:13" x14ac:dyDescent="0.2">
      <c r="C1762" s="49"/>
      <c r="G1762" s="2"/>
      <c r="H1762" s="2"/>
      <c r="L1762" s="55"/>
      <c r="M1762" s="55"/>
    </row>
    <row r="1763" spans="3:13" x14ac:dyDescent="0.2">
      <c r="C1763" s="49"/>
      <c r="G1763" s="2"/>
      <c r="H1763" s="2"/>
      <c r="L1763" s="55"/>
      <c r="M1763" s="55"/>
    </row>
    <row r="1764" spans="3:13" x14ac:dyDescent="0.2">
      <c r="C1764" s="49"/>
      <c r="G1764" s="2"/>
      <c r="H1764" s="2"/>
      <c r="L1764" s="55"/>
      <c r="M1764" s="55"/>
    </row>
    <row r="1765" spans="3:13" x14ac:dyDescent="0.2">
      <c r="C1765" s="49"/>
      <c r="G1765" s="2"/>
      <c r="H1765" s="2"/>
      <c r="L1765" s="55"/>
      <c r="M1765" s="55"/>
    </row>
    <row r="1766" spans="3:13" x14ac:dyDescent="0.2">
      <c r="C1766" s="49"/>
      <c r="G1766" s="2"/>
      <c r="H1766" s="2"/>
      <c r="L1766" s="55"/>
      <c r="M1766" s="55"/>
    </row>
    <row r="1767" spans="3:13" x14ac:dyDescent="0.2">
      <c r="C1767" s="49"/>
      <c r="G1767" s="2"/>
      <c r="H1767" s="2"/>
      <c r="L1767" s="55"/>
      <c r="M1767" s="55"/>
    </row>
    <row r="1768" spans="3:13" x14ac:dyDescent="0.2">
      <c r="C1768" s="49"/>
      <c r="G1768" s="2"/>
      <c r="H1768" s="2"/>
      <c r="L1768" s="55"/>
      <c r="M1768" s="55"/>
    </row>
    <row r="1769" spans="3:13" x14ac:dyDescent="0.2">
      <c r="C1769" s="49"/>
      <c r="G1769" s="2"/>
      <c r="H1769" s="2"/>
      <c r="L1769" s="55"/>
      <c r="M1769" s="55"/>
    </row>
    <row r="1770" spans="3:13" x14ac:dyDescent="0.2">
      <c r="C1770" s="49"/>
      <c r="G1770" s="2"/>
      <c r="H1770" s="2"/>
      <c r="L1770" s="55"/>
      <c r="M1770" s="55"/>
    </row>
    <row r="1771" spans="3:13" x14ac:dyDescent="0.2">
      <c r="C1771" s="49"/>
      <c r="G1771" s="2"/>
      <c r="H1771" s="2"/>
      <c r="L1771" s="55"/>
      <c r="M1771" s="55"/>
    </row>
    <row r="1772" spans="3:13" x14ac:dyDescent="0.2">
      <c r="C1772" s="49"/>
      <c r="G1772" s="2"/>
      <c r="H1772" s="2"/>
      <c r="L1772" s="55"/>
      <c r="M1772" s="55"/>
    </row>
    <row r="1773" spans="3:13" x14ac:dyDescent="0.2">
      <c r="C1773" s="49"/>
      <c r="G1773" s="2"/>
      <c r="H1773" s="2"/>
      <c r="L1773" s="55"/>
      <c r="M1773" s="55"/>
    </row>
    <row r="1774" spans="3:13" x14ac:dyDescent="0.2">
      <c r="C1774" s="49"/>
      <c r="G1774" s="2"/>
      <c r="H1774" s="2"/>
      <c r="L1774" s="55"/>
      <c r="M1774" s="55"/>
    </row>
    <row r="1775" spans="3:13" x14ac:dyDescent="0.2">
      <c r="C1775" s="49"/>
      <c r="G1775" s="2"/>
      <c r="H1775" s="2"/>
      <c r="L1775" s="55"/>
      <c r="M1775" s="55"/>
    </row>
    <row r="1776" spans="3:13" x14ac:dyDescent="0.2">
      <c r="C1776" s="49"/>
      <c r="G1776" s="2"/>
      <c r="H1776" s="2"/>
      <c r="L1776" s="55"/>
      <c r="M1776" s="55"/>
    </row>
    <row r="1777" spans="3:13" x14ac:dyDescent="0.2">
      <c r="C1777" s="49"/>
      <c r="G1777" s="2"/>
      <c r="H1777" s="2"/>
      <c r="L1777" s="55"/>
      <c r="M1777" s="55"/>
    </row>
    <row r="1778" spans="3:13" x14ac:dyDescent="0.2">
      <c r="C1778" s="49"/>
      <c r="G1778" s="2"/>
      <c r="H1778" s="2"/>
      <c r="L1778" s="55"/>
      <c r="M1778" s="55"/>
    </row>
    <row r="1779" spans="3:13" x14ac:dyDescent="0.2">
      <c r="C1779" s="49"/>
      <c r="G1779" s="2"/>
      <c r="H1779" s="2"/>
      <c r="L1779" s="55"/>
      <c r="M1779" s="55"/>
    </row>
    <row r="1780" spans="3:13" x14ac:dyDescent="0.2">
      <c r="C1780" s="49"/>
      <c r="G1780" s="2"/>
      <c r="H1780" s="2"/>
      <c r="L1780" s="55"/>
      <c r="M1780" s="55"/>
    </row>
    <row r="1781" spans="3:13" x14ac:dyDescent="0.2">
      <c r="C1781" s="49"/>
      <c r="G1781" s="2"/>
      <c r="H1781" s="2"/>
      <c r="L1781" s="55"/>
      <c r="M1781" s="55"/>
    </row>
    <row r="1782" spans="3:13" x14ac:dyDescent="0.2">
      <c r="C1782" s="49"/>
      <c r="G1782" s="2"/>
      <c r="H1782" s="2"/>
      <c r="L1782" s="55"/>
      <c r="M1782" s="55"/>
    </row>
    <row r="1783" spans="3:13" x14ac:dyDescent="0.2">
      <c r="C1783" s="49"/>
      <c r="G1783" s="2"/>
      <c r="H1783" s="2"/>
      <c r="L1783" s="55"/>
      <c r="M1783" s="55"/>
    </row>
    <row r="1784" spans="3:13" x14ac:dyDescent="0.2">
      <c r="C1784" s="49"/>
      <c r="G1784" s="2"/>
      <c r="H1784" s="2"/>
      <c r="L1784" s="55"/>
      <c r="M1784" s="55"/>
    </row>
    <row r="1785" spans="3:13" x14ac:dyDescent="0.2">
      <c r="C1785" s="49"/>
      <c r="G1785" s="2"/>
      <c r="H1785" s="2"/>
      <c r="L1785" s="55"/>
      <c r="M1785" s="55"/>
    </row>
    <row r="1786" spans="3:13" x14ac:dyDescent="0.2">
      <c r="C1786" s="49"/>
      <c r="G1786" s="2"/>
      <c r="H1786" s="2"/>
      <c r="L1786" s="55"/>
      <c r="M1786" s="55"/>
    </row>
    <row r="1787" spans="3:13" x14ac:dyDescent="0.2">
      <c r="C1787" s="49"/>
      <c r="G1787" s="2"/>
      <c r="H1787" s="2"/>
      <c r="L1787" s="55"/>
      <c r="M1787" s="55"/>
    </row>
    <row r="1788" spans="3:13" x14ac:dyDescent="0.2">
      <c r="C1788" s="49"/>
      <c r="G1788" s="2"/>
      <c r="H1788" s="2"/>
      <c r="L1788" s="55"/>
      <c r="M1788" s="55"/>
    </row>
    <row r="1789" spans="3:13" x14ac:dyDescent="0.2">
      <c r="C1789" s="49"/>
      <c r="G1789" s="2"/>
      <c r="H1789" s="2"/>
      <c r="L1789" s="55"/>
      <c r="M1789" s="55"/>
    </row>
    <row r="1790" spans="3:13" x14ac:dyDescent="0.2">
      <c r="C1790" s="49"/>
      <c r="G1790" s="2"/>
      <c r="H1790" s="2"/>
      <c r="L1790" s="55"/>
      <c r="M1790" s="55"/>
    </row>
    <row r="1791" spans="3:13" x14ac:dyDescent="0.2">
      <c r="C1791" s="49"/>
      <c r="G1791" s="2"/>
      <c r="H1791" s="2"/>
      <c r="L1791" s="55"/>
      <c r="M1791" s="55"/>
    </row>
    <row r="1792" spans="3:13" x14ac:dyDescent="0.2">
      <c r="C1792" s="49"/>
      <c r="G1792" s="2"/>
      <c r="H1792" s="2"/>
      <c r="L1792" s="55"/>
      <c r="M1792" s="55"/>
    </row>
    <row r="1793" spans="3:13" x14ac:dyDescent="0.2">
      <c r="C1793" s="49"/>
      <c r="G1793" s="2"/>
      <c r="H1793" s="2"/>
      <c r="L1793" s="55"/>
      <c r="M1793" s="55"/>
    </row>
    <row r="1794" spans="3:13" x14ac:dyDescent="0.2">
      <c r="C1794" s="49"/>
      <c r="G1794" s="2"/>
      <c r="H1794" s="2"/>
      <c r="L1794" s="55"/>
      <c r="M1794" s="55"/>
    </row>
    <row r="1795" spans="3:13" x14ac:dyDescent="0.2">
      <c r="C1795" s="49"/>
      <c r="G1795" s="2"/>
      <c r="H1795" s="2"/>
      <c r="L1795" s="55"/>
      <c r="M1795" s="55"/>
    </row>
    <row r="1796" spans="3:13" x14ac:dyDescent="0.2">
      <c r="C1796" s="49"/>
      <c r="G1796" s="2"/>
      <c r="H1796" s="2"/>
      <c r="L1796" s="55"/>
      <c r="M1796" s="55"/>
    </row>
    <row r="1797" spans="3:13" x14ac:dyDescent="0.2">
      <c r="C1797" s="49"/>
      <c r="G1797" s="2"/>
      <c r="H1797" s="2"/>
      <c r="L1797" s="55"/>
      <c r="M1797" s="55"/>
    </row>
    <row r="1798" spans="3:13" x14ac:dyDescent="0.2">
      <c r="C1798" s="49"/>
      <c r="G1798" s="2"/>
      <c r="H1798" s="2"/>
      <c r="L1798" s="55"/>
      <c r="M1798" s="55"/>
    </row>
    <row r="1799" spans="3:13" x14ac:dyDescent="0.2">
      <c r="C1799" s="49"/>
      <c r="G1799" s="2"/>
      <c r="H1799" s="2"/>
      <c r="L1799" s="55"/>
      <c r="M1799" s="55"/>
    </row>
    <row r="1800" spans="3:13" x14ac:dyDescent="0.2">
      <c r="C1800" s="49"/>
      <c r="G1800" s="2"/>
      <c r="H1800" s="2"/>
      <c r="L1800" s="55"/>
      <c r="M1800" s="55"/>
    </row>
    <row r="1801" spans="3:13" x14ac:dyDescent="0.2">
      <c r="C1801" s="49"/>
      <c r="G1801" s="2"/>
      <c r="H1801" s="2"/>
      <c r="L1801" s="55"/>
      <c r="M1801" s="55"/>
    </row>
    <row r="1802" spans="3:13" x14ac:dyDescent="0.2">
      <c r="C1802" s="49"/>
      <c r="G1802" s="2"/>
      <c r="H1802" s="2"/>
      <c r="L1802" s="55"/>
      <c r="M1802" s="55"/>
    </row>
    <row r="1803" spans="3:13" x14ac:dyDescent="0.2">
      <c r="C1803" s="49"/>
      <c r="G1803" s="2"/>
      <c r="H1803" s="2"/>
      <c r="L1803" s="55"/>
      <c r="M1803" s="55"/>
    </row>
    <row r="1804" spans="3:13" x14ac:dyDescent="0.2">
      <c r="C1804" s="49"/>
      <c r="G1804" s="2"/>
      <c r="H1804" s="2"/>
      <c r="L1804" s="55"/>
      <c r="M1804" s="55"/>
    </row>
    <row r="1805" spans="3:13" x14ac:dyDescent="0.2">
      <c r="C1805" s="49"/>
      <c r="G1805" s="2"/>
      <c r="H1805" s="2"/>
      <c r="L1805" s="55"/>
      <c r="M1805" s="55"/>
    </row>
    <row r="1806" spans="3:13" x14ac:dyDescent="0.2">
      <c r="C1806" s="49"/>
      <c r="G1806" s="2"/>
      <c r="H1806" s="2"/>
      <c r="L1806" s="55"/>
      <c r="M1806" s="55"/>
    </row>
    <row r="1807" spans="3:13" x14ac:dyDescent="0.2">
      <c r="C1807" s="49"/>
      <c r="G1807" s="2"/>
      <c r="H1807" s="2"/>
      <c r="L1807" s="55"/>
      <c r="M1807" s="55"/>
    </row>
    <row r="1808" spans="3:13" x14ac:dyDescent="0.2">
      <c r="C1808" s="49"/>
      <c r="G1808" s="2"/>
      <c r="H1808" s="2"/>
      <c r="L1808" s="55"/>
      <c r="M1808" s="55"/>
    </row>
    <row r="1809" spans="3:13" x14ac:dyDescent="0.2">
      <c r="C1809" s="49"/>
      <c r="G1809" s="2"/>
      <c r="H1809" s="2"/>
      <c r="L1809" s="55"/>
      <c r="M1809" s="55"/>
    </row>
    <row r="1810" spans="3:13" x14ac:dyDescent="0.2">
      <c r="C1810" s="49"/>
      <c r="G1810" s="2"/>
      <c r="H1810" s="2"/>
      <c r="L1810" s="55"/>
      <c r="M1810" s="55"/>
    </row>
    <row r="1811" spans="3:13" x14ac:dyDescent="0.2">
      <c r="C1811" s="49"/>
      <c r="G1811" s="2"/>
      <c r="H1811" s="2"/>
      <c r="L1811" s="55"/>
      <c r="M1811" s="55"/>
    </row>
    <row r="1812" spans="3:13" x14ac:dyDescent="0.2">
      <c r="C1812" s="49"/>
      <c r="G1812" s="2"/>
      <c r="H1812" s="2"/>
      <c r="L1812" s="55"/>
      <c r="M1812" s="55"/>
    </row>
    <row r="1813" spans="3:13" x14ac:dyDescent="0.2">
      <c r="C1813" s="49"/>
      <c r="G1813" s="2"/>
      <c r="H1813" s="2"/>
      <c r="L1813" s="55"/>
      <c r="M1813" s="55"/>
    </row>
    <row r="1814" spans="3:13" x14ac:dyDescent="0.2">
      <c r="C1814" s="49"/>
      <c r="G1814" s="2"/>
      <c r="H1814" s="2"/>
      <c r="L1814" s="55"/>
      <c r="M1814" s="55"/>
    </row>
    <row r="1815" spans="3:13" x14ac:dyDescent="0.2">
      <c r="C1815" s="49"/>
      <c r="G1815" s="2"/>
      <c r="H1815" s="2"/>
      <c r="L1815" s="55"/>
      <c r="M1815" s="55"/>
    </row>
    <row r="1816" spans="3:13" x14ac:dyDescent="0.2">
      <c r="C1816" s="49"/>
      <c r="G1816" s="2"/>
      <c r="H1816" s="2"/>
      <c r="L1816" s="55"/>
      <c r="M1816" s="55"/>
    </row>
    <row r="1817" spans="3:13" x14ac:dyDescent="0.2">
      <c r="C1817" s="49"/>
      <c r="G1817" s="2"/>
      <c r="H1817" s="2"/>
      <c r="L1817" s="55"/>
      <c r="M1817" s="55"/>
    </row>
    <row r="1818" spans="3:13" x14ac:dyDescent="0.2">
      <c r="C1818" s="49"/>
      <c r="G1818" s="2"/>
      <c r="H1818" s="2"/>
      <c r="L1818" s="55"/>
      <c r="M1818" s="55"/>
    </row>
    <row r="1819" spans="3:13" x14ac:dyDescent="0.2">
      <c r="C1819" s="49"/>
      <c r="G1819" s="2"/>
      <c r="H1819" s="2"/>
      <c r="L1819" s="55"/>
      <c r="M1819" s="55"/>
    </row>
    <row r="1820" spans="3:13" x14ac:dyDescent="0.2">
      <c r="C1820" s="49"/>
      <c r="G1820" s="2"/>
      <c r="H1820" s="2"/>
      <c r="L1820" s="55"/>
      <c r="M1820" s="55"/>
    </row>
    <row r="1821" spans="3:13" x14ac:dyDescent="0.2">
      <c r="C1821" s="49"/>
      <c r="G1821" s="2"/>
      <c r="H1821" s="2"/>
      <c r="L1821" s="55"/>
      <c r="M1821" s="55"/>
    </row>
    <row r="1822" spans="3:13" x14ac:dyDescent="0.2">
      <c r="C1822" s="49"/>
      <c r="G1822" s="2"/>
      <c r="H1822" s="2"/>
      <c r="L1822" s="55"/>
      <c r="M1822" s="55"/>
    </row>
    <row r="1823" spans="3:13" x14ac:dyDescent="0.2">
      <c r="C1823" s="49"/>
      <c r="G1823" s="2"/>
      <c r="H1823" s="2"/>
      <c r="L1823" s="55"/>
      <c r="M1823" s="55"/>
    </row>
    <row r="1824" spans="3:13" x14ac:dyDescent="0.2">
      <c r="C1824" s="49"/>
      <c r="G1824" s="2"/>
      <c r="H1824" s="2"/>
      <c r="L1824" s="55"/>
      <c r="M1824" s="55"/>
    </row>
    <row r="1825" spans="3:13" x14ac:dyDescent="0.2">
      <c r="C1825" s="49"/>
      <c r="G1825" s="2"/>
      <c r="H1825" s="2"/>
      <c r="L1825" s="55"/>
      <c r="M1825" s="55"/>
    </row>
    <row r="1826" spans="3:13" x14ac:dyDescent="0.2">
      <c r="C1826" s="49"/>
      <c r="G1826" s="2"/>
      <c r="H1826" s="2"/>
      <c r="L1826" s="55"/>
      <c r="M1826" s="55"/>
    </row>
    <row r="1827" spans="3:13" x14ac:dyDescent="0.2">
      <c r="C1827" s="49"/>
      <c r="G1827" s="2"/>
      <c r="H1827" s="2"/>
      <c r="L1827" s="55"/>
      <c r="M1827" s="55"/>
    </row>
    <row r="1828" spans="3:13" x14ac:dyDescent="0.2">
      <c r="C1828" s="49"/>
      <c r="G1828" s="2"/>
      <c r="H1828" s="2"/>
      <c r="L1828" s="55"/>
      <c r="M1828" s="55"/>
    </row>
    <row r="1829" spans="3:13" x14ac:dyDescent="0.2">
      <c r="C1829" s="49"/>
      <c r="G1829" s="2"/>
      <c r="H1829" s="2"/>
      <c r="L1829" s="55"/>
      <c r="M1829" s="55"/>
    </row>
    <row r="1830" spans="3:13" x14ac:dyDescent="0.2">
      <c r="C1830" s="49"/>
      <c r="G1830" s="2"/>
      <c r="H1830" s="2"/>
      <c r="L1830" s="55"/>
      <c r="M1830" s="55"/>
    </row>
    <row r="1831" spans="3:13" x14ac:dyDescent="0.2">
      <c r="C1831" s="49"/>
      <c r="G1831" s="2"/>
      <c r="H1831" s="2"/>
      <c r="L1831" s="55"/>
      <c r="M1831" s="55"/>
    </row>
    <row r="1832" spans="3:13" x14ac:dyDescent="0.2">
      <c r="C1832" s="49"/>
      <c r="G1832" s="2"/>
      <c r="H1832" s="2"/>
      <c r="L1832" s="55"/>
      <c r="M1832" s="55"/>
    </row>
    <row r="1833" spans="3:13" x14ac:dyDescent="0.2">
      <c r="C1833" s="49"/>
      <c r="G1833" s="2"/>
      <c r="H1833" s="2"/>
      <c r="L1833" s="55"/>
      <c r="M1833" s="55"/>
    </row>
    <row r="1834" spans="3:13" x14ac:dyDescent="0.2">
      <c r="C1834" s="49"/>
      <c r="G1834" s="2"/>
      <c r="H1834" s="2"/>
      <c r="L1834" s="55"/>
      <c r="M1834" s="55"/>
    </row>
    <row r="1835" spans="3:13" x14ac:dyDescent="0.2">
      <c r="C1835" s="49"/>
      <c r="G1835" s="2"/>
      <c r="H1835" s="2"/>
      <c r="L1835" s="55"/>
      <c r="M1835" s="55"/>
    </row>
    <row r="1836" spans="3:13" x14ac:dyDescent="0.2">
      <c r="C1836" s="49"/>
      <c r="G1836" s="2"/>
      <c r="H1836" s="2"/>
      <c r="L1836" s="55"/>
      <c r="M1836" s="55"/>
    </row>
    <row r="1837" spans="3:13" x14ac:dyDescent="0.2">
      <c r="C1837" s="49"/>
      <c r="G1837" s="2"/>
      <c r="H1837" s="2"/>
      <c r="L1837" s="55"/>
      <c r="M1837" s="55"/>
    </row>
    <row r="1838" spans="3:13" x14ac:dyDescent="0.2">
      <c r="C1838" s="49"/>
      <c r="G1838" s="2"/>
      <c r="H1838" s="2"/>
      <c r="L1838" s="55"/>
      <c r="M1838" s="55"/>
    </row>
    <row r="1839" spans="3:13" x14ac:dyDescent="0.2">
      <c r="C1839" s="49"/>
      <c r="G1839" s="2"/>
      <c r="H1839" s="2"/>
      <c r="L1839" s="55"/>
      <c r="M1839" s="55"/>
    </row>
    <row r="1840" spans="3:13" x14ac:dyDescent="0.2">
      <c r="C1840" s="49"/>
      <c r="G1840" s="2"/>
      <c r="H1840" s="2"/>
      <c r="L1840" s="55"/>
      <c r="M1840" s="55"/>
    </row>
    <row r="1841" spans="3:13" x14ac:dyDescent="0.2">
      <c r="C1841" s="49"/>
      <c r="G1841" s="2"/>
      <c r="H1841" s="2"/>
      <c r="L1841" s="55"/>
      <c r="M1841" s="55"/>
    </row>
    <row r="1842" spans="3:13" x14ac:dyDescent="0.2">
      <c r="C1842" s="49"/>
      <c r="G1842" s="2"/>
      <c r="H1842" s="2"/>
      <c r="L1842" s="55"/>
      <c r="M1842" s="55"/>
    </row>
    <row r="1843" spans="3:13" x14ac:dyDescent="0.2">
      <c r="C1843" s="49"/>
      <c r="G1843" s="2"/>
      <c r="H1843" s="2"/>
      <c r="L1843" s="55"/>
      <c r="M1843" s="55"/>
    </row>
    <row r="1844" spans="3:13" x14ac:dyDescent="0.2">
      <c r="C1844" s="49"/>
      <c r="G1844" s="2"/>
      <c r="H1844" s="2"/>
      <c r="L1844" s="55"/>
      <c r="M1844" s="55"/>
    </row>
    <row r="1845" spans="3:13" x14ac:dyDescent="0.2">
      <c r="C1845" s="49"/>
      <c r="G1845" s="2"/>
      <c r="H1845" s="2"/>
      <c r="L1845" s="55"/>
      <c r="M1845" s="55"/>
    </row>
    <row r="1846" spans="3:13" x14ac:dyDescent="0.2">
      <c r="C1846" s="49"/>
      <c r="G1846" s="2"/>
      <c r="H1846" s="2"/>
      <c r="L1846" s="55"/>
      <c r="M1846" s="55"/>
    </row>
    <row r="1847" spans="3:13" x14ac:dyDescent="0.2">
      <c r="C1847" s="49"/>
      <c r="G1847" s="2"/>
      <c r="H1847" s="2"/>
      <c r="L1847" s="55"/>
      <c r="M1847" s="55"/>
    </row>
    <row r="1848" spans="3:13" x14ac:dyDescent="0.2">
      <c r="C1848" s="49"/>
      <c r="G1848" s="2"/>
      <c r="H1848" s="2"/>
      <c r="L1848" s="55"/>
      <c r="M1848" s="55"/>
    </row>
    <row r="1849" spans="3:13" x14ac:dyDescent="0.2">
      <c r="C1849" s="49"/>
      <c r="G1849" s="2"/>
      <c r="H1849" s="2"/>
      <c r="L1849" s="55"/>
      <c r="M1849" s="55"/>
    </row>
    <row r="1850" spans="3:13" x14ac:dyDescent="0.2">
      <c r="C1850" s="49"/>
      <c r="G1850" s="2"/>
      <c r="H1850" s="2"/>
      <c r="L1850" s="55"/>
      <c r="M1850" s="55"/>
    </row>
    <row r="1851" spans="3:13" x14ac:dyDescent="0.2">
      <c r="C1851" s="49"/>
      <c r="G1851" s="2"/>
      <c r="H1851" s="2"/>
      <c r="L1851" s="55"/>
      <c r="M1851" s="55"/>
    </row>
    <row r="1852" spans="3:13" x14ac:dyDescent="0.2">
      <c r="C1852" s="49"/>
      <c r="G1852" s="2"/>
      <c r="H1852" s="2"/>
      <c r="L1852" s="55"/>
      <c r="M1852" s="55"/>
    </row>
    <row r="1853" spans="3:13" x14ac:dyDescent="0.2">
      <c r="C1853" s="49"/>
      <c r="G1853" s="2"/>
      <c r="H1853" s="2"/>
      <c r="L1853" s="55"/>
      <c r="M1853" s="55"/>
    </row>
    <row r="1854" spans="3:13" x14ac:dyDescent="0.2">
      <c r="C1854" s="49"/>
      <c r="G1854" s="2"/>
      <c r="H1854" s="2"/>
      <c r="L1854" s="55"/>
      <c r="M1854" s="55"/>
    </row>
    <row r="1855" spans="3:13" x14ac:dyDescent="0.2">
      <c r="C1855" s="49"/>
      <c r="G1855" s="2"/>
      <c r="H1855" s="2"/>
      <c r="L1855" s="55"/>
      <c r="M1855" s="55"/>
    </row>
    <row r="1856" spans="3:13" x14ac:dyDescent="0.2">
      <c r="C1856" s="49"/>
      <c r="G1856" s="2"/>
      <c r="H1856" s="2"/>
      <c r="L1856" s="55"/>
      <c r="M1856" s="55"/>
    </row>
    <row r="1857" spans="3:13" x14ac:dyDescent="0.2">
      <c r="C1857" s="49"/>
      <c r="G1857" s="2"/>
      <c r="H1857" s="2"/>
      <c r="L1857" s="55"/>
      <c r="M1857" s="55"/>
    </row>
    <row r="1858" spans="3:13" x14ac:dyDescent="0.2">
      <c r="C1858" s="49"/>
      <c r="G1858" s="2"/>
      <c r="H1858" s="2"/>
      <c r="L1858" s="55"/>
      <c r="M1858" s="55"/>
    </row>
    <row r="1859" spans="3:13" x14ac:dyDescent="0.2">
      <c r="C1859" s="49"/>
      <c r="G1859" s="2"/>
      <c r="H1859" s="2"/>
      <c r="L1859" s="55"/>
      <c r="M1859" s="55"/>
    </row>
    <row r="1860" spans="3:13" x14ac:dyDescent="0.2">
      <c r="C1860" s="49"/>
      <c r="G1860" s="2"/>
      <c r="H1860" s="2"/>
      <c r="L1860" s="55"/>
      <c r="M1860" s="55"/>
    </row>
    <row r="1861" spans="3:13" x14ac:dyDescent="0.2">
      <c r="C1861" s="49"/>
      <c r="G1861" s="2"/>
      <c r="H1861" s="2"/>
      <c r="L1861" s="55"/>
      <c r="M1861" s="55"/>
    </row>
    <row r="1862" spans="3:13" x14ac:dyDescent="0.2">
      <c r="C1862" s="49"/>
      <c r="G1862" s="2"/>
      <c r="H1862" s="2"/>
      <c r="L1862" s="55"/>
      <c r="M1862" s="55"/>
    </row>
    <row r="1863" spans="3:13" x14ac:dyDescent="0.2">
      <c r="C1863" s="49"/>
      <c r="G1863" s="2"/>
      <c r="H1863" s="2"/>
      <c r="L1863" s="55"/>
      <c r="M1863" s="55"/>
    </row>
    <row r="1864" spans="3:13" x14ac:dyDescent="0.2">
      <c r="C1864" s="49"/>
      <c r="G1864" s="2"/>
      <c r="H1864" s="2"/>
      <c r="L1864" s="55"/>
      <c r="M1864" s="55"/>
    </row>
    <row r="1865" spans="3:13" x14ac:dyDescent="0.2">
      <c r="C1865" s="49"/>
      <c r="G1865" s="2"/>
      <c r="H1865" s="2"/>
      <c r="L1865" s="55"/>
      <c r="M1865" s="55"/>
    </row>
    <row r="1866" spans="3:13" x14ac:dyDescent="0.2">
      <c r="C1866" s="49"/>
      <c r="G1866" s="2"/>
      <c r="H1866" s="2"/>
      <c r="L1866" s="55"/>
      <c r="M1866" s="55"/>
    </row>
    <row r="1867" spans="3:13" x14ac:dyDescent="0.2">
      <c r="C1867" s="49"/>
      <c r="G1867" s="2"/>
      <c r="H1867" s="2"/>
      <c r="L1867" s="55"/>
      <c r="M1867" s="55"/>
    </row>
    <row r="1868" spans="3:13" x14ac:dyDescent="0.2">
      <c r="C1868" s="49"/>
      <c r="G1868" s="2"/>
      <c r="H1868" s="2"/>
      <c r="L1868" s="55"/>
      <c r="M1868" s="55"/>
    </row>
    <row r="1869" spans="3:13" x14ac:dyDescent="0.2">
      <c r="C1869" s="49"/>
      <c r="G1869" s="2"/>
      <c r="H1869" s="2"/>
      <c r="L1869" s="55"/>
      <c r="M1869" s="55"/>
    </row>
    <row r="1870" spans="3:13" x14ac:dyDescent="0.2">
      <c r="C1870" s="49"/>
      <c r="G1870" s="2"/>
      <c r="H1870" s="2"/>
      <c r="L1870" s="55"/>
      <c r="M1870" s="55"/>
    </row>
    <row r="1871" spans="3:13" x14ac:dyDescent="0.2">
      <c r="C1871" s="49"/>
      <c r="G1871" s="2"/>
      <c r="H1871" s="2"/>
      <c r="L1871" s="55"/>
      <c r="M1871" s="55"/>
    </row>
    <row r="1872" spans="3:13" x14ac:dyDescent="0.2">
      <c r="C1872" s="49"/>
      <c r="G1872" s="2"/>
      <c r="H1872" s="2"/>
      <c r="L1872" s="55"/>
      <c r="M1872" s="55"/>
    </row>
    <row r="1873" spans="3:13" x14ac:dyDescent="0.2">
      <c r="C1873" s="49"/>
      <c r="G1873" s="2"/>
      <c r="H1873" s="2"/>
      <c r="L1873" s="55"/>
      <c r="M1873" s="55"/>
    </row>
    <row r="1874" spans="3:13" x14ac:dyDescent="0.2">
      <c r="C1874" s="49"/>
      <c r="G1874" s="2"/>
      <c r="H1874" s="2"/>
      <c r="L1874" s="55"/>
      <c r="M1874" s="55"/>
    </row>
    <row r="1875" spans="3:13" x14ac:dyDescent="0.2">
      <c r="C1875" s="49"/>
      <c r="G1875" s="2"/>
      <c r="H1875" s="2"/>
      <c r="L1875" s="55"/>
      <c r="M1875" s="55"/>
    </row>
    <row r="1876" spans="3:13" x14ac:dyDescent="0.2">
      <c r="C1876" s="49"/>
      <c r="G1876" s="2"/>
      <c r="H1876" s="2"/>
      <c r="L1876" s="55"/>
      <c r="M1876" s="55"/>
    </row>
    <row r="1877" spans="3:13" x14ac:dyDescent="0.2">
      <c r="C1877" s="49"/>
      <c r="G1877" s="2"/>
      <c r="H1877" s="2"/>
      <c r="L1877" s="55"/>
      <c r="M1877" s="55"/>
    </row>
    <row r="1878" spans="3:13" x14ac:dyDescent="0.2">
      <c r="C1878" s="49"/>
      <c r="G1878" s="2"/>
      <c r="H1878" s="2"/>
      <c r="L1878" s="55"/>
      <c r="M1878" s="55"/>
    </row>
    <row r="1879" spans="3:13" x14ac:dyDescent="0.2">
      <c r="C1879" s="49"/>
      <c r="G1879" s="2"/>
      <c r="H1879" s="2"/>
      <c r="L1879" s="55"/>
      <c r="M1879" s="55"/>
    </row>
    <row r="1880" spans="3:13" x14ac:dyDescent="0.2">
      <c r="C1880" s="49"/>
      <c r="G1880" s="2"/>
      <c r="H1880" s="2"/>
      <c r="L1880" s="55"/>
      <c r="M1880" s="55"/>
    </row>
    <row r="1881" spans="3:13" x14ac:dyDescent="0.2">
      <c r="C1881" s="49"/>
      <c r="G1881" s="2"/>
      <c r="H1881" s="2"/>
      <c r="L1881" s="55"/>
      <c r="M1881" s="55"/>
    </row>
    <row r="1882" spans="3:13" x14ac:dyDescent="0.2">
      <c r="C1882" s="49"/>
      <c r="G1882" s="2"/>
      <c r="H1882" s="2"/>
      <c r="L1882" s="55"/>
      <c r="M1882" s="55"/>
    </row>
    <row r="1883" spans="3:13" x14ac:dyDescent="0.2">
      <c r="C1883" s="49"/>
      <c r="G1883" s="2"/>
      <c r="H1883" s="2"/>
      <c r="L1883" s="55"/>
      <c r="M1883" s="55"/>
    </row>
    <row r="1884" spans="3:13" x14ac:dyDescent="0.2">
      <c r="C1884" s="49"/>
      <c r="G1884" s="2"/>
      <c r="H1884" s="2"/>
      <c r="L1884" s="55"/>
      <c r="M1884" s="55"/>
    </row>
    <row r="1885" spans="3:13" x14ac:dyDescent="0.2">
      <c r="C1885" s="49"/>
      <c r="G1885" s="2"/>
      <c r="H1885" s="2"/>
      <c r="L1885" s="55"/>
      <c r="M1885" s="55"/>
    </row>
    <row r="1886" spans="3:13" x14ac:dyDescent="0.2">
      <c r="C1886" s="49"/>
      <c r="G1886" s="2"/>
      <c r="H1886" s="2"/>
      <c r="L1886" s="55"/>
      <c r="M1886" s="55"/>
    </row>
    <row r="1887" spans="3:13" x14ac:dyDescent="0.2">
      <c r="C1887" s="49"/>
      <c r="G1887" s="2"/>
      <c r="H1887" s="2"/>
      <c r="L1887" s="55"/>
      <c r="M1887" s="55"/>
    </row>
    <row r="1888" spans="3:13" x14ac:dyDescent="0.2">
      <c r="C1888" s="49"/>
      <c r="G1888" s="2"/>
      <c r="H1888" s="2"/>
      <c r="L1888" s="55"/>
      <c r="M1888" s="55"/>
    </row>
    <row r="1889" spans="3:13" x14ac:dyDescent="0.2">
      <c r="C1889" s="49"/>
      <c r="G1889" s="2"/>
      <c r="H1889" s="2"/>
      <c r="L1889" s="55"/>
      <c r="M1889" s="55"/>
    </row>
    <row r="1890" spans="3:13" x14ac:dyDescent="0.2">
      <c r="C1890" s="49"/>
      <c r="G1890" s="2"/>
      <c r="H1890" s="2"/>
      <c r="L1890" s="55"/>
      <c r="M1890" s="55"/>
    </row>
    <row r="1891" spans="3:13" x14ac:dyDescent="0.2">
      <c r="C1891" s="49"/>
      <c r="G1891" s="2"/>
      <c r="H1891" s="2"/>
      <c r="L1891" s="55"/>
      <c r="M1891" s="55"/>
    </row>
    <row r="1892" spans="3:13" x14ac:dyDescent="0.2">
      <c r="C1892" s="49"/>
      <c r="G1892" s="2"/>
      <c r="H1892" s="2"/>
      <c r="L1892" s="55"/>
      <c r="M1892" s="55"/>
    </row>
    <row r="1893" spans="3:13" x14ac:dyDescent="0.2">
      <c r="C1893" s="49"/>
      <c r="G1893" s="2"/>
      <c r="H1893" s="2"/>
      <c r="L1893" s="55"/>
      <c r="M1893" s="55"/>
    </row>
    <row r="1894" spans="3:13" x14ac:dyDescent="0.2">
      <c r="C1894" s="49"/>
      <c r="G1894" s="2"/>
      <c r="H1894" s="2"/>
      <c r="L1894" s="55"/>
      <c r="M1894" s="55"/>
    </row>
    <row r="1895" spans="3:13" x14ac:dyDescent="0.2">
      <c r="C1895" s="49"/>
      <c r="G1895" s="2"/>
      <c r="H1895" s="2"/>
      <c r="L1895" s="55"/>
      <c r="M1895" s="55"/>
    </row>
    <row r="1896" spans="3:13" x14ac:dyDescent="0.2">
      <c r="C1896" s="49"/>
      <c r="G1896" s="2"/>
      <c r="H1896" s="2"/>
      <c r="L1896" s="55"/>
      <c r="M1896" s="55"/>
    </row>
    <row r="1897" spans="3:13" x14ac:dyDescent="0.2">
      <c r="C1897" s="49"/>
      <c r="G1897" s="2"/>
      <c r="H1897" s="2"/>
      <c r="L1897" s="55"/>
      <c r="M1897" s="55"/>
    </row>
    <row r="1898" spans="3:13" x14ac:dyDescent="0.2">
      <c r="C1898" s="49"/>
      <c r="G1898" s="2"/>
      <c r="H1898" s="2"/>
      <c r="L1898" s="55"/>
      <c r="M1898" s="55"/>
    </row>
    <row r="1899" spans="3:13" x14ac:dyDescent="0.2">
      <c r="C1899" s="49"/>
      <c r="G1899" s="2"/>
      <c r="H1899" s="2"/>
      <c r="L1899" s="55"/>
      <c r="M1899" s="55"/>
    </row>
    <row r="1900" spans="3:13" x14ac:dyDescent="0.2">
      <c r="C1900" s="49"/>
      <c r="G1900" s="2"/>
      <c r="H1900" s="2"/>
      <c r="L1900" s="55"/>
      <c r="M1900" s="55"/>
    </row>
    <row r="1901" spans="3:13" x14ac:dyDescent="0.2">
      <c r="C1901" s="49"/>
      <c r="G1901" s="2"/>
      <c r="H1901" s="2"/>
      <c r="L1901" s="55"/>
      <c r="M1901" s="55"/>
    </row>
    <row r="1902" spans="3:13" x14ac:dyDescent="0.2">
      <c r="C1902" s="49"/>
      <c r="G1902" s="2"/>
      <c r="H1902" s="2"/>
      <c r="L1902" s="55"/>
      <c r="M1902" s="55"/>
    </row>
    <row r="1903" spans="3:13" x14ac:dyDescent="0.2">
      <c r="C1903" s="49"/>
      <c r="G1903" s="2"/>
      <c r="H1903" s="2"/>
      <c r="L1903" s="55"/>
      <c r="M1903" s="55"/>
    </row>
    <row r="1904" spans="3:13" x14ac:dyDescent="0.2">
      <c r="C1904" s="49"/>
      <c r="G1904" s="2"/>
      <c r="H1904" s="2"/>
      <c r="L1904" s="55"/>
      <c r="M1904" s="55"/>
    </row>
    <row r="1905" spans="3:13" x14ac:dyDescent="0.2">
      <c r="C1905" s="49"/>
      <c r="G1905" s="2"/>
      <c r="H1905" s="2"/>
      <c r="L1905" s="55"/>
      <c r="M1905" s="55"/>
    </row>
    <row r="1906" spans="3:13" x14ac:dyDescent="0.2">
      <c r="C1906" s="49"/>
      <c r="G1906" s="2"/>
      <c r="H1906" s="2"/>
      <c r="L1906" s="55"/>
      <c r="M1906" s="55"/>
    </row>
    <row r="1907" spans="3:13" x14ac:dyDescent="0.2">
      <c r="C1907" s="49"/>
      <c r="G1907" s="2"/>
      <c r="H1907" s="2"/>
      <c r="L1907" s="55"/>
      <c r="M1907" s="55"/>
    </row>
    <row r="1908" spans="3:13" x14ac:dyDescent="0.2">
      <c r="C1908" s="49"/>
      <c r="G1908" s="2"/>
      <c r="H1908" s="2"/>
      <c r="L1908" s="55"/>
      <c r="M1908" s="55"/>
    </row>
    <row r="1909" spans="3:13" x14ac:dyDescent="0.2">
      <c r="C1909" s="49"/>
      <c r="G1909" s="2"/>
      <c r="H1909" s="2"/>
      <c r="L1909" s="55"/>
      <c r="M1909" s="55"/>
    </row>
    <row r="1910" spans="3:13" x14ac:dyDescent="0.2">
      <c r="C1910" s="49"/>
      <c r="G1910" s="2"/>
      <c r="H1910" s="2"/>
      <c r="L1910" s="55"/>
      <c r="M1910" s="55"/>
    </row>
    <row r="1911" spans="3:13" x14ac:dyDescent="0.2">
      <c r="C1911" s="49"/>
      <c r="G1911" s="2"/>
      <c r="H1911" s="2"/>
      <c r="L1911" s="55"/>
      <c r="M1911" s="55"/>
    </row>
    <row r="1912" spans="3:13" x14ac:dyDescent="0.2">
      <c r="C1912" s="49"/>
      <c r="G1912" s="2"/>
      <c r="H1912" s="2"/>
      <c r="L1912" s="55"/>
      <c r="M1912" s="55"/>
    </row>
    <row r="1913" spans="3:13" x14ac:dyDescent="0.2">
      <c r="C1913" s="49"/>
      <c r="G1913" s="2"/>
      <c r="H1913" s="2"/>
      <c r="L1913" s="55"/>
      <c r="M1913" s="55"/>
    </row>
    <row r="1914" spans="3:13" x14ac:dyDescent="0.2">
      <c r="C1914" s="49"/>
      <c r="G1914" s="2"/>
      <c r="H1914" s="2"/>
      <c r="L1914" s="55"/>
      <c r="M1914" s="55"/>
    </row>
    <row r="1915" spans="3:13" x14ac:dyDescent="0.2">
      <c r="C1915" s="49"/>
      <c r="G1915" s="2"/>
      <c r="H1915" s="2"/>
      <c r="L1915" s="55"/>
      <c r="M1915" s="55"/>
    </row>
    <row r="1916" spans="3:13" x14ac:dyDescent="0.2">
      <c r="C1916" s="49"/>
      <c r="G1916" s="2"/>
      <c r="H1916" s="2"/>
      <c r="L1916" s="55"/>
      <c r="M1916" s="55"/>
    </row>
    <row r="1917" spans="3:13" x14ac:dyDescent="0.2">
      <c r="C1917" s="49"/>
      <c r="G1917" s="2"/>
      <c r="H1917" s="2"/>
      <c r="L1917" s="55"/>
      <c r="M1917" s="55"/>
    </row>
    <row r="1918" spans="3:13" x14ac:dyDescent="0.2">
      <c r="C1918" s="49"/>
      <c r="G1918" s="2"/>
      <c r="H1918" s="2"/>
      <c r="L1918" s="55"/>
      <c r="M1918" s="55"/>
    </row>
    <row r="1919" spans="3:13" x14ac:dyDescent="0.2">
      <c r="C1919" s="49"/>
      <c r="G1919" s="2"/>
      <c r="H1919" s="2"/>
      <c r="L1919" s="55"/>
      <c r="M1919" s="55"/>
    </row>
    <row r="1920" spans="3:13" x14ac:dyDescent="0.2">
      <c r="C1920" s="49"/>
      <c r="G1920" s="2"/>
      <c r="H1920" s="2"/>
      <c r="L1920" s="55"/>
      <c r="M1920" s="55"/>
    </row>
    <row r="1921" spans="3:13" x14ac:dyDescent="0.2">
      <c r="C1921" s="49"/>
      <c r="G1921" s="2"/>
      <c r="H1921" s="2"/>
      <c r="L1921" s="55"/>
      <c r="M1921" s="55"/>
    </row>
    <row r="1922" spans="3:13" x14ac:dyDescent="0.2">
      <c r="C1922" s="49"/>
      <c r="G1922" s="2"/>
      <c r="H1922" s="2"/>
      <c r="L1922" s="55"/>
      <c r="M1922" s="55"/>
    </row>
    <row r="1923" spans="3:13" x14ac:dyDescent="0.2">
      <c r="C1923" s="49"/>
      <c r="G1923" s="2"/>
      <c r="H1923" s="2"/>
      <c r="L1923" s="55"/>
      <c r="M1923" s="55"/>
    </row>
    <row r="1924" spans="3:13" x14ac:dyDescent="0.2">
      <c r="C1924" s="49"/>
      <c r="G1924" s="2"/>
      <c r="H1924" s="2"/>
      <c r="L1924" s="55"/>
      <c r="M1924" s="55"/>
    </row>
    <row r="1925" spans="3:13" x14ac:dyDescent="0.2">
      <c r="C1925" s="49"/>
      <c r="G1925" s="2"/>
      <c r="H1925" s="2"/>
      <c r="L1925" s="55"/>
      <c r="M1925" s="55"/>
    </row>
    <row r="1926" spans="3:13" x14ac:dyDescent="0.2">
      <c r="C1926" s="49"/>
      <c r="G1926" s="2"/>
      <c r="H1926" s="2"/>
      <c r="L1926" s="55"/>
      <c r="M1926" s="55"/>
    </row>
    <row r="1927" spans="3:13" x14ac:dyDescent="0.2">
      <c r="C1927" s="49"/>
      <c r="G1927" s="2"/>
      <c r="H1927" s="2"/>
      <c r="L1927" s="55"/>
      <c r="M1927" s="55"/>
    </row>
    <row r="1928" spans="3:13" x14ac:dyDescent="0.2">
      <c r="C1928" s="49"/>
      <c r="G1928" s="2"/>
      <c r="H1928" s="2"/>
      <c r="L1928" s="55"/>
      <c r="M1928" s="55"/>
    </row>
    <row r="1929" spans="3:13" x14ac:dyDescent="0.2">
      <c r="C1929" s="49"/>
      <c r="G1929" s="2"/>
      <c r="H1929" s="2"/>
      <c r="L1929" s="55"/>
      <c r="M1929" s="55"/>
    </row>
    <row r="1930" spans="3:13" x14ac:dyDescent="0.2">
      <c r="C1930" s="49"/>
      <c r="G1930" s="2"/>
      <c r="H1930" s="2"/>
      <c r="L1930" s="55"/>
      <c r="M1930" s="55"/>
    </row>
    <row r="1931" spans="3:13" x14ac:dyDescent="0.2">
      <c r="C1931" s="49"/>
      <c r="G1931" s="2"/>
      <c r="H1931" s="2"/>
      <c r="L1931" s="55"/>
      <c r="M1931" s="55"/>
    </row>
    <row r="1932" spans="3:13" x14ac:dyDescent="0.2">
      <c r="C1932" s="49"/>
      <c r="G1932" s="2"/>
      <c r="H1932" s="2"/>
      <c r="L1932" s="55"/>
      <c r="M1932" s="55"/>
    </row>
    <row r="1933" spans="3:13" x14ac:dyDescent="0.2">
      <c r="C1933" s="49"/>
      <c r="G1933" s="2"/>
      <c r="H1933" s="2"/>
      <c r="L1933" s="55"/>
      <c r="M1933" s="55"/>
    </row>
    <row r="1934" spans="3:13" x14ac:dyDescent="0.2">
      <c r="C1934" s="49"/>
      <c r="G1934" s="2"/>
      <c r="H1934" s="2"/>
      <c r="L1934" s="55"/>
      <c r="M1934" s="55"/>
    </row>
    <row r="1935" spans="3:13" x14ac:dyDescent="0.2">
      <c r="C1935" s="49"/>
      <c r="G1935" s="2"/>
      <c r="H1935" s="2"/>
      <c r="L1935" s="55"/>
      <c r="M1935" s="55"/>
    </row>
    <row r="1936" spans="3:13" x14ac:dyDescent="0.2">
      <c r="C1936" s="49"/>
      <c r="G1936" s="2"/>
      <c r="H1936" s="2"/>
      <c r="L1936" s="55"/>
      <c r="M1936" s="55"/>
    </row>
    <row r="1937" spans="3:13" x14ac:dyDescent="0.2">
      <c r="C1937" s="49"/>
      <c r="G1937" s="2"/>
      <c r="H1937" s="2"/>
      <c r="L1937" s="55"/>
      <c r="M1937" s="55"/>
    </row>
    <row r="1938" spans="3:13" x14ac:dyDescent="0.2">
      <c r="C1938" s="49"/>
      <c r="G1938" s="2"/>
      <c r="H1938" s="2"/>
      <c r="L1938" s="55"/>
      <c r="M1938" s="55"/>
    </row>
    <row r="1939" spans="3:13" x14ac:dyDescent="0.2">
      <c r="C1939" s="49"/>
      <c r="G1939" s="2"/>
      <c r="H1939" s="2"/>
      <c r="L1939" s="55"/>
      <c r="M1939" s="55"/>
    </row>
    <row r="1940" spans="3:13" x14ac:dyDescent="0.2">
      <c r="C1940" s="49"/>
      <c r="G1940" s="2"/>
      <c r="H1940" s="2"/>
      <c r="L1940" s="55"/>
      <c r="M1940" s="55"/>
    </row>
    <row r="1941" spans="3:13" x14ac:dyDescent="0.2">
      <c r="C1941" s="49"/>
      <c r="G1941" s="2"/>
      <c r="H1941" s="2"/>
      <c r="L1941" s="55"/>
      <c r="M1941" s="55"/>
    </row>
    <row r="1942" spans="3:13" x14ac:dyDescent="0.2">
      <c r="C1942" s="49"/>
      <c r="G1942" s="2"/>
      <c r="H1942" s="2"/>
      <c r="L1942" s="55"/>
      <c r="M1942" s="55"/>
    </row>
    <row r="1943" spans="3:13" x14ac:dyDescent="0.2">
      <c r="C1943" s="49"/>
      <c r="G1943" s="2"/>
      <c r="H1943" s="2"/>
      <c r="L1943" s="55"/>
      <c r="M1943" s="55"/>
    </row>
    <row r="1944" spans="3:13" x14ac:dyDescent="0.2">
      <c r="C1944" s="49"/>
      <c r="G1944" s="2"/>
      <c r="H1944" s="2"/>
      <c r="L1944" s="55"/>
      <c r="M1944" s="55"/>
    </row>
    <row r="1945" spans="3:13" x14ac:dyDescent="0.2">
      <c r="C1945" s="49"/>
      <c r="G1945" s="2"/>
      <c r="H1945" s="2"/>
      <c r="L1945" s="55"/>
      <c r="M1945" s="55"/>
    </row>
    <row r="1946" spans="3:13" x14ac:dyDescent="0.2">
      <c r="C1946" s="49"/>
      <c r="G1946" s="2"/>
      <c r="H1946" s="2"/>
      <c r="L1946" s="55"/>
      <c r="M1946" s="55"/>
    </row>
    <row r="1947" spans="3:13" x14ac:dyDescent="0.2">
      <c r="C1947" s="49"/>
      <c r="G1947" s="2"/>
      <c r="H1947" s="2"/>
      <c r="L1947" s="55"/>
      <c r="M1947" s="55"/>
    </row>
    <row r="1948" spans="3:13" x14ac:dyDescent="0.2">
      <c r="C1948" s="49"/>
      <c r="G1948" s="2"/>
      <c r="H1948" s="2"/>
      <c r="L1948" s="55"/>
      <c r="M1948" s="55"/>
    </row>
    <row r="1949" spans="3:13" x14ac:dyDescent="0.2">
      <c r="C1949" s="49"/>
      <c r="G1949" s="2"/>
      <c r="H1949" s="2"/>
      <c r="L1949" s="55"/>
      <c r="M1949" s="55"/>
    </row>
    <row r="1950" spans="3:13" x14ac:dyDescent="0.2">
      <c r="C1950" s="49"/>
      <c r="G1950" s="2"/>
      <c r="H1950" s="2"/>
      <c r="L1950" s="55"/>
      <c r="M1950" s="55"/>
    </row>
    <row r="1951" spans="3:13" x14ac:dyDescent="0.2">
      <c r="C1951" s="49"/>
      <c r="G1951" s="2"/>
      <c r="H1951" s="2"/>
      <c r="L1951" s="55"/>
      <c r="M1951" s="55"/>
    </row>
    <row r="1952" spans="3:13" x14ac:dyDescent="0.2">
      <c r="C1952" s="49"/>
      <c r="G1952" s="2"/>
      <c r="H1952" s="2"/>
      <c r="L1952" s="55"/>
      <c r="M1952" s="55"/>
    </row>
    <row r="1953" spans="3:13" x14ac:dyDescent="0.2">
      <c r="C1953" s="49"/>
      <c r="G1953" s="2"/>
      <c r="H1953" s="2"/>
      <c r="L1953" s="55"/>
      <c r="M1953" s="55"/>
    </row>
    <row r="1954" spans="3:13" x14ac:dyDescent="0.2">
      <c r="C1954" s="49"/>
      <c r="G1954" s="2"/>
      <c r="H1954" s="2"/>
      <c r="L1954" s="55"/>
      <c r="M1954" s="55"/>
    </row>
    <row r="1955" spans="3:13" x14ac:dyDescent="0.2">
      <c r="C1955" s="49"/>
      <c r="G1955" s="2"/>
      <c r="H1955" s="2"/>
      <c r="L1955" s="55"/>
      <c r="M1955" s="55"/>
    </row>
    <row r="1956" spans="3:13" x14ac:dyDescent="0.2">
      <c r="C1956" s="49"/>
      <c r="G1956" s="2"/>
      <c r="H1956" s="2"/>
      <c r="L1956" s="55"/>
      <c r="M1956" s="55"/>
    </row>
    <row r="1957" spans="3:13" x14ac:dyDescent="0.2">
      <c r="C1957" s="49"/>
      <c r="G1957" s="2"/>
      <c r="H1957" s="2"/>
      <c r="L1957" s="55"/>
      <c r="M1957" s="55"/>
    </row>
    <row r="1958" spans="3:13" x14ac:dyDescent="0.2">
      <c r="C1958" s="49"/>
      <c r="G1958" s="2"/>
      <c r="H1958" s="2"/>
      <c r="L1958" s="55"/>
      <c r="M1958" s="55"/>
    </row>
    <row r="1959" spans="3:13" x14ac:dyDescent="0.2">
      <c r="C1959" s="49"/>
      <c r="G1959" s="2"/>
      <c r="H1959" s="2"/>
      <c r="L1959" s="55"/>
      <c r="M1959" s="55"/>
    </row>
    <row r="1960" spans="3:13" x14ac:dyDescent="0.2">
      <c r="C1960" s="49"/>
      <c r="G1960" s="2"/>
      <c r="H1960" s="2"/>
      <c r="L1960" s="55"/>
      <c r="M1960" s="55"/>
    </row>
    <row r="1961" spans="3:13" x14ac:dyDescent="0.2">
      <c r="C1961" s="49"/>
      <c r="G1961" s="2"/>
      <c r="H1961" s="2"/>
      <c r="L1961" s="55"/>
      <c r="M1961" s="55"/>
    </row>
    <row r="1962" spans="3:13" x14ac:dyDescent="0.2">
      <c r="C1962" s="49"/>
      <c r="G1962" s="2"/>
      <c r="H1962" s="2"/>
      <c r="L1962" s="55"/>
      <c r="M1962" s="55"/>
    </row>
    <row r="1963" spans="3:13" x14ac:dyDescent="0.2">
      <c r="C1963" s="49"/>
      <c r="G1963" s="2"/>
      <c r="H1963" s="2"/>
      <c r="L1963" s="55"/>
      <c r="M1963" s="55"/>
    </row>
    <row r="1964" spans="3:13" x14ac:dyDescent="0.2">
      <c r="C1964" s="49"/>
      <c r="G1964" s="2"/>
      <c r="H1964" s="2"/>
      <c r="L1964" s="55"/>
      <c r="M1964" s="55"/>
    </row>
    <row r="1965" spans="3:13" x14ac:dyDescent="0.2">
      <c r="C1965" s="49"/>
      <c r="G1965" s="2"/>
      <c r="H1965" s="2"/>
      <c r="L1965" s="55"/>
      <c r="M1965" s="55"/>
    </row>
    <row r="1966" spans="3:13" x14ac:dyDescent="0.2">
      <c r="C1966" s="49"/>
      <c r="G1966" s="2"/>
      <c r="H1966" s="2"/>
      <c r="L1966" s="55"/>
      <c r="M1966" s="55"/>
    </row>
    <row r="1967" spans="3:13" x14ac:dyDescent="0.2">
      <c r="C1967" s="49"/>
      <c r="G1967" s="2"/>
      <c r="H1967" s="2"/>
      <c r="L1967" s="55"/>
      <c r="M1967" s="55"/>
    </row>
    <row r="1968" spans="3:13" x14ac:dyDescent="0.2">
      <c r="C1968" s="49"/>
      <c r="G1968" s="2"/>
      <c r="H1968" s="2"/>
      <c r="L1968" s="55"/>
      <c r="M1968" s="55"/>
    </row>
    <row r="1969" spans="3:13" x14ac:dyDescent="0.2">
      <c r="C1969" s="49"/>
      <c r="G1969" s="2"/>
      <c r="H1969" s="2"/>
      <c r="L1969" s="55"/>
      <c r="M1969" s="55"/>
    </row>
    <row r="1970" spans="3:13" x14ac:dyDescent="0.2">
      <c r="C1970" s="49"/>
      <c r="G1970" s="2"/>
      <c r="H1970" s="2"/>
      <c r="L1970" s="55"/>
      <c r="M1970" s="55"/>
    </row>
    <row r="1971" spans="3:13" x14ac:dyDescent="0.2">
      <c r="C1971" s="49"/>
      <c r="G1971" s="2"/>
      <c r="H1971" s="2"/>
      <c r="L1971" s="55"/>
      <c r="M1971" s="55"/>
    </row>
    <row r="1972" spans="3:13" x14ac:dyDescent="0.2">
      <c r="C1972" s="49"/>
      <c r="G1972" s="2"/>
      <c r="H1972" s="2"/>
      <c r="L1972" s="55"/>
      <c r="M1972" s="55"/>
    </row>
    <row r="1973" spans="3:13" x14ac:dyDescent="0.2">
      <c r="C1973" s="49"/>
      <c r="G1973" s="2"/>
      <c r="H1973" s="2"/>
      <c r="L1973" s="55"/>
      <c r="M1973" s="55"/>
    </row>
    <row r="1974" spans="3:13" x14ac:dyDescent="0.2">
      <c r="C1974" s="49"/>
      <c r="G1974" s="2"/>
      <c r="H1974" s="2"/>
      <c r="L1974" s="55"/>
      <c r="M1974" s="55"/>
    </row>
    <row r="1975" spans="3:13" x14ac:dyDescent="0.2">
      <c r="C1975" s="49"/>
      <c r="G1975" s="2"/>
      <c r="H1975" s="2"/>
      <c r="L1975" s="55"/>
      <c r="M1975" s="55"/>
    </row>
    <row r="1976" spans="3:13" x14ac:dyDescent="0.2">
      <c r="C1976" s="49"/>
      <c r="G1976" s="2"/>
      <c r="H1976" s="2"/>
      <c r="L1976" s="55"/>
      <c r="M1976" s="55"/>
    </row>
    <row r="1977" spans="3:13" x14ac:dyDescent="0.2">
      <c r="C1977" s="49"/>
      <c r="G1977" s="2"/>
      <c r="H1977" s="2"/>
      <c r="L1977" s="55"/>
      <c r="M1977" s="55"/>
    </row>
    <row r="1978" spans="3:13" x14ac:dyDescent="0.2">
      <c r="C1978" s="49"/>
      <c r="G1978" s="2"/>
      <c r="H1978" s="2"/>
      <c r="L1978" s="55"/>
      <c r="M1978" s="55"/>
    </row>
    <row r="1979" spans="3:13" x14ac:dyDescent="0.2">
      <c r="C1979" s="49"/>
      <c r="G1979" s="2"/>
      <c r="H1979" s="2"/>
      <c r="L1979" s="55"/>
      <c r="M1979" s="55"/>
    </row>
    <row r="1980" spans="3:13" x14ac:dyDescent="0.2">
      <c r="C1980" s="49"/>
      <c r="G1980" s="2"/>
      <c r="H1980" s="2"/>
      <c r="L1980" s="55"/>
      <c r="M1980" s="55"/>
    </row>
    <row r="1981" spans="3:13" x14ac:dyDescent="0.2">
      <c r="C1981" s="49"/>
      <c r="G1981" s="2"/>
      <c r="H1981" s="2"/>
      <c r="L1981" s="55"/>
      <c r="M1981" s="55"/>
    </row>
    <row r="1982" spans="3:13" x14ac:dyDescent="0.2">
      <c r="C1982" s="49"/>
      <c r="G1982" s="2"/>
      <c r="H1982" s="2"/>
      <c r="L1982" s="55"/>
      <c r="M1982" s="55"/>
    </row>
    <row r="1983" spans="3:13" x14ac:dyDescent="0.2">
      <c r="C1983" s="49"/>
      <c r="G1983" s="2"/>
      <c r="H1983" s="2"/>
      <c r="L1983" s="55"/>
      <c r="M1983" s="55"/>
    </row>
    <row r="1984" spans="3:13" x14ac:dyDescent="0.2">
      <c r="C1984" s="49"/>
      <c r="G1984" s="2"/>
      <c r="H1984" s="2"/>
      <c r="L1984" s="55"/>
      <c r="M1984" s="55"/>
    </row>
    <row r="1985" spans="3:13" x14ac:dyDescent="0.2">
      <c r="C1985" s="49"/>
      <c r="G1985" s="2"/>
      <c r="H1985" s="2"/>
      <c r="L1985" s="55"/>
      <c r="M1985" s="55"/>
    </row>
    <row r="1986" spans="3:13" x14ac:dyDescent="0.2">
      <c r="C1986" s="49"/>
      <c r="G1986" s="2"/>
      <c r="H1986" s="2"/>
      <c r="L1986" s="55"/>
      <c r="M1986" s="55"/>
    </row>
    <row r="1987" spans="3:13" x14ac:dyDescent="0.2">
      <c r="C1987" s="49"/>
      <c r="G1987" s="2"/>
      <c r="H1987" s="2"/>
      <c r="L1987" s="55"/>
      <c r="M1987" s="55"/>
    </row>
    <row r="1988" spans="3:13" x14ac:dyDescent="0.2">
      <c r="C1988" s="49"/>
      <c r="G1988" s="2"/>
      <c r="H1988" s="2"/>
      <c r="L1988" s="55"/>
      <c r="M1988" s="55"/>
    </row>
    <row r="1989" spans="3:13" x14ac:dyDescent="0.2">
      <c r="C1989" s="49"/>
      <c r="G1989" s="2"/>
      <c r="H1989" s="2"/>
      <c r="L1989" s="55"/>
      <c r="M1989" s="55"/>
    </row>
    <row r="1990" spans="3:13" x14ac:dyDescent="0.2">
      <c r="C1990" s="49"/>
      <c r="G1990" s="2"/>
      <c r="H1990" s="2"/>
      <c r="L1990" s="55"/>
      <c r="M1990" s="55"/>
    </row>
    <row r="1991" spans="3:13" x14ac:dyDescent="0.2">
      <c r="C1991" s="49"/>
      <c r="G1991" s="2"/>
      <c r="H1991" s="2"/>
      <c r="L1991" s="55"/>
      <c r="M1991" s="55"/>
    </row>
    <row r="1992" spans="3:13" x14ac:dyDescent="0.2">
      <c r="C1992" s="49"/>
      <c r="G1992" s="2"/>
      <c r="H1992" s="2"/>
      <c r="L1992" s="55"/>
      <c r="M1992" s="55"/>
    </row>
    <row r="1993" spans="3:13" x14ac:dyDescent="0.2">
      <c r="C1993" s="49"/>
      <c r="G1993" s="2"/>
      <c r="H1993" s="2"/>
      <c r="L1993" s="55"/>
      <c r="M1993" s="55"/>
    </row>
    <row r="1994" spans="3:13" x14ac:dyDescent="0.2">
      <c r="C1994" s="49"/>
      <c r="G1994" s="2"/>
      <c r="H1994" s="2"/>
      <c r="L1994" s="55"/>
      <c r="M1994" s="55"/>
    </row>
    <row r="1995" spans="3:13" x14ac:dyDescent="0.2">
      <c r="C1995" s="49"/>
      <c r="G1995" s="2"/>
      <c r="H1995" s="2"/>
      <c r="L1995" s="55"/>
      <c r="M1995" s="55"/>
    </row>
    <row r="1996" spans="3:13" x14ac:dyDescent="0.2">
      <c r="C1996" s="49"/>
      <c r="G1996" s="2"/>
      <c r="H1996" s="2"/>
      <c r="L1996" s="55"/>
      <c r="M1996" s="55"/>
    </row>
    <row r="1997" spans="3:13" x14ac:dyDescent="0.2">
      <c r="C1997" s="49"/>
      <c r="G1997" s="2"/>
      <c r="H1997" s="2"/>
      <c r="L1997" s="55"/>
      <c r="M1997" s="55"/>
    </row>
    <row r="1998" spans="3:13" x14ac:dyDescent="0.2">
      <c r="C1998" s="49"/>
      <c r="G1998" s="2"/>
      <c r="H1998" s="2"/>
      <c r="L1998" s="55"/>
      <c r="M1998" s="55"/>
    </row>
    <row r="1999" spans="3:13" x14ac:dyDescent="0.2">
      <c r="C1999" s="49"/>
      <c r="G1999" s="2"/>
      <c r="H1999" s="2"/>
      <c r="L1999" s="55"/>
      <c r="M1999" s="55"/>
    </row>
    <row r="2000" spans="3:13" x14ac:dyDescent="0.2">
      <c r="C2000" s="49"/>
      <c r="G2000" s="2"/>
      <c r="H2000" s="2"/>
      <c r="L2000" s="55"/>
      <c r="M2000" s="55"/>
    </row>
    <row r="2001" spans="3:13" x14ac:dyDescent="0.2">
      <c r="C2001" s="49"/>
      <c r="G2001" s="2"/>
      <c r="H2001" s="2"/>
      <c r="L2001" s="55"/>
      <c r="M2001" s="55"/>
    </row>
    <row r="2002" spans="3:13" x14ac:dyDescent="0.2">
      <c r="C2002" s="49"/>
      <c r="G2002" s="2"/>
      <c r="H2002" s="2"/>
      <c r="L2002" s="55"/>
      <c r="M2002" s="55"/>
    </row>
    <row r="2003" spans="3:13" x14ac:dyDescent="0.2">
      <c r="C2003" s="49"/>
      <c r="G2003" s="2"/>
      <c r="H2003" s="2"/>
      <c r="L2003" s="55"/>
      <c r="M2003" s="55"/>
    </row>
    <row r="2004" spans="3:13" x14ac:dyDescent="0.2">
      <c r="C2004" s="49"/>
      <c r="G2004" s="2"/>
      <c r="H2004" s="2"/>
      <c r="L2004" s="55"/>
      <c r="M2004" s="55"/>
    </row>
    <row r="2005" spans="3:13" x14ac:dyDescent="0.2">
      <c r="C2005" s="49"/>
      <c r="G2005" s="2"/>
      <c r="H2005" s="2"/>
      <c r="L2005" s="55"/>
      <c r="M2005" s="55"/>
    </row>
    <row r="2006" spans="3:13" x14ac:dyDescent="0.2">
      <c r="C2006" s="49"/>
      <c r="G2006" s="2"/>
      <c r="H2006" s="2"/>
      <c r="L2006" s="55"/>
      <c r="M2006" s="55"/>
    </row>
    <row r="2007" spans="3:13" x14ac:dyDescent="0.2">
      <c r="C2007" s="49"/>
      <c r="G2007" s="2"/>
      <c r="H2007" s="2"/>
      <c r="L2007" s="55"/>
      <c r="M2007" s="55"/>
    </row>
    <row r="2008" spans="3:13" x14ac:dyDescent="0.2">
      <c r="C2008" s="49"/>
      <c r="G2008" s="2"/>
      <c r="H2008" s="2"/>
      <c r="L2008" s="55"/>
      <c r="M2008" s="55"/>
    </row>
    <row r="2009" spans="3:13" x14ac:dyDescent="0.2">
      <c r="C2009" s="49"/>
      <c r="G2009" s="2"/>
      <c r="H2009" s="2"/>
      <c r="L2009" s="55"/>
      <c r="M2009" s="55"/>
    </row>
    <row r="2010" spans="3:13" x14ac:dyDescent="0.2">
      <c r="C2010" s="49"/>
      <c r="G2010" s="2"/>
      <c r="H2010" s="2"/>
      <c r="L2010" s="55"/>
      <c r="M2010" s="55"/>
    </row>
    <row r="2011" spans="3:13" x14ac:dyDescent="0.2">
      <c r="C2011" s="49"/>
      <c r="G2011" s="2"/>
      <c r="H2011" s="2"/>
      <c r="L2011" s="55"/>
      <c r="M2011" s="55"/>
    </row>
    <row r="2012" spans="3:13" x14ac:dyDescent="0.2">
      <c r="C2012" s="49"/>
      <c r="G2012" s="2"/>
      <c r="H2012" s="2"/>
      <c r="L2012" s="55"/>
      <c r="M2012" s="55"/>
    </row>
    <row r="2013" spans="3:13" x14ac:dyDescent="0.2">
      <c r="C2013" s="49"/>
      <c r="G2013" s="2"/>
      <c r="H2013" s="2"/>
      <c r="L2013" s="55"/>
      <c r="M2013" s="55"/>
    </row>
    <row r="2014" spans="3:13" x14ac:dyDescent="0.2">
      <c r="C2014" s="49"/>
      <c r="G2014" s="2"/>
      <c r="H2014" s="2"/>
      <c r="L2014" s="55"/>
      <c r="M2014" s="55"/>
    </row>
    <row r="2015" spans="3:13" x14ac:dyDescent="0.2">
      <c r="C2015" s="49"/>
      <c r="G2015" s="2"/>
      <c r="H2015" s="2"/>
      <c r="L2015" s="55"/>
      <c r="M2015" s="55"/>
    </row>
    <row r="2016" spans="3:13" x14ac:dyDescent="0.2">
      <c r="C2016" s="49"/>
      <c r="G2016" s="2"/>
      <c r="H2016" s="2"/>
      <c r="L2016" s="55"/>
      <c r="M2016" s="55"/>
    </row>
    <row r="2017" spans="3:13" x14ac:dyDescent="0.2">
      <c r="C2017" s="49"/>
      <c r="G2017" s="2"/>
      <c r="H2017" s="2"/>
      <c r="L2017" s="55"/>
      <c r="M2017" s="55"/>
    </row>
    <row r="2018" spans="3:13" x14ac:dyDescent="0.2">
      <c r="C2018" s="49"/>
      <c r="G2018" s="2"/>
      <c r="H2018" s="2"/>
      <c r="L2018" s="55"/>
      <c r="M2018" s="55"/>
    </row>
    <row r="2019" spans="3:13" x14ac:dyDescent="0.2">
      <c r="C2019" s="49"/>
      <c r="G2019" s="2"/>
      <c r="H2019" s="2"/>
      <c r="L2019" s="55"/>
      <c r="M2019" s="55"/>
    </row>
    <row r="2020" spans="3:13" x14ac:dyDescent="0.2">
      <c r="C2020" s="49"/>
      <c r="G2020" s="2"/>
      <c r="H2020" s="2"/>
      <c r="L2020" s="55"/>
      <c r="M2020" s="55"/>
    </row>
    <row r="2021" spans="3:13" x14ac:dyDescent="0.2">
      <c r="C2021" s="49"/>
      <c r="G2021" s="2"/>
      <c r="H2021" s="2"/>
      <c r="L2021" s="55"/>
      <c r="M2021" s="55"/>
    </row>
    <row r="2022" spans="3:13" x14ac:dyDescent="0.2">
      <c r="C2022" s="49"/>
      <c r="G2022" s="2"/>
      <c r="H2022" s="2"/>
      <c r="L2022" s="55"/>
      <c r="M2022" s="55"/>
    </row>
    <row r="2023" spans="3:13" x14ac:dyDescent="0.2">
      <c r="C2023" s="49"/>
      <c r="G2023" s="2"/>
      <c r="H2023" s="2"/>
      <c r="L2023" s="55"/>
      <c r="M2023" s="55"/>
    </row>
    <row r="2024" spans="3:13" x14ac:dyDescent="0.2">
      <c r="C2024" s="49"/>
      <c r="G2024" s="2"/>
      <c r="H2024" s="2"/>
      <c r="L2024" s="55"/>
      <c r="M2024" s="55"/>
    </row>
    <row r="2025" spans="3:13" x14ac:dyDescent="0.2">
      <c r="C2025" s="49"/>
      <c r="G2025" s="2"/>
      <c r="H2025" s="2"/>
      <c r="L2025" s="55"/>
      <c r="M2025" s="55"/>
    </row>
    <row r="2026" spans="3:13" x14ac:dyDescent="0.2">
      <c r="C2026" s="49"/>
      <c r="G2026" s="2"/>
      <c r="H2026" s="2"/>
      <c r="L2026" s="55"/>
      <c r="M2026" s="55"/>
    </row>
    <row r="2027" spans="3:13" x14ac:dyDescent="0.2">
      <c r="C2027" s="49"/>
      <c r="G2027" s="2"/>
      <c r="H2027" s="2"/>
      <c r="L2027" s="55"/>
      <c r="M2027" s="55"/>
    </row>
    <row r="2028" spans="3:13" x14ac:dyDescent="0.2">
      <c r="C2028" s="49"/>
      <c r="G2028" s="2"/>
      <c r="H2028" s="2"/>
      <c r="L2028" s="55"/>
      <c r="M2028" s="55"/>
    </row>
    <row r="2029" spans="3:13" x14ac:dyDescent="0.2">
      <c r="C2029" s="49"/>
      <c r="G2029" s="2"/>
      <c r="H2029" s="2"/>
      <c r="L2029" s="55"/>
      <c r="M2029" s="55"/>
    </row>
    <row r="2030" spans="3:13" x14ac:dyDescent="0.2">
      <c r="C2030" s="49"/>
      <c r="G2030" s="2"/>
      <c r="H2030" s="2"/>
      <c r="L2030" s="55"/>
      <c r="M2030" s="55"/>
    </row>
    <row r="2031" spans="3:13" x14ac:dyDescent="0.2">
      <c r="C2031" s="49"/>
      <c r="G2031" s="2"/>
      <c r="H2031" s="2"/>
      <c r="L2031" s="55"/>
      <c r="M2031" s="55"/>
    </row>
    <row r="2032" spans="3:13" x14ac:dyDescent="0.2">
      <c r="C2032" s="49"/>
      <c r="G2032" s="2"/>
      <c r="H2032" s="2"/>
      <c r="L2032" s="55"/>
      <c r="M2032" s="55"/>
    </row>
    <row r="2033" spans="3:13" x14ac:dyDescent="0.2">
      <c r="C2033" s="49"/>
      <c r="G2033" s="2"/>
      <c r="H2033" s="2"/>
      <c r="L2033" s="55"/>
      <c r="M2033" s="55"/>
    </row>
    <row r="2034" spans="3:13" x14ac:dyDescent="0.2">
      <c r="C2034" s="49"/>
      <c r="G2034" s="2"/>
      <c r="H2034" s="2"/>
      <c r="L2034" s="55"/>
      <c r="M2034" s="55"/>
    </row>
    <row r="2035" spans="3:13" x14ac:dyDescent="0.2">
      <c r="C2035" s="49"/>
      <c r="G2035" s="2"/>
      <c r="H2035" s="2"/>
      <c r="L2035" s="55"/>
      <c r="M2035" s="55"/>
    </row>
    <row r="2036" spans="3:13" x14ac:dyDescent="0.2">
      <c r="C2036" s="49"/>
      <c r="G2036" s="2"/>
      <c r="H2036" s="2"/>
      <c r="L2036" s="55"/>
      <c r="M2036" s="55"/>
    </row>
    <row r="2037" spans="3:13" x14ac:dyDescent="0.2">
      <c r="C2037" s="49"/>
      <c r="G2037" s="2"/>
      <c r="H2037" s="2"/>
      <c r="L2037" s="55"/>
      <c r="M2037" s="55"/>
    </row>
    <row r="2038" spans="3:13" x14ac:dyDescent="0.2">
      <c r="C2038" s="49"/>
      <c r="G2038" s="2"/>
      <c r="H2038" s="2"/>
      <c r="L2038" s="55"/>
      <c r="M2038" s="55"/>
    </row>
    <row r="2039" spans="3:13" x14ac:dyDescent="0.2">
      <c r="C2039" s="49"/>
      <c r="G2039" s="2"/>
      <c r="H2039" s="2"/>
      <c r="L2039" s="55"/>
      <c r="M2039" s="55"/>
    </row>
    <row r="2040" spans="3:13" x14ac:dyDescent="0.2">
      <c r="C2040" s="49"/>
      <c r="G2040" s="2"/>
      <c r="H2040" s="2"/>
      <c r="L2040" s="55"/>
      <c r="M2040" s="55"/>
    </row>
    <row r="2041" spans="3:13" x14ac:dyDescent="0.2">
      <c r="C2041" s="49"/>
      <c r="G2041" s="2"/>
      <c r="H2041" s="2"/>
      <c r="L2041" s="55"/>
      <c r="M2041" s="55"/>
    </row>
    <row r="2042" spans="3:13" x14ac:dyDescent="0.2">
      <c r="C2042" s="49"/>
      <c r="G2042" s="2"/>
      <c r="H2042" s="2"/>
      <c r="L2042" s="55"/>
      <c r="M2042" s="55"/>
    </row>
    <row r="2043" spans="3:13" x14ac:dyDescent="0.2">
      <c r="C2043" s="49"/>
      <c r="G2043" s="2"/>
      <c r="H2043" s="2"/>
      <c r="L2043" s="55"/>
      <c r="M2043" s="55"/>
    </row>
    <row r="2044" spans="3:13" x14ac:dyDescent="0.2">
      <c r="C2044" s="49"/>
      <c r="G2044" s="2"/>
      <c r="H2044" s="2"/>
      <c r="L2044" s="55"/>
      <c r="M2044" s="55"/>
    </row>
    <row r="2045" spans="3:13" x14ac:dyDescent="0.2">
      <c r="C2045" s="49"/>
      <c r="G2045" s="2"/>
      <c r="H2045" s="2"/>
      <c r="L2045" s="55"/>
      <c r="M2045" s="55"/>
    </row>
    <row r="2046" spans="3:13" x14ac:dyDescent="0.2">
      <c r="C2046" s="49"/>
      <c r="G2046" s="2"/>
      <c r="H2046" s="2"/>
      <c r="L2046" s="55"/>
      <c r="M2046" s="55"/>
    </row>
    <row r="2047" spans="3:13" x14ac:dyDescent="0.2">
      <c r="C2047" s="49"/>
      <c r="G2047" s="2"/>
      <c r="H2047" s="2"/>
      <c r="L2047" s="55"/>
      <c r="M2047" s="55"/>
    </row>
    <row r="2048" spans="3:13" x14ac:dyDescent="0.2">
      <c r="C2048" s="49"/>
      <c r="G2048" s="2"/>
      <c r="H2048" s="2"/>
      <c r="L2048" s="55"/>
      <c r="M2048" s="55"/>
    </row>
    <row r="2049" spans="3:13" x14ac:dyDescent="0.2">
      <c r="C2049" s="49"/>
      <c r="G2049" s="2"/>
      <c r="H2049" s="2"/>
      <c r="L2049" s="55"/>
      <c r="M2049" s="55"/>
    </row>
    <row r="2050" spans="3:13" x14ac:dyDescent="0.2">
      <c r="C2050" s="49"/>
      <c r="G2050" s="2"/>
      <c r="H2050" s="2"/>
      <c r="L2050" s="55"/>
      <c r="M2050" s="55"/>
    </row>
    <row r="2051" spans="3:13" x14ac:dyDescent="0.2">
      <c r="C2051" s="49"/>
      <c r="G2051" s="2"/>
      <c r="H2051" s="2"/>
      <c r="L2051" s="55"/>
      <c r="M2051" s="55"/>
    </row>
    <row r="2052" spans="3:13" x14ac:dyDescent="0.2">
      <c r="C2052" s="49"/>
      <c r="G2052" s="2"/>
      <c r="H2052" s="2"/>
      <c r="L2052" s="55"/>
      <c r="M2052" s="55"/>
    </row>
    <row r="2053" spans="3:13" x14ac:dyDescent="0.2">
      <c r="C2053" s="49"/>
      <c r="G2053" s="2"/>
      <c r="H2053" s="2"/>
      <c r="L2053" s="55"/>
      <c r="M2053" s="55"/>
    </row>
    <row r="2054" spans="3:13" x14ac:dyDescent="0.2">
      <c r="C2054" s="49"/>
      <c r="G2054" s="2"/>
      <c r="H2054" s="2"/>
      <c r="L2054" s="55"/>
      <c r="M2054" s="55"/>
    </row>
    <row r="2055" spans="3:13" x14ac:dyDescent="0.2">
      <c r="C2055" s="49"/>
      <c r="G2055" s="2"/>
      <c r="H2055" s="2"/>
      <c r="L2055" s="55"/>
      <c r="M2055" s="55"/>
    </row>
    <row r="2056" spans="3:13" x14ac:dyDescent="0.2">
      <c r="C2056" s="49"/>
      <c r="G2056" s="2"/>
      <c r="H2056" s="2"/>
      <c r="L2056" s="55"/>
      <c r="M2056" s="55"/>
    </row>
    <row r="2057" spans="3:13" x14ac:dyDescent="0.2">
      <c r="C2057" s="49"/>
      <c r="G2057" s="2"/>
      <c r="H2057" s="2"/>
      <c r="L2057" s="55"/>
      <c r="M2057" s="55"/>
    </row>
    <row r="2058" spans="3:13" x14ac:dyDescent="0.2">
      <c r="C2058" s="49"/>
      <c r="G2058" s="2"/>
      <c r="H2058" s="2"/>
      <c r="L2058" s="55"/>
      <c r="M2058" s="55"/>
    </row>
    <row r="2059" spans="3:13" x14ac:dyDescent="0.2">
      <c r="C2059" s="49"/>
      <c r="G2059" s="2"/>
      <c r="H2059" s="2"/>
      <c r="L2059" s="55"/>
      <c r="M2059" s="55"/>
    </row>
    <row r="2060" spans="3:13" x14ac:dyDescent="0.2">
      <c r="C2060" s="49"/>
      <c r="G2060" s="2"/>
      <c r="H2060" s="2"/>
      <c r="L2060" s="55"/>
      <c r="M2060" s="55"/>
    </row>
    <row r="2061" spans="3:13" x14ac:dyDescent="0.2">
      <c r="C2061" s="49"/>
      <c r="G2061" s="2"/>
      <c r="H2061" s="2"/>
      <c r="L2061" s="55"/>
      <c r="M2061" s="55"/>
    </row>
    <row r="2062" spans="3:13" x14ac:dyDescent="0.2">
      <c r="C2062" s="49"/>
      <c r="G2062" s="2"/>
      <c r="H2062" s="2"/>
      <c r="L2062" s="55"/>
      <c r="M2062" s="55"/>
    </row>
    <row r="2063" spans="3:13" x14ac:dyDescent="0.2">
      <c r="C2063" s="49"/>
      <c r="G2063" s="2"/>
      <c r="H2063" s="2"/>
      <c r="L2063" s="55"/>
      <c r="M2063" s="55"/>
    </row>
    <row r="2064" spans="3:13" x14ac:dyDescent="0.2">
      <c r="C2064" s="49"/>
      <c r="G2064" s="2"/>
      <c r="H2064" s="2"/>
      <c r="L2064" s="55"/>
      <c r="M2064" s="55"/>
    </row>
    <row r="2065" spans="3:13" x14ac:dyDescent="0.2">
      <c r="C2065" s="49"/>
      <c r="G2065" s="2"/>
      <c r="H2065" s="2"/>
      <c r="L2065" s="55"/>
      <c r="M2065" s="55"/>
    </row>
    <row r="2066" spans="3:13" x14ac:dyDescent="0.2">
      <c r="C2066" s="49"/>
      <c r="G2066" s="2"/>
      <c r="H2066" s="2"/>
      <c r="L2066" s="55"/>
      <c r="M2066" s="55"/>
    </row>
    <row r="2067" spans="3:13" x14ac:dyDescent="0.2">
      <c r="C2067" s="49"/>
      <c r="G2067" s="2"/>
      <c r="H2067" s="2"/>
      <c r="L2067" s="55"/>
      <c r="M2067" s="55"/>
    </row>
    <row r="2068" spans="3:13" x14ac:dyDescent="0.2">
      <c r="C2068" s="49"/>
      <c r="G2068" s="2"/>
      <c r="H2068" s="2"/>
      <c r="L2068" s="55"/>
      <c r="M2068" s="55"/>
    </row>
    <row r="2069" spans="3:13" x14ac:dyDescent="0.2">
      <c r="C2069" s="49"/>
      <c r="G2069" s="2"/>
      <c r="H2069" s="2"/>
      <c r="L2069" s="55"/>
      <c r="M2069" s="55"/>
    </row>
    <row r="2070" spans="3:13" x14ac:dyDescent="0.2">
      <c r="C2070" s="49"/>
      <c r="G2070" s="2"/>
      <c r="H2070" s="2"/>
      <c r="L2070" s="55"/>
      <c r="M2070" s="55"/>
    </row>
    <row r="2071" spans="3:13" x14ac:dyDescent="0.2">
      <c r="C2071" s="49"/>
      <c r="G2071" s="2"/>
      <c r="H2071" s="2"/>
      <c r="L2071" s="55"/>
      <c r="M2071" s="55"/>
    </row>
    <row r="2072" spans="3:13" x14ac:dyDescent="0.2">
      <c r="C2072" s="49"/>
      <c r="G2072" s="2"/>
      <c r="H2072" s="2"/>
      <c r="L2072" s="55"/>
      <c r="M2072" s="55"/>
    </row>
    <row r="2073" spans="3:13" x14ac:dyDescent="0.2">
      <c r="C2073" s="49"/>
      <c r="G2073" s="2"/>
      <c r="H2073" s="2"/>
      <c r="L2073" s="55"/>
      <c r="M2073" s="55"/>
    </row>
    <row r="2074" spans="3:13" x14ac:dyDescent="0.2">
      <c r="C2074" s="49"/>
      <c r="G2074" s="2"/>
      <c r="H2074" s="2"/>
      <c r="L2074" s="55"/>
      <c r="M2074" s="55"/>
    </row>
    <row r="2075" spans="3:13" x14ac:dyDescent="0.2">
      <c r="C2075" s="49"/>
      <c r="G2075" s="2"/>
      <c r="H2075" s="2"/>
      <c r="L2075" s="55"/>
      <c r="M2075" s="55"/>
    </row>
    <row r="2076" spans="3:13" x14ac:dyDescent="0.2">
      <c r="C2076" s="49"/>
      <c r="G2076" s="2"/>
      <c r="H2076" s="2"/>
      <c r="L2076" s="55"/>
      <c r="M2076" s="55"/>
    </row>
    <row r="2077" spans="3:13" x14ac:dyDescent="0.2">
      <c r="C2077" s="49"/>
      <c r="G2077" s="2"/>
      <c r="H2077" s="2"/>
      <c r="L2077" s="55"/>
      <c r="M2077" s="55"/>
    </row>
    <row r="2078" spans="3:13" x14ac:dyDescent="0.2">
      <c r="C2078" s="49"/>
      <c r="G2078" s="2"/>
      <c r="H2078" s="2"/>
      <c r="L2078" s="55"/>
      <c r="M2078" s="55"/>
    </row>
    <row r="2079" spans="3:13" x14ac:dyDescent="0.2">
      <c r="C2079" s="49"/>
      <c r="G2079" s="2"/>
      <c r="H2079" s="2"/>
      <c r="L2079" s="55"/>
      <c r="M2079" s="55"/>
    </row>
    <row r="2080" spans="3:13" x14ac:dyDescent="0.2">
      <c r="C2080" s="49"/>
      <c r="G2080" s="2"/>
      <c r="H2080" s="2"/>
      <c r="L2080" s="55"/>
      <c r="M2080" s="55"/>
    </row>
    <row r="2081" spans="3:13" x14ac:dyDescent="0.2">
      <c r="C2081" s="49"/>
      <c r="G2081" s="2"/>
      <c r="H2081" s="2"/>
      <c r="L2081" s="55"/>
      <c r="M2081" s="55"/>
    </row>
    <row r="2082" spans="3:13" x14ac:dyDescent="0.2">
      <c r="C2082" s="49"/>
      <c r="G2082" s="2"/>
      <c r="H2082" s="2"/>
      <c r="L2082" s="55"/>
      <c r="M2082" s="55"/>
    </row>
    <row r="2083" spans="3:13" x14ac:dyDescent="0.2">
      <c r="C2083" s="49"/>
      <c r="G2083" s="2"/>
      <c r="H2083" s="2"/>
      <c r="L2083" s="55"/>
      <c r="M2083" s="55"/>
    </row>
    <row r="2084" spans="3:13" x14ac:dyDescent="0.2">
      <c r="C2084" s="49"/>
      <c r="G2084" s="2"/>
      <c r="H2084" s="2"/>
      <c r="L2084" s="55"/>
      <c r="M2084" s="55"/>
    </row>
    <row r="2085" spans="3:13" x14ac:dyDescent="0.2">
      <c r="C2085" s="49"/>
      <c r="G2085" s="2"/>
      <c r="H2085" s="2"/>
      <c r="L2085" s="55"/>
      <c r="M2085" s="55"/>
    </row>
    <row r="2086" spans="3:13" x14ac:dyDescent="0.2">
      <c r="C2086" s="49"/>
      <c r="G2086" s="2"/>
      <c r="H2086" s="2"/>
      <c r="L2086" s="55"/>
      <c r="M2086" s="55"/>
    </row>
    <row r="2087" spans="3:13" x14ac:dyDescent="0.2">
      <c r="C2087" s="49"/>
      <c r="G2087" s="2"/>
      <c r="H2087" s="2"/>
      <c r="L2087" s="55"/>
      <c r="M2087" s="55"/>
    </row>
    <row r="2088" spans="3:13" x14ac:dyDescent="0.2">
      <c r="C2088" s="49"/>
      <c r="G2088" s="2"/>
      <c r="H2088" s="2"/>
      <c r="L2088" s="55"/>
      <c r="M2088" s="55"/>
    </row>
    <row r="2089" spans="3:13" x14ac:dyDescent="0.2">
      <c r="C2089" s="49"/>
      <c r="G2089" s="2"/>
      <c r="H2089" s="2"/>
      <c r="L2089" s="55"/>
      <c r="M2089" s="55"/>
    </row>
    <row r="2090" spans="3:13" x14ac:dyDescent="0.2">
      <c r="C2090" s="49"/>
      <c r="G2090" s="2"/>
      <c r="H2090" s="2"/>
      <c r="L2090" s="55"/>
      <c r="M2090" s="55"/>
    </row>
    <row r="2091" spans="3:13" x14ac:dyDescent="0.2">
      <c r="C2091" s="49"/>
      <c r="G2091" s="2"/>
      <c r="H2091" s="2"/>
      <c r="L2091" s="55"/>
      <c r="M2091" s="55"/>
    </row>
    <row r="2092" spans="3:13" x14ac:dyDescent="0.2">
      <c r="C2092" s="49"/>
      <c r="G2092" s="2"/>
      <c r="H2092" s="2"/>
      <c r="L2092" s="55"/>
      <c r="M2092" s="55"/>
    </row>
    <row r="2093" spans="3:13" x14ac:dyDescent="0.2">
      <c r="C2093" s="49"/>
      <c r="G2093" s="2"/>
      <c r="H2093" s="2"/>
      <c r="L2093" s="55"/>
      <c r="M2093" s="55"/>
    </row>
    <row r="2094" spans="3:13" x14ac:dyDescent="0.2">
      <c r="C2094" s="49"/>
      <c r="G2094" s="2"/>
      <c r="H2094" s="2"/>
      <c r="L2094" s="55"/>
      <c r="M2094" s="55"/>
    </row>
    <row r="2095" spans="3:13" x14ac:dyDescent="0.2">
      <c r="C2095" s="49"/>
      <c r="G2095" s="2"/>
      <c r="H2095" s="2"/>
      <c r="L2095" s="55"/>
      <c r="M2095" s="55"/>
    </row>
    <row r="2096" spans="3:13" x14ac:dyDescent="0.2">
      <c r="C2096" s="49"/>
      <c r="G2096" s="2"/>
      <c r="H2096" s="2"/>
      <c r="L2096" s="55"/>
      <c r="M2096" s="55"/>
    </row>
    <row r="2097" spans="3:13" x14ac:dyDescent="0.2">
      <c r="C2097" s="49"/>
      <c r="G2097" s="2"/>
      <c r="H2097" s="2"/>
      <c r="L2097" s="55"/>
      <c r="M2097" s="55"/>
    </row>
    <row r="2098" spans="3:13" x14ac:dyDescent="0.2">
      <c r="C2098" s="49"/>
      <c r="G2098" s="2"/>
      <c r="H2098" s="2"/>
      <c r="L2098" s="55"/>
      <c r="M2098" s="55"/>
    </row>
    <row r="2099" spans="3:13" x14ac:dyDescent="0.2">
      <c r="C2099" s="49"/>
      <c r="G2099" s="2"/>
      <c r="H2099" s="2"/>
      <c r="L2099" s="55"/>
      <c r="M2099" s="55"/>
    </row>
    <row r="2100" spans="3:13" x14ac:dyDescent="0.2">
      <c r="C2100" s="49"/>
      <c r="G2100" s="2"/>
      <c r="H2100" s="2"/>
      <c r="L2100" s="55"/>
      <c r="M2100" s="55"/>
    </row>
    <row r="2101" spans="3:13" x14ac:dyDescent="0.2">
      <c r="C2101" s="49"/>
      <c r="G2101" s="2"/>
      <c r="H2101" s="2"/>
      <c r="L2101" s="55"/>
      <c r="M2101" s="55"/>
    </row>
    <row r="2102" spans="3:13" x14ac:dyDescent="0.2">
      <c r="C2102" s="49"/>
      <c r="G2102" s="2"/>
      <c r="H2102" s="2"/>
      <c r="L2102" s="55"/>
      <c r="M2102" s="55"/>
    </row>
    <row r="2103" spans="3:13" x14ac:dyDescent="0.2">
      <c r="C2103" s="49"/>
      <c r="G2103" s="2"/>
      <c r="H2103" s="2"/>
      <c r="L2103" s="55"/>
      <c r="M2103" s="55"/>
    </row>
    <row r="2104" spans="3:13" x14ac:dyDescent="0.2">
      <c r="C2104" s="49"/>
      <c r="G2104" s="2"/>
      <c r="H2104" s="2"/>
      <c r="L2104" s="55"/>
      <c r="M2104" s="55"/>
    </row>
    <row r="2105" spans="3:13" x14ac:dyDescent="0.2">
      <c r="C2105" s="49"/>
      <c r="G2105" s="2"/>
      <c r="H2105" s="2"/>
      <c r="L2105" s="55"/>
      <c r="M2105" s="55"/>
    </row>
    <row r="2106" spans="3:13" x14ac:dyDescent="0.2">
      <c r="C2106" s="49"/>
      <c r="G2106" s="2"/>
      <c r="H2106" s="2"/>
      <c r="L2106" s="55"/>
      <c r="M2106" s="55"/>
    </row>
    <row r="2107" spans="3:13" x14ac:dyDescent="0.2">
      <c r="C2107" s="49"/>
      <c r="G2107" s="2"/>
      <c r="H2107" s="2"/>
      <c r="L2107" s="55"/>
      <c r="M2107" s="55"/>
    </row>
    <row r="2108" spans="3:13" x14ac:dyDescent="0.2">
      <c r="C2108" s="49"/>
      <c r="G2108" s="2"/>
      <c r="H2108" s="2"/>
      <c r="L2108" s="55"/>
      <c r="M2108" s="55"/>
    </row>
    <row r="2109" spans="3:13" x14ac:dyDescent="0.2">
      <c r="C2109" s="49"/>
      <c r="G2109" s="2"/>
      <c r="H2109" s="2"/>
      <c r="L2109" s="55"/>
      <c r="M2109" s="55"/>
    </row>
    <row r="2110" spans="3:13" x14ac:dyDescent="0.2">
      <c r="C2110" s="49"/>
      <c r="G2110" s="2"/>
      <c r="H2110" s="2"/>
      <c r="L2110" s="55"/>
      <c r="M2110" s="55"/>
    </row>
    <row r="2111" spans="3:13" x14ac:dyDescent="0.2">
      <c r="C2111" s="49"/>
      <c r="G2111" s="2"/>
      <c r="H2111" s="2"/>
      <c r="L2111" s="55"/>
      <c r="M2111" s="55"/>
    </row>
    <row r="2112" spans="3:13" x14ac:dyDescent="0.2">
      <c r="C2112" s="49"/>
      <c r="G2112" s="2"/>
      <c r="H2112" s="2"/>
      <c r="L2112" s="55"/>
      <c r="M2112" s="55"/>
    </row>
    <row r="2113" spans="3:13" x14ac:dyDescent="0.2">
      <c r="C2113" s="49"/>
      <c r="G2113" s="2"/>
      <c r="H2113" s="2"/>
      <c r="L2113" s="55"/>
      <c r="M2113" s="55"/>
    </row>
    <row r="2114" spans="3:13" x14ac:dyDescent="0.2">
      <c r="C2114" s="49"/>
      <c r="G2114" s="2"/>
      <c r="H2114" s="2"/>
      <c r="L2114" s="55"/>
      <c r="M2114" s="55"/>
    </row>
    <row r="2115" spans="3:13" x14ac:dyDescent="0.2">
      <c r="C2115" s="49"/>
      <c r="G2115" s="2"/>
      <c r="H2115" s="2"/>
      <c r="L2115" s="55"/>
      <c r="M2115" s="55"/>
    </row>
    <row r="2116" spans="3:13" x14ac:dyDescent="0.2">
      <c r="C2116" s="49"/>
      <c r="G2116" s="2"/>
      <c r="H2116" s="2"/>
      <c r="L2116" s="55"/>
      <c r="M2116" s="55"/>
    </row>
    <row r="2117" spans="3:13" x14ac:dyDescent="0.2">
      <c r="C2117" s="49"/>
      <c r="G2117" s="2"/>
      <c r="H2117" s="2"/>
      <c r="L2117" s="55"/>
      <c r="M2117" s="55"/>
    </row>
    <row r="2118" spans="3:13" x14ac:dyDescent="0.2">
      <c r="C2118" s="49"/>
      <c r="G2118" s="2"/>
      <c r="H2118" s="2"/>
      <c r="L2118" s="55"/>
      <c r="M2118" s="55"/>
    </row>
    <row r="2119" spans="3:13" x14ac:dyDescent="0.2">
      <c r="C2119" s="49"/>
      <c r="G2119" s="2"/>
      <c r="H2119" s="2"/>
      <c r="L2119" s="55"/>
      <c r="M2119" s="55"/>
    </row>
    <row r="2120" spans="3:13" x14ac:dyDescent="0.2">
      <c r="C2120" s="49"/>
      <c r="G2120" s="2"/>
      <c r="H2120" s="2"/>
      <c r="L2120" s="55"/>
      <c r="M2120" s="55"/>
    </row>
    <row r="2121" spans="3:13" x14ac:dyDescent="0.2">
      <c r="C2121" s="49"/>
      <c r="G2121" s="2"/>
      <c r="H2121" s="2"/>
      <c r="L2121" s="55"/>
      <c r="M2121" s="55"/>
    </row>
    <row r="2122" spans="3:13" x14ac:dyDescent="0.2">
      <c r="C2122" s="49"/>
      <c r="G2122" s="2"/>
      <c r="H2122" s="2"/>
      <c r="L2122" s="55"/>
      <c r="M2122" s="55"/>
    </row>
    <row r="2123" spans="3:13" x14ac:dyDescent="0.2">
      <c r="C2123" s="49"/>
      <c r="G2123" s="2"/>
      <c r="H2123" s="2"/>
      <c r="L2123" s="55"/>
      <c r="M2123" s="55"/>
    </row>
    <row r="2124" spans="3:13" x14ac:dyDescent="0.2">
      <c r="C2124" s="49"/>
      <c r="G2124" s="2"/>
      <c r="H2124" s="2"/>
      <c r="L2124" s="55"/>
      <c r="M2124" s="55"/>
    </row>
    <row r="2125" spans="3:13" x14ac:dyDescent="0.2">
      <c r="C2125" s="49"/>
      <c r="G2125" s="2"/>
      <c r="H2125" s="2"/>
      <c r="L2125" s="55"/>
      <c r="M2125" s="55"/>
    </row>
    <row r="2126" spans="3:13" x14ac:dyDescent="0.2">
      <c r="C2126" s="49"/>
      <c r="G2126" s="2"/>
      <c r="H2126" s="2"/>
      <c r="L2126" s="55"/>
      <c r="M2126" s="55"/>
    </row>
    <row r="2127" spans="3:13" x14ac:dyDescent="0.2">
      <c r="C2127" s="49"/>
      <c r="G2127" s="2"/>
      <c r="H2127" s="2"/>
      <c r="L2127" s="55"/>
      <c r="M2127" s="55"/>
    </row>
    <row r="2128" spans="3:13" x14ac:dyDescent="0.2">
      <c r="C2128" s="49"/>
      <c r="G2128" s="2"/>
      <c r="H2128" s="2"/>
      <c r="L2128" s="55"/>
      <c r="M2128" s="55"/>
    </row>
    <row r="2129" spans="3:13" x14ac:dyDescent="0.2">
      <c r="C2129" s="49"/>
      <c r="G2129" s="2"/>
      <c r="H2129" s="2"/>
      <c r="L2129" s="55"/>
      <c r="M2129" s="55"/>
    </row>
    <row r="2130" spans="3:13" x14ac:dyDescent="0.2">
      <c r="C2130" s="49"/>
      <c r="G2130" s="2"/>
      <c r="H2130" s="2"/>
      <c r="L2130" s="55"/>
      <c r="M2130" s="55"/>
    </row>
    <row r="2131" spans="3:13" x14ac:dyDescent="0.2">
      <c r="C2131" s="49"/>
      <c r="G2131" s="2"/>
      <c r="H2131" s="2"/>
      <c r="L2131" s="55"/>
      <c r="M2131" s="55"/>
    </row>
    <row r="2132" spans="3:13" x14ac:dyDescent="0.2">
      <c r="C2132" s="49"/>
      <c r="G2132" s="2"/>
      <c r="H2132" s="2"/>
      <c r="L2132" s="55"/>
      <c r="M2132" s="55"/>
    </row>
    <row r="2133" spans="3:13" x14ac:dyDescent="0.2">
      <c r="C2133" s="49"/>
      <c r="G2133" s="2"/>
      <c r="H2133" s="2"/>
      <c r="L2133" s="55"/>
      <c r="M2133" s="55"/>
    </row>
    <row r="2134" spans="3:13" x14ac:dyDescent="0.2">
      <c r="C2134" s="49"/>
      <c r="G2134" s="2"/>
      <c r="H2134" s="2"/>
      <c r="L2134" s="55"/>
      <c r="M2134" s="55"/>
    </row>
    <row r="2135" spans="3:13" x14ac:dyDescent="0.2">
      <c r="C2135" s="49"/>
      <c r="G2135" s="2"/>
      <c r="H2135" s="2"/>
      <c r="L2135" s="55"/>
      <c r="M2135" s="55"/>
    </row>
    <row r="2136" spans="3:13" x14ac:dyDescent="0.2">
      <c r="C2136" s="49"/>
      <c r="G2136" s="2"/>
      <c r="H2136" s="2"/>
      <c r="L2136" s="55"/>
      <c r="M2136" s="55"/>
    </row>
    <row r="2137" spans="3:13" x14ac:dyDescent="0.2">
      <c r="C2137" s="49"/>
      <c r="G2137" s="2"/>
      <c r="H2137" s="2"/>
      <c r="L2137" s="55"/>
      <c r="M2137" s="55"/>
    </row>
    <row r="2138" spans="3:13" x14ac:dyDescent="0.2">
      <c r="C2138" s="49"/>
      <c r="G2138" s="2"/>
      <c r="H2138" s="2"/>
      <c r="L2138" s="55"/>
      <c r="M2138" s="55"/>
    </row>
    <row r="2139" spans="3:13" x14ac:dyDescent="0.2">
      <c r="C2139" s="49"/>
      <c r="G2139" s="2"/>
      <c r="H2139" s="2"/>
      <c r="L2139" s="55"/>
      <c r="M2139" s="55"/>
    </row>
    <row r="2140" spans="3:13" x14ac:dyDescent="0.2">
      <c r="C2140" s="49"/>
      <c r="G2140" s="2"/>
      <c r="H2140" s="2"/>
      <c r="L2140" s="55"/>
      <c r="M2140" s="55"/>
    </row>
    <row r="2141" spans="3:13" x14ac:dyDescent="0.2">
      <c r="C2141" s="49"/>
      <c r="G2141" s="2"/>
      <c r="H2141" s="2"/>
      <c r="L2141" s="55"/>
      <c r="M2141" s="55"/>
    </row>
    <row r="2142" spans="3:13" x14ac:dyDescent="0.2">
      <c r="C2142" s="49"/>
      <c r="G2142" s="2"/>
      <c r="H2142" s="2"/>
      <c r="L2142" s="55"/>
      <c r="M2142" s="55"/>
    </row>
    <row r="2143" spans="3:13" x14ac:dyDescent="0.2">
      <c r="C2143" s="49"/>
      <c r="G2143" s="2"/>
      <c r="H2143" s="2"/>
      <c r="L2143" s="55"/>
      <c r="M2143" s="55"/>
    </row>
    <row r="2144" spans="3:13" x14ac:dyDescent="0.2">
      <c r="C2144" s="49"/>
      <c r="G2144" s="2"/>
      <c r="H2144" s="2"/>
      <c r="L2144" s="55"/>
      <c r="M2144" s="55"/>
    </row>
    <row r="2145" spans="3:13" x14ac:dyDescent="0.2">
      <c r="C2145" s="49"/>
      <c r="G2145" s="2"/>
      <c r="H2145" s="2"/>
      <c r="L2145" s="55"/>
      <c r="M2145" s="55"/>
    </row>
    <row r="2146" spans="3:13" x14ac:dyDescent="0.2">
      <c r="C2146" s="49"/>
      <c r="G2146" s="2"/>
      <c r="H2146" s="2"/>
      <c r="L2146" s="55"/>
      <c r="M2146" s="55"/>
    </row>
    <row r="2147" spans="3:13" x14ac:dyDescent="0.2">
      <c r="C2147" s="49"/>
      <c r="G2147" s="2"/>
      <c r="H2147" s="2"/>
      <c r="L2147" s="55"/>
      <c r="M2147" s="55"/>
    </row>
    <row r="2148" spans="3:13" x14ac:dyDescent="0.2">
      <c r="C2148" s="49"/>
      <c r="G2148" s="2"/>
      <c r="H2148" s="2"/>
      <c r="L2148" s="55"/>
      <c r="M2148" s="55"/>
    </row>
    <row r="2149" spans="3:13" x14ac:dyDescent="0.2">
      <c r="C2149" s="49"/>
      <c r="G2149" s="2"/>
      <c r="H2149" s="2"/>
      <c r="L2149" s="55"/>
      <c r="M2149" s="55"/>
    </row>
    <row r="2150" spans="3:13" x14ac:dyDescent="0.2">
      <c r="C2150" s="49"/>
      <c r="G2150" s="2"/>
      <c r="H2150" s="2"/>
      <c r="L2150" s="55"/>
      <c r="M2150" s="55"/>
    </row>
    <row r="2151" spans="3:13" x14ac:dyDescent="0.2">
      <c r="C2151" s="49"/>
      <c r="G2151" s="2"/>
      <c r="H2151" s="2"/>
      <c r="L2151" s="55"/>
      <c r="M2151" s="55"/>
    </row>
    <row r="2152" spans="3:13" x14ac:dyDescent="0.2">
      <c r="C2152" s="49"/>
      <c r="G2152" s="2"/>
      <c r="H2152" s="2"/>
      <c r="L2152" s="55"/>
      <c r="M2152" s="55"/>
    </row>
    <row r="2153" spans="3:13" x14ac:dyDescent="0.2">
      <c r="C2153" s="49"/>
      <c r="G2153" s="2"/>
      <c r="H2153" s="2"/>
      <c r="L2153" s="55"/>
      <c r="M2153" s="55"/>
    </row>
    <row r="2154" spans="3:13" x14ac:dyDescent="0.2">
      <c r="C2154" s="49"/>
      <c r="G2154" s="2"/>
      <c r="H2154" s="2"/>
      <c r="L2154" s="55"/>
      <c r="M2154" s="55"/>
    </row>
    <row r="2155" spans="3:13" x14ac:dyDescent="0.2">
      <c r="C2155" s="49"/>
      <c r="G2155" s="2"/>
      <c r="H2155" s="2"/>
      <c r="L2155" s="55"/>
      <c r="M2155" s="55"/>
    </row>
    <row r="2156" spans="3:13" x14ac:dyDescent="0.2">
      <c r="C2156" s="49"/>
      <c r="G2156" s="2"/>
      <c r="H2156" s="2"/>
      <c r="L2156" s="55"/>
      <c r="M2156" s="55"/>
    </row>
    <row r="2157" spans="3:13" x14ac:dyDescent="0.2">
      <c r="C2157" s="49"/>
      <c r="G2157" s="2"/>
      <c r="H2157" s="2"/>
      <c r="L2157" s="55"/>
      <c r="M2157" s="55"/>
    </row>
    <row r="2158" spans="3:13" x14ac:dyDescent="0.2">
      <c r="C2158" s="49"/>
      <c r="G2158" s="2"/>
      <c r="H2158" s="2"/>
      <c r="L2158" s="55"/>
      <c r="M2158" s="55"/>
    </row>
    <row r="2159" spans="3:13" x14ac:dyDescent="0.2">
      <c r="C2159" s="49"/>
      <c r="G2159" s="2"/>
      <c r="H2159" s="2"/>
      <c r="L2159" s="55"/>
      <c r="M2159" s="55"/>
    </row>
    <row r="2160" spans="3:13" x14ac:dyDescent="0.2">
      <c r="C2160" s="49"/>
      <c r="G2160" s="2"/>
      <c r="H2160" s="2"/>
      <c r="L2160" s="55"/>
      <c r="M2160" s="55"/>
    </row>
    <row r="2161" spans="3:13" x14ac:dyDescent="0.2">
      <c r="C2161" s="49"/>
      <c r="G2161" s="2"/>
      <c r="H2161" s="2"/>
      <c r="L2161" s="55"/>
      <c r="M2161" s="55"/>
    </row>
    <row r="2162" spans="3:13" x14ac:dyDescent="0.2">
      <c r="C2162" s="49"/>
      <c r="G2162" s="2"/>
      <c r="H2162" s="2"/>
      <c r="L2162" s="55"/>
      <c r="M2162" s="55"/>
    </row>
    <row r="2163" spans="3:13" x14ac:dyDescent="0.2">
      <c r="C2163" s="49"/>
      <c r="G2163" s="2"/>
      <c r="H2163" s="2"/>
      <c r="L2163" s="55"/>
      <c r="M2163" s="55"/>
    </row>
    <row r="2164" spans="3:13" x14ac:dyDescent="0.2">
      <c r="C2164" s="49"/>
      <c r="G2164" s="2"/>
      <c r="H2164" s="2"/>
      <c r="L2164" s="55"/>
      <c r="M2164" s="55"/>
    </row>
    <row r="2165" spans="3:13" x14ac:dyDescent="0.2">
      <c r="C2165" s="49"/>
      <c r="G2165" s="2"/>
      <c r="H2165" s="2"/>
      <c r="L2165" s="55"/>
      <c r="M2165" s="55"/>
    </row>
    <row r="2166" spans="3:13" x14ac:dyDescent="0.2">
      <c r="C2166" s="49"/>
      <c r="G2166" s="2"/>
      <c r="H2166" s="2"/>
      <c r="L2166" s="55"/>
      <c r="M2166" s="55"/>
    </row>
    <row r="2167" spans="3:13" x14ac:dyDescent="0.2">
      <c r="C2167" s="49"/>
      <c r="G2167" s="2"/>
      <c r="H2167" s="2"/>
      <c r="L2167" s="55"/>
      <c r="M2167" s="55"/>
    </row>
    <row r="2168" spans="3:13" x14ac:dyDescent="0.2">
      <c r="C2168" s="49"/>
      <c r="G2168" s="2"/>
      <c r="H2168" s="2"/>
      <c r="L2168" s="55"/>
      <c r="M2168" s="55"/>
    </row>
    <row r="2169" spans="3:13" x14ac:dyDescent="0.2">
      <c r="C2169" s="49"/>
      <c r="G2169" s="2"/>
      <c r="H2169" s="2"/>
      <c r="L2169" s="55"/>
      <c r="M2169" s="55"/>
    </row>
    <row r="2170" spans="3:13" x14ac:dyDescent="0.2">
      <c r="C2170" s="49"/>
      <c r="G2170" s="2"/>
      <c r="H2170" s="2"/>
      <c r="L2170" s="55"/>
      <c r="M2170" s="55"/>
    </row>
    <row r="2171" spans="3:13" x14ac:dyDescent="0.2">
      <c r="C2171" s="49"/>
      <c r="G2171" s="2"/>
      <c r="H2171" s="2"/>
      <c r="L2171" s="55"/>
      <c r="M2171" s="55"/>
    </row>
    <row r="2172" spans="3:13" x14ac:dyDescent="0.2">
      <c r="C2172" s="49"/>
      <c r="G2172" s="2"/>
      <c r="H2172" s="2"/>
      <c r="L2172" s="55"/>
      <c r="M2172" s="55"/>
    </row>
    <row r="2173" spans="3:13" x14ac:dyDescent="0.2">
      <c r="C2173" s="49"/>
      <c r="G2173" s="2"/>
      <c r="H2173" s="2"/>
      <c r="L2173" s="55"/>
      <c r="M2173" s="55"/>
    </row>
    <row r="2174" spans="3:13" x14ac:dyDescent="0.2">
      <c r="C2174" s="49"/>
      <c r="G2174" s="2"/>
      <c r="H2174" s="2"/>
      <c r="L2174" s="55"/>
      <c r="M2174" s="55"/>
    </row>
    <row r="2175" spans="3:13" x14ac:dyDescent="0.2">
      <c r="C2175" s="49"/>
      <c r="G2175" s="2"/>
      <c r="H2175" s="2"/>
      <c r="L2175" s="55"/>
      <c r="M2175" s="55"/>
    </row>
    <row r="2176" spans="3:13" x14ac:dyDescent="0.2">
      <c r="C2176" s="49"/>
      <c r="G2176" s="2"/>
      <c r="H2176" s="2"/>
      <c r="L2176" s="55"/>
      <c r="M2176" s="55"/>
    </row>
    <row r="2177" spans="3:13" x14ac:dyDescent="0.2">
      <c r="C2177" s="49"/>
      <c r="G2177" s="2"/>
      <c r="H2177" s="2"/>
      <c r="L2177" s="55"/>
      <c r="M2177" s="55"/>
    </row>
    <row r="2178" spans="3:13" x14ac:dyDescent="0.2">
      <c r="C2178" s="49"/>
      <c r="G2178" s="2"/>
      <c r="H2178" s="2"/>
      <c r="L2178" s="55"/>
      <c r="M2178" s="55"/>
    </row>
    <row r="2179" spans="3:13" x14ac:dyDescent="0.2">
      <c r="C2179" s="49"/>
      <c r="G2179" s="2"/>
      <c r="H2179" s="2"/>
      <c r="L2179" s="55"/>
      <c r="M2179" s="55"/>
    </row>
    <row r="2180" spans="3:13" x14ac:dyDescent="0.2">
      <c r="C2180" s="49"/>
      <c r="G2180" s="2"/>
      <c r="H2180" s="2"/>
      <c r="L2180" s="55"/>
      <c r="M2180" s="55"/>
    </row>
    <row r="2181" spans="3:13" x14ac:dyDescent="0.2">
      <c r="C2181" s="49"/>
      <c r="G2181" s="2"/>
      <c r="H2181" s="2"/>
      <c r="L2181" s="55"/>
      <c r="M2181" s="55"/>
    </row>
    <row r="2182" spans="3:13" x14ac:dyDescent="0.2">
      <c r="C2182" s="49"/>
      <c r="G2182" s="2"/>
      <c r="H2182" s="2"/>
      <c r="L2182" s="55"/>
      <c r="M2182" s="55"/>
    </row>
    <row r="2183" spans="3:13" x14ac:dyDescent="0.2">
      <c r="C2183" s="49"/>
      <c r="G2183" s="2"/>
      <c r="H2183" s="2"/>
      <c r="L2183" s="55"/>
      <c r="M2183" s="55"/>
    </row>
    <row r="2184" spans="3:13" x14ac:dyDescent="0.2">
      <c r="C2184" s="49"/>
      <c r="G2184" s="2"/>
      <c r="H2184" s="2"/>
      <c r="L2184" s="55"/>
      <c r="M2184" s="55"/>
    </row>
    <row r="2185" spans="3:13" x14ac:dyDescent="0.2">
      <c r="C2185" s="49"/>
      <c r="G2185" s="2"/>
      <c r="H2185" s="2"/>
      <c r="L2185" s="55"/>
      <c r="M2185" s="55"/>
    </row>
    <row r="2186" spans="3:13" x14ac:dyDescent="0.2">
      <c r="C2186" s="49"/>
      <c r="G2186" s="2"/>
      <c r="H2186" s="2"/>
      <c r="L2186" s="55"/>
      <c r="M2186" s="55"/>
    </row>
    <row r="2187" spans="3:13" x14ac:dyDescent="0.2">
      <c r="C2187" s="49"/>
      <c r="G2187" s="2"/>
      <c r="H2187" s="2"/>
      <c r="L2187" s="55"/>
      <c r="M2187" s="55"/>
    </row>
    <row r="2188" spans="3:13" x14ac:dyDescent="0.2">
      <c r="C2188" s="49"/>
      <c r="G2188" s="2"/>
      <c r="H2188" s="2"/>
      <c r="L2188" s="55"/>
      <c r="M2188" s="55"/>
    </row>
    <row r="2189" spans="3:13" x14ac:dyDescent="0.2">
      <c r="C2189" s="49"/>
      <c r="G2189" s="2"/>
      <c r="H2189" s="2"/>
      <c r="L2189" s="55"/>
      <c r="M2189" s="55"/>
    </row>
    <row r="2190" spans="3:13" x14ac:dyDescent="0.2">
      <c r="C2190" s="49"/>
      <c r="G2190" s="2"/>
      <c r="H2190" s="2"/>
      <c r="L2190" s="55"/>
      <c r="M2190" s="55"/>
    </row>
    <row r="2191" spans="3:13" x14ac:dyDescent="0.2">
      <c r="C2191" s="49"/>
      <c r="G2191" s="2"/>
      <c r="H2191" s="2"/>
      <c r="L2191" s="55"/>
      <c r="M2191" s="55"/>
    </row>
    <row r="2192" spans="3:13" x14ac:dyDescent="0.2">
      <c r="C2192" s="49"/>
      <c r="G2192" s="2"/>
      <c r="H2192" s="2"/>
      <c r="L2192" s="55"/>
      <c r="M2192" s="55"/>
    </row>
    <row r="2193" spans="3:13" x14ac:dyDescent="0.2">
      <c r="C2193" s="49"/>
      <c r="G2193" s="2"/>
      <c r="H2193" s="2"/>
      <c r="L2193" s="55"/>
      <c r="M2193" s="55"/>
    </row>
    <row r="2194" spans="3:13" x14ac:dyDescent="0.2">
      <c r="C2194" s="49"/>
      <c r="G2194" s="2"/>
      <c r="H2194" s="2"/>
      <c r="L2194" s="55"/>
      <c r="M2194" s="55"/>
    </row>
    <row r="2195" spans="3:13" x14ac:dyDescent="0.2">
      <c r="C2195" s="49"/>
      <c r="G2195" s="2"/>
      <c r="H2195" s="2"/>
      <c r="L2195" s="55"/>
      <c r="M2195" s="55"/>
    </row>
    <row r="2196" spans="3:13" x14ac:dyDescent="0.2">
      <c r="C2196" s="49"/>
      <c r="G2196" s="2"/>
      <c r="H2196" s="2"/>
      <c r="L2196" s="55"/>
      <c r="M2196" s="55"/>
    </row>
    <row r="2197" spans="3:13" x14ac:dyDescent="0.2">
      <c r="C2197" s="49"/>
      <c r="G2197" s="2"/>
      <c r="H2197" s="2"/>
      <c r="L2197" s="55"/>
      <c r="M2197" s="55"/>
    </row>
    <row r="2198" spans="3:13" x14ac:dyDescent="0.2">
      <c r="C2198" s="49"/>
      <c r="G2198" s="2"/>
      <c r="H2198" s="2"/>
      <c r="L2198" s="55"/>
      <c r="M2198" s="55"/>
    </row>
    <row r="2199" spans="3:13" x14ac:dyDescent="0.2">
      <c r="C2199" s="49"/>
      <c r="G2199" s="2"/>
      <c r="H2199" s="2"/>
      <c r="L2199" s="55"/>
      <c r="M2199" s="55"/>
    </row>
    <row r="2200" spans="3:13" x14ac:dyDescent="0.2">
      <c r="C2200" s="49"/>
      <c r="G2200" s="2"/>
      <c r="H2200" s="2"/>
      <c r="L2200" s="55"/>
      <c r="M2200" s="55"/>
    </row>
    <row r="2201" spans="3:13" x14ac:dyDescent="0.2">
      <c r="C2201" s="49"/>
      <c r="G2201" s="2"/>
      <c r="H2201" s="2"/>
      <c r="L2201" s="55"/>
      <c r="M2201" s="55"/>
    </row>
    <row r="2202" spans="3:13" x14ac:dyDescent="0.2">
      <c r="C2202" s="49"/>
      <c r="G2202" s="2"/>
      <c r="H2202" s="2"/>
      <c r="L2202" s="55"/>
      <c r="M2202" s="55"/>
    </row>
    <row r="2203" spans="3:13" x14ac:dyDescent="0.2">
      <c r="C2203" s="49"/>
      <c r="G2203" s="2"/>
      <c r="H2203" s="2"/>
      <c r="L2203" s="55"/>
      <c r="M2203" s="55"/>
    </row>
    <row r="2204" spans="3:13" x14ac:dyDescent="0.2">
      <c r="C2204" s="49"/>
      <c r="G2204" s="2"/>
      <c r="H2204" s="2"/>
      <c r="L2204" s="55"/>
      <c r="M2204" s="55"/>
    </row>
    <row r="2205" spans="3:13" x14ac:dyDescent="0.2">
      <c r="C2205" s="49"/>
      <c r="G2205" s="2"/>
      <c r="H2205" s="2"/>
      <c r="L2205" s="55"/>
      <c r="M2205" s="55"/>
    </row>
    <row r="2206" spans="3:13" x14ac:dyDescent="0.2">
      <c r="C2206" s="49"/>
      <c r="G2206" s="2"/>
      <c r="H2206" s="2"/>
      <c r="L2206" s="55"/>
      <c r="M2206" s="55"/>
    </row>
    <row r="2207" spans="3:13" x14ac:dyDescent="0.2">
      <c r="C2207" s="49"/>
      <c r="G2207" s="2"/>
      <c r="H2207" s="2"/>
      <c r="L2207" s="55"/>
      <c r="M2207" s="55"/>
    </row>
    <row r="2208" spans="3:13" x14ac:dyDescent="0.2">
      <c r="C2208" s="49"/>
      <c r="G2208" s="2"/>
      <c r="H2208" s="2"/>
      <c r="L2208" s="55"/>
      <c r="M2208" s="55"/>
    </row>
    <row r="2209" spans="3:13" x14ac:dyDescent="0.2">
      <c r="C2209" s="49"/>
      <c r="G2209" s="2"/>
      <c r="H2209" s="2"/>
      <c r="L2209" s="55"/>
      <c r="M2209" s="55"/>
    </row>
    <row r="2210" spans="3:13" x14ac:dyDescent="0.2">
      <c r="C2210" s="49"/>
      <c r="G2210" s="2"/>
      <c r="H2210" s="2"/>
      <c r="L2210" s="55"/>
      <c r="M2210" s="55"/>
    </row>
    <row r="2211" spans="3:13" x14ac:dyDescent="0.2">
      <c r="C2211" s="49"/>
      <c r="G2211" s="2"/>
      <c r="H2211" s="2"/>
      <c r="L2211" s="55"/>
      <c r="M2211" s="55"/>
    </row>
    <row r="2212" spans="3:13" x14ac:dyDescent="0.2">
      <c r="C2212" s="49"/>
      <c r="G2212" s="2"/>
      <c r="H2212" s="2"/>
      <c r="L2212" s="55"/>
      <c r="M2212" s="55"/>
    </row>
    <row r="2213" spans="3:13" x14ac:dyDescent="0.2">
      <c r="C2213" s="49"/>
      <c r="G2213" s="2"/>
      <c r="H2213" s="2"/>
      <c r="L2213" s="55"/>
      <c r="M2213" s="55"/>
    </row>
    <row r="2214" spans="3:13" x14ac:dyDescent="0.2">
      <c r="C2214" s="49"/>
      <c r="G2214" s="2"/>
      <c r="H2214" s="2"/>
      <c r="L2214" s="55"/>
      <c r="M2214" s="55"/>
    </row>
    <row r="2215" spans="3:13" x14ac:dyDescent="0.2">
      <c r="C2215" s="49"/>
      <c r="G2215" s="2"/>
      <c r="H2215" s="2"/>
      <c r="L2215" s="55"/>
      <c r="M2215" s="55"/>
    </row>
    <row r="2216" spans="3:13" x14ac:dyDescent="0.2">
      <c r="C2216" s="49"/>
      <c r="G2216" s="2"/>
      <c r="H2216" s="2"/>
      <c r="L2216" s="55"/>
      <c r="M2216" s="55"/>
    </row>
    <row r="2217" spans="3:13" x14ac:dyDescent="0.2">
      <c r="C2217" s="49"/>
      <c r="G2217" s="2"/>
      <c r="H2217" s="2"/>
      <c r="L2217" s="55"/>
      <c r="M2217" s="55"/>
    </row>
    <row r="2218" spans="3:13" x14ac:dyDescent="0.2">
      <c r="C2218" s="49"/>
      <c r="G2218" s="2"/>
      <c r="H2218" s="2"/>
      <c r="L2218" s="55"/>
      <c r="M2218" s="55"/>
    </row>
    <row r="2219" spans="3:13" x14ac:dyDescent="0.2">
      <c r="C2219" s="49"/>
      <c r="G2219" s="2"/>
      <c r="H2219" s="2"/>
      <c r="L2219" s="55"/>
      <c r="M2219" s="55"/>
    </row>
    <row r="2220" spans="3:13" x14ac:dyDescent="0.2">
      <c r="C2220" s="49"/>
      <c r="G2220" s="2"/>
      <c r="H2220" s="2"/>
      <c r="L2220" s="55"/>
      <c r="M2220" s="55"/>
    </row>
    <row r="2221" spans="3:13" x14ac:dyDescent="0.2">
      <c r="C2221" s="49"/>
      <c r="G2221" s="2"/>
      <c r="H2221" s="2"/>
      <c r="L2221" s="55"/>
      <c r="M2221" s="55"/>
    </row>
    <row r="2222" spans="3:13" x14ac:dyDescent="0.2">
      <c r="C2222" s="49"/>
      <c r="G2222" s="2"/>
      <c r="H2222" s="2"/>
      <c r="L2222" s="55"/>
      <c r="M2222" s="55"/>
    </row>
    <row r="2223" spans="3:13" x14ac:dyDescent="0.2">
      <c r="C2223" s="49"/>
      <c r="G2223" s="2"/>
      <c r="H2223" s="2"/>
      <c r="L2223" s="55"/>
      <c r="M2223" s="55"/>
    </row>
    <row r="2224" spans="3:13" x14ac:dyDescent="0.2">
      <c r="C2224" s="49"/>
      <c r="G2224" s="2"/>
      <c r="H2224" s="2"/>
      <c r="L2224" s="55"/>
      <c r="M2224" s="55"/>
    </row>
    <row r="2225" spans="3:13" x14ac:dyDescent="0.2">
      <c r="C2225" s="49"/>
      <c r="G2225" s="2"/>
      <c r="H2225" s="2"/>
      <c r="L2225" s="55"/>
      <c r="M2225" s="55"/>
    </row>
    <row r="2226" spans="3:13" x14ac:dyDescent="0.2">
      <c r="C2226" s="49"/>
      <c r="G2226" s="2"/>
      <c r="H2226" s="2"/>
      <c r="L2226" s="55"/>
      <c r="M2226" s="55"/>
    </row>
    <row r="2227" spans="3:13" x14ac:dyDescent="0.2">
      <c r="C2227" s="49"/>
      <c r="G2227" s="2"/>
      <c r="H2227" s="2"/>
      <c r="L2227" s="55"/>
      <c r="M2227" s="55"/>
    </row>
    <row r="2228" spans="3:13" x14ac:dyDescent="0.2">
      <c r="C2228" s="49"/>
      <c r="G2228" s="2"/>
      <c r="H2228" s="2"/>
      <c r="L2228" s="55"/>
      <c r="M2228" s="55"/>
    </row>
    <row r="2229" spans="3:13" x14ac:dyDescent="0.2">
      <c r="C2229" s="49"/>
      <c r="G2229" s="2"/>
      <c r="H2229" s="2"/>
      <c r="L2229" s="55"/>
      <c r="M2229" s="55"/>
    </row>
    <row r="2230" spans="3:13" x14ac:dyDescent="0.2">
      <c r="C2230" s="49"/>
      <c r="G2230" s="2"/>
      <c r="H2230" s="2"/>
      <c r="L2230" s="55"/>
      <c r="M2230" s="55"/>
    </row>
    <row r="2231" spans="3:13" x14ac:dyDescent="0.2">
      <c r="C2231" s="49"/>
      <c r="G2231" s="2"/>
      <c r="H2231" s="2"/>
      <c r="L2231" s="55"/>
      <c r="M2231" s="55"/>
    </row>
    <row r="2232" spans="3:13" x14ac:dyDescent="0.2">
      <c r="C2232" s="49"/>
      <c r="G2232" s="2"/>
      <c r="H2232" s="2"/>
      <c r="L2232" s="55"/>
      <c r="M2232" s="55"/>
    </row>
    <row r="2233" spans="3:13" x14ac:dyDescent="0.2">
      <c r="C2233" s="49"/>
      <c r="G2233" s="2"/>
      <c r="H2233" s="2"/>
      <c r="L2233" s="55"/>
      <c r="M2233" s="55"/>
    </row>
    <row r="2234" spans="3:13" x14ac:dyDescent="0.2">
      <c r="C2234" s="49"/>
      <c r="G2234" s="2"/>
      <c r="H2234" s="2"/>
      <c r="L2234" s="55"/>
      <c r="M2234" s="55"/>
    </row>
    <row r="2235" spans="3:13" x14ac:dyDescent="0.2">
      <c r="C2235" s="49"/>
      <c r="G2235" s="2"/>
      <c r="H2235" s="2"/>
      <c r="L2235" s="55"/>
      <c r="M2235" s="55"/>
    </row>
    <row r="2236" spans="3:13" x14ac:dyDescent="0.2">
      <c r="C2236" s="49"/>
      <c r="G2236" s="2"/>
      <c r="H2236" s="2"/>
      <c r="L2236" s="55"/>
      <c r="M2236" s="55"/>
    </row>
    <row r="2237" spans="3:13" x14ac:dyDescent="0.2">
      <c r="C2237" s="49"/>
      <c r="G2237" s="2"/>
      <c r="H2237" s="2"/>
      <c r="L2237" s="55"/>
      <c r="M2237" s="55"/>
    </row>
    <row r="2238" spans="3:13" x14ac:dyDescent="0.2">
      <c r="C2238" s="49"/>
      <c r="G2238" s="2"/>
      <c r="H2238" s="2"/>
      <c r="L2238" s="55"/>
      <c r="M2238" s="55"/>
    </row>
    <row r="2239" spans="3:13" x14ac:dyDescent="0.2">
      <c r="C2239" s="49"/>
      <c r="G2239" s="2"/>
      <c r="H2239" s="2"/>
      <c r="L2239" s="55"/>
      <c r="M2239" s="55"/>
    </row>
    <row r="2240" spans="3:13" x14ac:dyDescent="0.2">
      <c r="C2240" s="49"/>
      <c r="G2240" s="2"/>
      <c r="H2240" s="2"/>
      <c r="L2240" s="55"/>
      <c r="M2240" s="55"/>
    </row>
    <row r="2241" spans="3:13" x14ac:dyDescent="0.2">
      <c r="C2241" s="49"/>
      <c r="G2241" s="2"/>
      <c r="H2241" s="2"/>
      <c r="L2241" s="55"/>
      <c r="M2241" s="55"/>
    </row>
    <row r="2242" spans="3:13" x14ac:dyDescent="0.2">
      <c r="C2242" s="49"/>
      <c r="G2242" s="2"/>
      <c r="H2242" s="2"/>
      <c r="L2242" s="55"/>
      <c r="M2242" s="55"/>
    </row>
    <row r="2243" spans="3:13" x14ac:dyDescent="0.2">
      <c r="C2243" s="49"/>
      <c r="G2243" s="2"/>
      <c r="H2243" s="2"/>
      <c r="L2243" s="55"/>
      <c r="M2243" s="55"/>
    </row>
    <row r="2244" spans="3:13" x14ac:dyDescent="0.2">
      <c r="C2244" s="49"/>
      <c r="G2244" s="2"/>
      <c r="H2244" s="2"/>
      <c r="L2244" s="55"/>
      <c r="M2244" s="55"/>
    </row>
    <row r="2245" spans="3:13" x14ac:dyDescent="0.2">
      <c r="C2245" s="49"/>
      <c r="G2245" s="2"/>
      <c r="H2245" s="2"/>
      <c r="L2245" s="55"/>
      <c r="M2245" s="55"/>
    </row>
    <row r="2246" spans="3:13" x14ac:dyDescent="0.2">
      <c r="C2246" s="49"/>
      <c r="G2246" s="2"/>
      <c r="H2246" s="2"/>
      <c r="L2246" s="55"/>
      <c r="M2246" s="55"/>
    </row>
    <row r="2247" spans="3:13" x14ac:dyDescent="0.2">
      <c r="C2247" s="49"/>
      <c r="G2247" s="2"/>
      <c r="H2247" s="2"/>
      <c r="L2247" s="55"/>
      <c r="M2247" s="55"/>
    </row>
    <row r="2248" spans="3:13" x14ac:dyDescent="0.2">
      <c r="C2248" s="49"/>
      <c r="G2248" s="2"/>
      <c r="H2248" s="2"/>
      <c r="L2248" s="55"/>
      <c r="M2248" s="55"/>
    </row>
    <row r="2249" spans="3:13" x14ac:dyDescent="0.2">
      <c r="C2249" s="49"/>
      <c r="G2249" s="2"/>
      <c r="H2249" s="2"/>
      <c r="L2249" s="55"/>
      <c r="M2249" s="55"/>
    </row>
    <row r="2250" spans="3:13" x14ac:dyDescent="0.2">
      <c r="C2250" s="49"/>
      <c r="G2250" s="2"/>
      <c r="H2250" s="2"/>
      <c r="L2250" s="55"/>
      <c r="M2250" s="55"/>
    </row>
    <row r="2251" spans="3:13" x14ac:dyDescent="0.2">
      <c r="C2251" s="49"/>
      <c r="G2251" s="2"/>
      <c r="H2251" s="2"/>
      <c r="L2251" s="55"/>
      <c r="M2251" s="55"/>
    </row>
    <row r="2252" spans="3:13" x14ac:dyDescent="0.2">
      <c r="C2252" s="49"/>
      <c r="G2252" s="2"/>
      <c r="H2252" s="2"/>
      <c r="L2252" s="55"/>
      <c r="M2252" s="55"/>
    </row>
    <row r="2253" spans="3:13" x14ac:dyDescent="0.2">
      <c r="C2253" s="49"/>
      <c r="G2253" s="2"/>
      <c r="H2253" s="2"/>
      <c r="L2253" s="55"/>
      <c r="M2253" s="55"/>
    </row>
    <row r="2254" spans="3:13" x14ac:dyDescent="0.2">
      <c r="C2254" s="49"/>
      <c r="G2254" s="2"/>
      <c r="H2254" s="2"/>
      <c r="L2254" s="55"/>
      <c r="M2254" s="55"/>
    </row>
    <row r="2255" spans="3:13" x14ac:dyDescent="0.2">
      <c r="C2255" s="49"/>
      <c r="G2255" s="2"/>
      <c r="H2255" s="2"/>
      <c r="L2255" s="55"/>
      <c r="M2255" s="55"/>
    </row>
    <row r="2256" spans="3:13" x14ac:dyDescent="0.2">
      <c r="C2256" s="49"/>
      <c r="G2256" s="2"/>
      <c r="H2256" s="2"/>
      <c r="L2256" s="55"/>
      <c r="M2256" s="55"/>
    </row>
    <row r="2257" spans="3:13" x14ac:dyDescent="0.2">
      <c r="C2257" s="49"/>
      <c r="G2257" s="2"/>
      <c r="H2257" s="2"/>
      <c r="L2257" s="55"/>
      <c r="M2257" s="55"/>
    </row>
    <row r="2258" spans="3:13" x14ac:dyDescent="0.2">
      <c r="C2258" s="49"/>
      <c r="G2258" s="2"/>
      <c r="H2258" s="2"/>
      <c r="L2258" s="55"/>
      <c r="M2258" s="55"/>
    </row>
    <row r="2259" spans="3:13" x14ac:dyDescent="0.2">
      <c r="C2259" s="49"/>
      <c r="G2259" s="2"/>
      <c r="H2259" s="2"/>
      <c r="L2259" s="55"/>
      <c r="M2259" s="55"/>
    </row>
    <row r="2260" spans="3:13" x14ac:dyDescent="0.2">
      <c r="C2260" s="49"/>
      <c r="G2260" s="2"/>
      <c r="H2260" s="2"/>
      <c r="L2260" s="55"/>
      <c r="M2260" s="55"/>
    </row>
    <row r="2261" spans="3:13" x14ac:dyDescent="0.2">
      <c r="C2261" s="49"/>
      <c r="G2261" s="2"/>
      <c r="H2261" s="2"/>
      <c r="L2261" s="55"/>
      <c r="M2261" s="55"/>
    </row>
    <row r="2262" spans="3:13" x14ac:dyDescent="0.2">
      <c r="C2262" s="49"/>
      <c r="G2262" s="2"/>
      <c r="H2262" s="2"/>
      <c r="L2262" s="55"/>
      <c r="M2262" s="55"/>
    </row>
    <row r="2263" spans="3:13" x14ac:dyDescent="0.2">
      <c r="C2263" s="49"/>
      <c r="G2263" s="2"/>
      <c r="H2263" s="2"/>
      <c r="L2263" s="55"/>
      <c r="M2263" s="55"/>
    </row>
    <row r="2264" spans="3:13" x14ac:dyDescent="0.2">
      <c r="C2264" s="49"/>
      <c r="G2264" s="2"/>
      <c r="H2264" s="2"/>
      <c r="L2264" s="55"/>
      <c r="M2264" s="55"/>
    </row>
    <row r="2265" spans="3:13" x14ac:dyDescent="0.2">
      <c r="C2265" s="49"/>
      <c r="G2265" s="2"/>
      <c r="H2265" s="2"/>
      <c r="L2265" s="55"/>
      <c r="M2265" s="55"/>
    </row>
    <row r="2266" spans="3:13" x14ac:dyDescent="0.2">
      <c r="C2266" s="49"/>
      <c r="G2266" s="2"/>
      <c r="H2266" s="2"/>
      <c r="L2266" s="55"/>
      <c r="M2266" s="55"/>
    </row>
    <row r="2267" spans="3:13" x14ac:dyDescent="0.2">
      <c r="C2267" s="49"/>
      <c r="G2267" s="2"/>
      <c r="H2267" s="2"/>
      <c r="L2267" s="55"/>
      <c r="M2267" s="55"/>
    </row>
    <row r="2268" spans="3:13" x14ac:dyDescent="0.2">
      <c r="C2268" s="49"/>
      <c r="G2268" s="2"/>
      <c r="H2268" s="2"/>
      <c r="L2268" s="55"/>
      <c r="M2268" s="55"/>
    </row>
    <row r="2269" spans="3:13" x14ac:dyDescent="0.2">
      <c r="C2269" s="49"/>
      <c r="G2269" s="2"/>
      <c r="H2269" s="2"/>
      <c r="L2269" s="55"/>
      <c r="M2269" s="55"/>
    </row>
    <row r="2270" spans="3:13" x14ac:dyDescent="0.2">
      <c r="C2270" s="49"/>
      <c r="G2270" s="2"/>
      <c r="H2270" s="2"/>
      <c r="L2270" s="55"/>
      <c r="M2270" s="55"/>
    </row>
    <row r="2271" spans="3:13" x14ac:dyDescent="0.2">
      <c r="C2271" s="49"/>
      <c r="G2271" s="2"/>
      <c r="H2271" s="2"/>
      <c r="L2271" s="55"/>
      <c r="M2271" s="55"/>
    </row>
    <row r="2272" spans="3:13" x14ac:dyDescent="0.2">
      <c r="C2272" s="49"/>
      <c r="G2272" s="2"/>
      <c r="H2272" s="2"/>
      <c r="L2272" s="55"/>
      <c r="M2272" s="55"/>
    </row>
    <row r="2273" spans="3:13" x14ac:dyDescent="0.2">
      <c r="C2273" s="49"/>
      <c r="G2273" s="2"/>
      <c r="H2273" s="2"/>
      <c r="L2273" s="55"/>
      <c r="M2273" s="55"/>
    </row>
    <row r="2274" spans="3:13" x14ac:dyDescent="0.2">
      <c r="C2274" s="49"/>
      <c r="G2274" s="2"/>
      <c r="H2274" s="2"/>
      <c r="L2274" s="55"/>
      <c r="M2274" s="55"/>
    </row>
    <row r="2275" spans="3:13" x14ac:dyDescent="0.2">
      <c r="C2275" s="49"/>
      <c r="G2275" s="2"/>
      <c r="H2275" s="2"/>
      <c r="L2275" s="55"/>
      <c r="M2275" s="55"/>
    </row>
    <row r="2276" spans="3:13" x14ac:dyDescent="0.2">
      <c r="C2276" s="49"/>
      <c r="G2276" s="2"/>
      <c r="H2276" s="2"/>
      <c r="L2276" s="55"/>
      <c r="M2276" s="55"/>
    </row>
    <row r="2277" spans="3:13" x14ac:dyDescent="0.2">
      <c r="C2277" s="49"/>
      <c r="G2277" s="2"/>
      <c r="H2277" s="2"/>
      <c r="L2277" s="55"/>
      <c r="M2277" s="55"/>
    </row>
    <row r="2278" spans="3:13" x14ac:dyDescent="0.2">
      <c r="C2278" s="49"/>
      <c r="G2278" s="2"/>
      <c r="H2278" s="2"/>
      <c r="L2278" s="55"/>
      <c r="M2278" s="55"/>
    </row>
    <row r="2279" spans="3:13" x14ac:dyDescent="0.2">
      <c r="C2279" s="49"/>
      <c r="G2279" s="2"/>
      <c r="H2279" s="2"/>
      <c r="L2279" s="55"/>
      <c r="M2279" s="55"/>
    </row>
    <row r="2280" spans="3:13" x14ac:dyDescent="0.2">
      <c r="C2280" s="49"/>
      <c r="G2280" s="2"/>
      <c r="H2280" s="2"/>
      <c r="L2280" s="55"/>
      <c r="M2280" s="55"/>
    </row>
    <row r="2281" spans="3:13" x14ac:dyDescent="0.2">
      <c r="C2281" s="49"/>
      <c r="G2281" s="2"/>
      <c r="H2281" s="2"/>
      <c r="L2281" s="55"/>
      <c r="M2281" s="55"/>
    </row>
    <row r="2282" spans="3:13" x14ac:dyDescent="0.2">
      <c r="C2282" s="49"/>
      <c r="G2282" s="2"/>
      <c r="H2282" s="2"/>
      <c r="L2282" s="55"/>
      <c r="M2282" s="55"/>
    </row>
    <row r="2283" spans="3:13" x14ac:dyDescent="0.2">
      <c r="C2283" s="49"/>
      <c r="G2283" s="2"/>
      <c r="H2283" s="2"/>
      <c r="L2283" s="55"/>
      <c r="M2283" s="55"/>
    </row>
    <row r="2284" spans="3:13" x14ac:dyDescent="0.2">
      <c r="C2284" s="49"/>
      <c r="G2284" s="2"/>
      <c r="H2284" s="2"/>
      <c r="L2284" s="55"/>
      <c r="M2284" s="55"/>
    </row>
    <row r="2285" spans="3:13" x14ac:dyDescent="0.2">
      <c r="C2285" s="49"/>
      <c r="G2285" s="2"/>
      <c r="H2285" s="2"/>
      <c r="L2285" s="55"/>
      <c r="M2285" s="55"/>
    </row>
    <row r="2286" spans="3:13" x14ac:dyDescent="0.2">
      <c r="C2286" s="49"/>
      <c r="G2286" s="2"/>
      <c r="H2286" s="2"/>
      <c r="L2286" s="55"/>
      <c r="M2286" s="55"/>
    </row>
    <row r="2287" spans="3:13" x14ac:dyDescent="0.2">
      <c r="C2287" s="49"/>
      <c r="G2287" s="2"/>
      <c r="H2287" s="2"/>
      <c r="L2287" s="55"/>
      <c r="M2287" s="55"/>
    </row>
    <row r="2288" spans="3:13" x14ac:dyDescent="0.2">
      <c r="C2288" s="49"/>
      <c r="G2288" s="2"/>
      <c r="H2288" s="2"/>
      <c r="L2288" s="55"/>
      <c r="M2288" s="55"/>
    </row>
    <row r="2289" spans="3:13" x14ac:dyDescent="0.2">
      <c r="C2289" s="49"/>
      <c r="G2289" s="2"/>
      <c r="H2289" s="2"/>
      <c r="L2289" s="55"/>
      <c r="M2289" s="55"/>
    </row>
    <row r="2290" spans="3:13" x14ac:dyDescent="0.2">
      <c r="C2290" s="49"/>
      <c r="G2290" s="2"/>
      <c r="H2290" s="2"/>
      <c r="L2290" s="55"/>
      <c r="M2290" s="55"/>
    </row>
    <row r="2291" spans="3:13" x14ac:dyDescent="0.2">
      <c r="C2291" s="49"/>
      <c r="G2291" s="2"/>
      <c r="H2291" s="2"/>
      <c r="L2291" s="55"/>
      <c r="M2291" s="55"/>
    </row>
    <row r="2292" spans="3:13" x14ac:dyDescent="0.2">
      <c r="C2292" s="49"/>
      <c r="G2292" s="2"/>
      <c r="H2292" s="2"/>
      <c r="L2292" s="55"/>
      <c r="M2292" s="55"/>
    </row>
    <row r="2293" spans="3:13" x14ac:dyDescent="0.2">
      <c r="C2293" s="49"/>
      <c r="G2293" s="2"/>
      <c r="H2293" s="2"/>
      <c r="L2293" s="55"/>
      <c r="M2293" s="55"/>
    </row>
    <row r="2294" spans="3:13" x14ac:dyDescent="0.2">
      <c r="C2294" s="49"/>
      <c r="G2294" s="2"/>
      <c r="H2294" s="2"/>
      <c r="L2294" s="55"/>
      <c r="M2294" s="55"/>
    </row>
    <row r="2295" spans="3:13" x14ac:dyDescent="0.2">
      <c r="C2295" s="49"/>
      <c r="G2295" s="2"/>
      <c r="H2295" s="2"/>
      <c r="L2295" s="55"/>
      <c r="M2295" s="55"/>
    </row>
    <row r="2296" spans="3:13" x14ac:dyDescent="0.2">
      <c r="C2296" s="49"/>
      <c r="G2296" s="2"/>
      <c r="H2296" s="2"/>
      <c r="L2296" s="55"/>
      <c r="M2296" s="55"/>
    </row>
    <row r="2297" spans="3:13" x14ac:dyDescent="0.2">
      <c r="C2297" s="49"/>
      <c r="G2297" s="2"/>
      <c r="H2297" s="2"/>
      <c r="L2297" s="55"/>
      <c r="M2297" s="55"/>
    </row>
    <row r="2298" spans="3:13" x14ac:dyDescent="0.2">
      <c r="C2298" s="49"/>
      <c r="G2298" s="2"/>
      <c r="H2298" s="2"/>
      <c r="L2298" s="55"/>
      <c r="M2298" s="55"/>
    </row>
    <row r="2299" spans="3:13" x14ac:dyDescent="0.2">
      <c r="C2299" s="49"/>
      <c r="G2299" s="2"/>
      <c r="H2299" s="2"/>
      <c r="L2299" s="55"/>
      <c r="M2299" s="55"/>
    </row>
    <row r="2300" spans="3:13" x14ac:dyDescent="0.2">
      <c r="C2300" s="49"/>
      <c r="G2300" s="2"/>
      <c r="H2300" s="2"/>
      <c r="L2300" s="55"/>
      <c r="M2300" s="55"/>
    </row>
    <row r="2301" spans="3:13" x14ac:dyDescent="0.2">
      <c r="C2301" s="49"/>
      <c r="G2301" s="2"/>
      <c r="H2301" s="2"/>
      <c r="L2301" s="55"/>
      <c r="M2301" s="55"/>
    </row>
    <row r="2302" spans="3:13" x14ac:dyDescent="0.2">
      <c r="C2302" s="49"/>
      <c r="G2302" s="2"/>
      <c r="H2302" s="2"/>
      <c r="L2302" s="55"/>
      <c r="M2302" s="55"/>
    </row>
    <row r="2303" spans="3:13" x14ac:dyDescent="0.2">
      <c r="C2303" s="49"/>
      <c r="G2303" s="2"/>
      <c r="H2303" s="2"/>
      <c r="L2303" s="55"/>
      <c r="M2303" s="55"/>
    </row>
    <row r="2304" spans="3:13" x14ac:dyDescent="0.2">
      <c r="C2304" s="49"/>
      <c r="G2304" s="2"/>
      <c r="H2304" s="2"/>
      <c r="L2304" s="55"/>
      <c r="M2304" s="55"/>
    </row>
    <row r="2305" spans="3:13" x14ac:dyDescent="0.2">
      <c r="C2305" s="49"/>
      <c r="G2305" s="2"/>
      <c r="H2305" s="2"/>
      <c r="L2305" s="55"/>
      <c r="M2305" s="55"/>
    </row>
    <row r="2306" spans="3:13" x14ac:dyDescent="0.2">
      <c r="C2306" s="49"/>
      <c r="G2306" s="2"/>
      <c r="H2306" s="2"/>
      <c r="L2306" s="55"/>
      <c r="M2306" s="55"/>
    </row>
    <row r="2307" spans="3:13" x14ac:dyDescent="0.2">
      <c r="C2307" s="49"/>
      <c r="G2307" s="2"/>
      <c r="H2307" s="2"/>
      <c r="L2307" s="55"/>
      <c r="M2307" s="55"/>
    </row>
    <row r="2308" spans="3:13" x14ac:dyDescent="0.2">
      <c r="C2308" s="49"/>
      <c r="G2308" s="2"/>
      <c r="H2308" s="2"/>
      <c r="L2308" s="55"/>
      <c r="M2308" s="55"/>
    </row>
    <row r="2309" spans="3:13" x14ac:dyDescent="0.2">
      <c r="C2309" s="49"/>
      <c r="G2309" s="2"/>
      <c r="H2309" s="2"/>
      <c r="L2309" s="55"/>
      <c r="M2309" s="55"/>
    </row>
    <row r="2310" spans="3:13" x14ac:dyDescent="0.2">
      <c r="C2310" s="49"/>
      <c r="G2310" s="2"/>
      <c r="H2310" s="2"/>
      <c r="L2310" s="55"/>
      <c r="M2310" s="55"/>
    </row>
    <row r="2311" spans="3:13" x14ac:dyDescent="0.2">
      <c r="C2311" s="49"/>
      <c r="G2311" s="2"/>
      <c r="H2311" s="2"/>
      <c r="L2311" s="55"/>
      <c r="M2311" s="55"/>
    </row>
    <row r="2312" spans="3:13" x14ac:dyDescent="0.2">
      <c r="C2312" s="49"/>
      <c r="G2312" s="2"/>
      <c r="H2312" s="2"/>
      <c r="L2312" s="55"/>
      <c r="M2312" s="55"/>
    </row>
    <row r="2313" spans="3:13" x14ac:dyDescent="0.2">
      <c r="C2313" s="49"/>
      <c r="G2313" s="2"/>
      <c r="H2313" s="2"/>
      <c r="L2313" s="55"/>
      <c r="M2313" s="55"/>
    </row>
    <row r="2314" spans="3:13" x14ac:dyDescent="0.2">
      <c r="C2314" s="49"/>
      <c r="G2314" s="2"/>
      <c r="H2314" s="2"/>
      <c r="L2314" s="55"/>
      <c r="M2314" s="55"/>
    </row>
    <row r="2315" spans="3:13" x14ac:dyDescent="0.2">
      <c r="C2315" s="49"/>
      <c r="G2315" s="2"/>
      <c r="H2315" s="2"/>
      <c r="L2315" s="55"/>
      <c r="M2315" s="55"/>
    </row>
    <row r="2316" spans="3:13" x14ac:dyDescent="0.2">
      <c r="C2316" s="49"/>
      <c r="G2316" s="2"/>
      <c r="H2316" s="2"/>
      <c r="L2316" s="55"/>
      <c r="M2316" s="55"/>
    </row>
    <row r="2317" spans="3:13" x14ac:dyDescent="0.2">
      <c r="C2317" s="49"/>
      <c r="G2317" s="2"/>
      <c r="H2317" s="2"/>
      <c r="L2317" s="55"/>
      <c r="M2317" s="55"/>
    </row>
    <row r="2318" spans="3:13" x14ac:dyDescent="0.2">
      <c r="C2318" s="49"/>
      <c r="G2318" s="2"/>
      <c r="H2318" s="2"/>
      <c r="L2318" s="55"/>
      <c r="M2318" s="55"/>
    </row>
    <row r="2319" spans="3:13" x14ac:dyDescent="0.2">
      <c r="C2319" s="49"/>
      <c r="G2319" s="2"/>
      <c r="H2319" s="2"/>
      <c r="L2319" s="55"/>
      <c r="M2319" s="55"/>
    </row>
    <row r="2320" spans="3:13" x14ac:dyDescent="0.2">
      <c r="C2320" s="49"/>
      <c r="G2320" s="2"/>
      <c r="H2320" s="2"/>
      <c r="L2320" s="55"/>
      <c r="M2320" s="55"/>
    </row>
    <row r="2321" spans="3:13" x14ac:dyDescent="0.2">
      <c r="C2321" s="49"/>
      <c r="G2321" s="2"/>
      <c r="H2321" s="2"/>
      <c r="L2321" s="55"/>
      <c r="M2321" s="55"/>
    </row>
    <row r="2322" spans="3:13" x14ac:dyDescent="0.2">
      <c r="C2322" s="49"/>
      <c r="G2322" s="2"/>
      <c r="H2322" s="2"/>
      <c r="L2322" s="55"/>
      <c r="M2322" s="55"/>
    </row>
    <row r="2323" spans="3:13" x14ac:dyDescent="0.2">
      <c r="C2323" s="49"/>
      <c r="G2323" s="2"/>
      <c r="H2323" s="2"/>
      <c r="L2323" s="55"/>
      <c r="M2323" s="55"/>
    </row>
    <row r="2324" spans="3:13" x14ac:dyDescent="0.2">
      <c r="C2324" s="49"/>
      <c r="G2324" s="2"/>
      <c r="H2324" s="2"/>
      <c r="L2324" s="55"/>
      <c r="M2324" s="55"/>
    </row>
    <row r="2325" spans="3:13" x14ac:dyDescent="0.2">
      <c r="C2325" s="49"/>
      <c r="G2325" s="2"/>
      <c r="H2325" s="2"/>
      <c r="L2325" s="55"/>
      <c r="M2325" s="55"/>
    </row>
    <row r="2326" spans="3:13" x14ac:dyDescent="0.2">
      <c r="C2326" s="49"/>
      <c r="G2326" s="2"/>
      <c r="H2326" s="2"/>
      <c r="L2326" s="55"/>
      <c r="M2326" s="55"/>
    </row>
    <row r="2327" spans="3:13" x14ac:dyDescent="0.2">
      <c r="C2327" s="49"/>
      <c r="G2327" s="2"/>
      <c r="H2327" s="2"/>
      <c r="L2327" s="55"/>
      <c r="M2327" s="55"/>
    </row>
    <row r="2328" spans="3:13" x14ac:dyDescent="0.2">
      <c r="C2328" s="49"/>
      <c r="G2328" s="2"/>
      <c r="H2328" s="2"/>
      <c r="L2328" s="55"/>
      <c r="M2328" s="55"/>
    </row>
    <row r="2329" spans="3:13" x14ac:dyDescent="0.2">
      <c r="C2329" s="49"/>
      <c r="G2329" s="2"/>
      <c r="H2329" s="2"/>
      <c r="L2329" s="55"/>
      <c r="M2329" s="55"/>
    </row>
    <row r="2330" spans="3:13" x14ac:dyDescent="0.2">
      <c r="C2330" s="49"/>
      <c r="G2330" s="2"/>
      <c r="H2330" s="2"/>
      <c r="L2330" s="55"/>
      <c r="M2330" s="55"/>
    </row>
    <row r="2331" spans="3:13" x14ac:dyDescent="0.2">
      <c r="C2331" s="49"/>
      <c r="G2331" s="2"/>
      <c r="H2331" s="2"/>
      <c r="L2331" s="55"/>
      <c r="M2331" s="55"/>
    </row>
    <row r="2332" spans="3:13" x14ac:dyDescent="0.2">
      <c r="C2332" s="49"/>
      <c r="G2332" s="2"/>
      <c r="H2332" s="2"/>
      <c r="L2332" s="55"/>
      <c r="M2332" s="55"/>
    </row>
    <row r="2333" spans="3:13" x14ac:dyDescent="0.2">
      <c r="C2333" s="49"/>
      <c r="G2333" s="2"/>
      <c r="H2333" s="2"/>
      <c r="L2333" s="55"/>
      <c r="M2333" s="55"/>
    </row>
    <row r="2334" spans="3:13" x14ac:dyDescent="0.2">
      <c r="C2334" s="49"/>
      <c r="G2334" s="2"/>
      <c r="H2334" s="2"/>
      <c r="L2334" s="55"/>
      <c r="M2334" s="55"/>
    </row>
    <row r="2335" spans="3:13" x14ac:dyDescent="0.2">
      <c r="C2335" s="49"/>
      <c r="G2335" s="2"/>
      <c r="H2335" s="2"/>
      <c r="L2335" s="55"/>
      <c r="M2335" s="55"/>
    </row>
    <row r="2336" spans="3:13" x14ac:dyDescent="0.2">
      <c r="C2336" s="49"/>
      <c r="G2336" s="2"/>
      <c r="H2336" s="2"/>
      <c r="L2336" s="55"/>
      <c r="M2336" s="55"/>
    </row>
    <row r="2337" spans="3:13" x14ac:dyDescent="0.2">
      <c r="C2337" s="49"/>
      <c r="G2337" s="2"/>
      <c r="H2337" s="2"/>
      <c r="L2337" s="55"/>
      <c r="M2337" s="55"/>
    </row>
    <row r="2338" spans="3:13" x14ac:dyDescent="0.2">
      <c r="C2338" s="49"/>
      <c r="G2338" s="2"/>
      <c r="H2338" s="2"/>
      <c r="L2338" s="55"/>
      <c r="M2338" s="55"/>
    </row>
    <row r="2339" spans="3:13" x14ac:dyDescent="0.2">
      <c r="C2339" s="49"/>
      <c r="G2339" s="2"/>
      <c r="H2339" s="2"/>
      <c r="L2339" s="55"/>
      <c r="M2339" s="55"/>
    </row>
    <row r="2340" spans="3:13" x14ac:dyDescent="0.2">
      <c r="C2340" s="49"/>
      <c r="G2340" s="2"/>
      <c r="H2340" s="2"/>
      <c r="L2340" s="55"/>
      <c r="M2340" s="55"/>
    </row>
    <row r="2341" spans="3:13" x14ac:dyDescent="0.2">
      <c r="C2341" s="49"/>
      <c r="G2341" s="2"/>
      <c r="H2341" s="2"/>
      <c r="L2341" s="55"/>
      <c r="M2341" s="55"/>
    </row>
    <row r="2342" spans="3:13" x14ac:dyDescent="0.2">
      <c r="C2342" s="49"/>
      <c r="G2342" s="2"/>
      <c r="H2342" s="2"/>
      <c r="L2342" s="55"/>
      <c r="M2342" s="55"/>
    </row>
    <row r="2343" spans="3:13" x14ac:dyDescent="0.2">
      <c r="C2343" s="49"/>
      <c r="G2343" s="2"/>
      <c r="H2343" s="2"/>
      <c r="L2343" s="55"/>
      <c r="M2343" s="55"/>
    </row>
    <row r="2344" spans="3:13" x14ac:dyDescent="0.2">
      <c r="C2344" s="49"/>
      <c r="G2344" s="2"/>
      <c r="H2344" s="2"/>
      <c r="L2344" s="55"/>
      <c r="M2344" s="55"/>
    </row>
    <row r="2345" spans="3:13" x14ac:dyDescent="0.2">
      <c r="C2345" s="49"/>
      <c r="G2345" s="2"/>
      <c r="H2345" s="2"/>
      <c r="L2345" s="55"/>
      <c r="M2345" s="55"/>
    </row>
    <row r="2346" spans="3:13" x14ac:dyDescent="0.2">
      <c r="C2346" s="49"/>
      <c r="G2346" s="2"/>
      <c r="H2346" s="2"/>
      <c r="L2346" s="55"/>
      <c r="M2346" s="55"/>
    </row>
    <row r="2347" spans="3:13" x14ac:dyDescent="0.2">
      <c r="C2347" s="49"/>
      <c r="G2347" s="2"/>
      <c r="H2347" s="2"/>
      <c r="L2347" s="55"/>
      <c r="M2347" s="55"/>
    </row>
    <row r="2348" spans="3:13" x14ac:dyDescent="0.2">
      <c r="C2348" s="49"/>
      <c r="G2348" s="2"/>
      <c r="H2348" s="2"/>
      <c r="L2348" s="55"/>
      <c r="M2348" s="55"/>
    </row>
    <row r="2349" spans="3:13" x14ac:dyDescent="0.2">
      <c r="C2349" s="49"/>
      <c r="G2349" s="2"/>
      <c r="H2349" s="2"/>
      <c r="L2349" s="55"/>
      <c r="M2349" s="55"/>
    </row>
    <row r="2350" spans="3:13" x14ac:dyDescent="0.2">
      <c r="C2350" s="49"/>
      <c r="G2350" s="2"/>
      <c r="H2350" s="2"/>
      <c r="L2350" s="55"/>
      <c r="M2350" s="55"/>
    </row>
    <row r="2351" spans="3:13" x14ac:dyDescent="0.2">
      <c r="C2351" s="49"/>
      <c r="G2351" s="2"/>
      <c r="H2351" s="2"/>
      <c r="L2351" s="55"/>
      <c r="M2351" s="55"/>
    </row>
    <row r="2352" spans="3:13" x14ac:dyDescent="0.2">
      <c r="C2352" s="49"/>
      <c r="G2352" s="2"/>
      <c r="H2352" s="2"/>
      <c r="L2352" s="55"/>
      <c r="M2352" s="55"/>
    </row>
    <row r="2353" spans="3:13" x14ac:dyDescent="0.2">
      <c r="C2353" s="49"/>
      <c r="G2353" s="2"/>
      <c r="H2353" s="2"/>
      <c r="L2353" s="55"/>
      <c r="M2353" s="55"/>
    </row>
    <row r="2354" spans="3:13" x14ac:dyDescent="0.2">
      <c r="C2354" s="49"/>
      <c r="G2354" s="2"/>
      <c r="H2354" s="2"/>
      <c r="L2354" s="55"/>
      <c r="M2354" s="55"/>
    </row>
    <row r="2355" spans="3:13" x14ac:dyDescent="0.2">
      <c r="C2355" s="49"/>
      <c r="G2355" s="2"/>
      <c r="H2355" s="2"/>
      <c r="L2355" s="55"/>
      <c r="M2355" s="55"/>
    </row>
    <row r="2356" spans="3:13" x14ac:dyDescent="0.2">
      <c r="C2356" s="49"/>
      <c r="G2356" s="2"/>
      <c r="H2356" s="2"/>
      <c r="L2356" s="55"/>
      <c r="M2356" s="55"/>
    </row>
    <row r="2357" spans="3:13" x14ac:dyDescent="0.2">
      <c r="C2357" s="49"/>
      <c r="G2357" s="2"/>
      <c r="H2357" s="2"/>
      <c r="L2357" s="55"/>
      <c r="M2357" s="55"/>
    </row>
    <row r="2358" spans="3:13" x14ac:dyDescent="0.2">
      <c r="C2358" s="49"/>
      <c r="G2358" s="2"/>
      <c r="H2358" s="2"/>
      <c r="L2358" s="55"/>
      <c r="M2358" s="55"/>
    </row>
    <row r="2359" spans="3:13" x14ac:dyDescent="0.2">
      <c r="C2359" s="49"/>
      <c r="G2359" s="2"/>
      <c r="H2359" s="2"/>
      <c r="L2359" s="55"/>
      <c r="M2359" s="55"/>
    </row>
    <row r="2360" spans="3:13" x14ac:dyDescent="0.2">
      <c r="C2360" s="49"/>
      <c r="G2360" s="2"/>
      <c r="H2360" s="2"/>
      <c r="L2360" s="55"/>
      <c r="M2360" s="55"/>
    </row>
    <row r="2361" spans="3:13" x14ac:dyDescent="0.2">
      <c r="C2361" s="49"/>
      <c r="G2361" s="2"/>
      <c r="H2361" s="2"/>
      <c r="L2361" s="55"/>
      <c r="M2361" s="55"/>
    </row>
    <row r="2362" spans="3:13" x14ac:dyDescent="0.2">
      <c r="C2362" s="49"/>
      <c r="G2362" s="2"/>
      <c r="H2362" s="2"/>
      <c r="L2362" s="55"/>
      <c r="M2362" s="55"/>
    </row>
    <row r="2363" spans="3:13" x14ac:dyDescent="0.2">
      <c r="C2363" s="49"/>
      <c r="G2363" s="2"/>
      <c r="H2363" s="2"/>
      <c r="L2363" s="55"/>
      <c r="M2363" s="55"/>
    </row>
    <row r="2364" spans="3:13" x14ac:dyDescent="0.2">
      <c r="C2364" s="49"/>
      <c r="G2364" s="2"/>
      <c r="H2364" s="2"/>
      <c r="L2364" s="55"/>
      <c r="M2364" s="55"/>
    </row>
    <row r="2365" spans="3:13" x14ac:dyDescent="0.2">
      <c r="C2365" s="49"/>
      <c r="G2365" s="2"/>
      <c r="H2365" s="2"/>
      <c r="L2365" s="55"/>
      <c r="M2365" s="55"/>
    </row>
    <row r="2366" spans="3:13" x14ac:dyDescent="0.2">
      <c r="C2366" s="49"/>
      <c r="G2366" s="2"/>
      <c r="H2366" s="2"/>
      <c r="L2366" s="55"/>
      <c r="M2366" s="55"/>
    </row>
    <row r="2367" spans="3:13" x14ac:dyDescent="0.2">
      <c r="C2367" s="49"/>
      <c r="G2367" s="2"/>
      <c r="H2367" s="2"/>
      <c r="L2367" s="55"/>
      <c r="M2367" s="55"/>
    </row>
    <row r="2368" spans="3:13" x14ac:dyDescent="0.2">
      <c r="C2368" s="49"/>
      <c r="G2368" s="2"/>
      <c r="H2368" s="2"/>
      <c r="L2368" s="55"/>
      <c r="M2368" s="55"/>
    </row>
    <row r="2369" spans="3:13" x14ac:dyDescent="0.2">
      <c r="C2369" s="49"/>
      <c r="G2369" s="2"/>
      <c r="H2369" s="2"/>
      <c r="L2369" s="55"/>
      <c r="M2369" s="55"/>
    </row>
    <row r="2370" spans="3:13" x14ac:dyDescent="0.2">
      <c r="C2370" s="49"/>
      <c r="G2370" s="2"/>
      <c r="H2370" s="2"/>
      <c r="L2370" s="55"/>
      <c r="M2370" s="55"/>
    </row>
    <row r="2371" spans="3:13" x14ac:dyDescent="0.2">
      <c r="C2371" s="49"/>
      <c r="G2371" s="2"/>
      <c r="H2371" s="2"/>
      <c r="L2371" s="55"/>
      <c r="M2371" s="55"/>
    </row>
    <row r="2372" spans="3:13" x14ac:dyDescent="0.2">
      <c r="C2372" s="49"/>
      <c r="G2372" s="2"/>
      <c r="H2372" s="2"/>
      <c r="L2372" s="55"/>
      <c r="M2372" s="55"/>
    </row>
    <row r="2373" spans="3:13" x14ac:dyDescent="0.2">
      <c r="C2373" s="49"/>
      <c r="G2373" s="2"/>
      <c r="H2373" s="2"/>
      <c r="L2373" s="55"/>
      <c r="M2373" s="55"/>
    </row>
    <row r="2374" spans="3:13" x14ac:dyDescent="0.2">
      <c r="C2374" s="49"/>
      <c r="G2374" s="2"/>
      <c r="H2374" s="2"/>
      <c r="L2374" s="55"/>
      <c r="M2374" s="55"/>
    </row>
    <row r="2375" spans="3:13" x14ac:dyDescent="0.2">
      <c r="C2375" s="49"/>
      <c r="G2375" s="2"/>
      <c r="H2375" s="2"/>
      <c r="L2375" s="55"/>
      <c r="M2375" s="55"/>
    </row>
    <row r="2376" spans="3:13" x14ac:dyDescent="0.2">
      <c r="C2376" s="49"/>
      <c r="G2376" s="2"/>
      <c r="H2376" s="2"/>
      <c r="L2376" s="55"/>
      <c r="M2376" s="55"/>
    </row>
    <row r="2377" spans="3:13" x14ac:dyDescent="0.2">
      <c r="C2377" s="49"/>
      <c r="G2377" s="2"/>
      <c r="H2377" s="2"/>
      <c r="L2377" s="55"/>
      <c r="M2377" s="55"/>
    </row>
    <row r="2378" spans="3:13" x14ac:dyDescent="0.2">
      <c r="C2378" s="49"/>
      <c r="G2378" s="2"/>
      <c r="H2378" s="2"/>
      <c r="L2378" s="55"/>
      <c r="M2378" s="55"/>
    </row>
    <row r="2379" spans="3:13" x14ac:dyDescent="0.2">
      <c r="C2379" s="49"/>
      <c r="G2379" s="2"/>
      <c r="H2379" s="2"/>
      <c r="L2379" s="55"/>
      <c r="M2379" s="55"/>
    </row>
    <row r="2380" spans="3:13" x14ac:dyDescent="0.2">
      <c r="C2380" s="49"/>
      <c r="G2380" s="2"/>
      <c r="H2380" s="2"/>
      <c r="L2380" s="55"/>
      <c r="M2380" s="55"/>
    </row>
    <row r="2381" spans="3:13" x14ac:dyDescent="0.2">
      <c r="C2381" s="49"/>
      <c r="G2381" s="2"/>
      <c r="H2381" s="2"/>
      <c r="L2381" s="55"/>
      <c r="M2381" s="55"/>
    </row>
    <row r="2382" spans="3:13" x14ac:dyDescent="0.2">
      <c r="C2382" s="49"/>
      <c r="G2382" s="2"/>
      <c r="H2382" s="2"/>
      <c r="L2382" s="55"/>
      <c r="M2382" s="55"/>
    </row>
    <row r="2383" spans="3:13" x14ac:dyDescent="0.2">
      <c r="C2383" s="49"/>
      <c r="G2383" s="2"/>
      <c r="H2383" s="2"/>
      <c r="L2383" s="55"/>
      <c r="M2383" s="55"/>
    </row>
    <row r="2384" spans="3:13" x14ac:dyDescent="0.2">
      <c r="C2384" s="49"/>
      <c r="G2384" s="2"/>
      <c r="H2384" s="2"/>
      <c r="L2384" s="55"/>
      <c r="M2384" s="55"/>
    </row>
    <row r="2385" spans="3:13" x14ac:dyDescent="0.2">
      <c r="C2385" s="49"/>
      <c r="G2385" s="2"/>
      <c r="H2385" s="2"/>
      <c r="L2385" s="55"/>
      <c r="M2385" s="55"/>
    </row>
    <row r="2386" spans="3:13" x14ac:dyDescent="0.2">
      <c r="C2386" s="49"/>
      <c r="G2386" s="2"/>
      <c r="H2386" s="2"/>
      <c r="L2386" s="55"/>
      <c r="M2386" s="55"/>
    </row>
    <row r="2387" spans="3:13" x14ac:dyDescent="0.2">
      <c r="C2387" s="49"/>
      <c r="G2387" s="2"/>
      <c r="H2387" s="2"/>
      <c r="L2387" s="55"/>
      <c r="M2387" s="55"/>
    </row>
    <row r="2388" spans="3:13" x14ac:dyDescent="0.2">
      <c r="C2388" s="49"/>
      <c r="G2388" s="2"/>
      <c r="H2388" s="2"/>
      <c r="L2388" s="55"/>
      <c r="M2388" s="55"/>
    </row>
    <row r="2389" spans="3:13" x14ac:dyDescent="0.2">
      <c r="C2389" s="49"/>
      <c r="G2389" s="2"/>
      <c r="H2389" s="2"/>
      <c r="L2389" s="55"/>
      <c r="M2389" s="55"/>
    </row>
    <row r="2390" spans="3:13" x14ac:dyDescent="0.2">
      <c r="C2390" s="49"/>
      <c r="G2390" s="2"/>
      <c r="H2390" s="2"/>
      <c r="L2390" s="55"/>
      <c r="M2390" s="55"/>
    </row>
    <row r="2391" spans="3:13" x14ac:dyDescent="0.2">
      <c r="C2391" s="49"/>
      <c r="G2391" s="2"/>
      <c r="H2391" s="2"/>
      <c r="L2391" s="55"/>
      <c r="M2391" s="55"/>
    </row>
    <row r="2392" spans="3:13" x14ac:dyDescent="0.2">
      <c r="C2392" s="49"/>
      <c r="G2392" s="2"/>
      <c r="H2392" s="2"/>
      <c r="L2392" s="55"/>
      <c r="M2392" s="55"/>
    </row>
    <row r="2393" spans="3:13" x14ac:dyDescent="0.2">
      <c r="C2393" s="49"/>
      <c r="G2393" s="2"/>
      <c r="H2393" s="2"/>
      <c r="L2393" s="55"/>
      <c r="M2393" s="55"/>
    </row>
    <row r="2394" spans="3:13" x14ac:dyDescent="0.2">
      <c r="C2394" s="49"/>
      <c r="G2394" s="2"/>
      <c r="H2394" s="2"/>
      <c r="L2394" s="55"/>
      <c r="M2394" s="55"/>
    </row>
    <row r="2395" spans="3:13" x14ac:dyDescent="0.2">
      <c r="C2395" s="49"/>
      <c r="G2395" s="2"/>
      <c r="H2395" s="2"/>
      <c r="L2395" s="55"/>
      <c r="M2395" s="55"/>
    </row>
    <row r="2396" spans="3:13" x14ac:dyDescent="0.2">
      <c r="C2396" s="49"/>
      <c r="G2396" s="2"/>
      <c r="H2396" s="2"/>
      <c r="L2396" s="55"/>
      <c r="M2396" s="55"/>
    </row>
    <row r="2397" spans="3:13" x14ac:dyDescent="0.2">
      <c r="C2397" s="49"/>
      <c r="G2397" s="2"/>
      <c r="H2397" s="2"/>
      <c r="L2397" s="55"/>
      <c r="M2397" s="55"/>
    </row>
    <row r="2398" spans="3:13" x14ac:dyDescent="0.2">
      <c r="C2398" s="49"/>
      <c r="G2398" s="2"/>
      <c r="H2398" s="2"/>
      <c r="L2398" s="55"/>
      <c r="M2398" s="55"/>
    </row>
    <row r="2399" spans="3:13" x14ac:dyDescent="0.2">
      <c r="C2399" s="49"/>
      <c r="G2399" s="2"/>
      <c r="H2399" s="2"/>
      <c r="L2399" s="55"/>
      <c r="M2399" s="55"/>
    </row>
    <row r="2400" spans="3:13" x14ac:dyDescent="0.2">
      <c r="C2400" s="49"/>
      <c r="G2400" s="2"/>
      <c r="H2400" s="2"/>
      <c r="L2400" s="55"/>
      <c r="M2400" s="55"/>
    </row>
    <row r="2401" spans="3:13" x14ac:dyDescent="0.2">
      <c r="C2401" s="49"/>
      <c r="G2401" s="2"/>
      <c r="H2401" s="2"/>
      <c r="L2401" s="55"/>
      <c r="M2401" s="55"/>
    </row>
    <row r="2402" spans="3:13" x14ac:dyDescent="0.2">
      <c r="C2402" s="49"/>
      <c r="G2402" s="2"/>
      <c r="H2402" s="2"/>
      <c r="L2402" s="55"/>
      <c r="M2402" s="55"/>
    </row>
    <row r="2403" spans="3:13" x14ac:dyDescent="0.2">
      <c r="C2403" s="49"/>
      <c r="G2403" s="2"/>
      <c r="H2403" s="2"/>
      <c r="L2403" s="55"/>
      <c r="M2403" s="55"/>
    </row>
    <row r="2404" spans="3:13" x14ac:dyDescent="0.2">
      <c r="C2404" s="49"/>
      <c r="G2404" s="2"/>
      <c r="H2404" s="2"/>
      <c r="L2404" s="55"/>
      <c r="M2404" s="55"/>
    </row>
    <row r="2405" spans="3:13" x14ac:dyDescent="0.2">
      <c r="C2405" s="49"/>
      <c r="G2405" s="2"/>
      <c r="H2405" s="2"/>
      <c r="L2405" s="55"/>
      <c r="M2405" s="55"/>
    </row>
    <row r="2406" spans="3:13" x14ac:dyDescent="0.2">
      <c r="C2406" s="49"/>
      <c r="G2406" s="2"/>
      <c r="H2406" s="2"/>
      <c r="L2406" s="55"/>
      <c r="M2406" s="55"/>
    </row>
    <row r="2407" spans="3:13" x14ac:dyDescent="0.2">
      <c r="C2407" s="49"/>
      <c r="G2407" s="2"/>
      <c r="H2407" s="2"/>
      <c r="L2407" s="55"/>
      <c r="M2407" s="55"/>
    </row>
    <row r="2408" spans="3:13" x14ac:dyDescent="0.2">
      <c r="C2408" s="49"/>
      <c r="G2408" s="2"/>
      <c r="H2408" s="2"/>
      <c r="L2408" s="55"/>
      <c r="M2408" s="55"/>
    </row>
    <row r="2409" spans="3:13" x14ac:dyDescent="0.2">
      <c r="C2409" s="49"/>
      <c r="G2409" s="2"/>
      <c r="H2409" s="2"/>
      <c r="L2409" s="55"/>
      <c r="M2409" s="55"/>
    </row>
    <row r="2410" spans="3:13" x14ac:dyDescent="0.2">
      <c r="C2410" s="49"/>
      <c r="G2410" s="2"/>
      <c r="H2410" s="2"/>
      <c r="L2410" s="55"/>
      <c r="M2410" s="55"/>
    </row>
    <row r="2411" spans="3:13" x14ac:dyDescent="0.2">
      <c r="C2411" s="49"/>
      <c r="G2411" s="2"/>
      <c r="H2411" s="2"/>
      <c r="L2411" s="55"/>
      <c r="M2411" s="55"/>
    </row>
    <row r="2412" spans="3:13" x14ac:dyDescent="0.2">
      <c r="C2412" s="49"/>
      <c r="G2412" s="2"/>
      <c r="H2412" s="2"/>
      <c r="L2412" s="55"/>
      <c r="M2412" s="55"/>
    </row>
    <row r="2413" spans="3:13" x14ac:dyDescent="0.2">
      <c r="C2413" s="49"/>
      <c r="G2413" s="2"/>
      <c r="H2413" s="2"/>
      <c r="L2413" s="55"/>
      <c r="M2413" s="55"/>
    </row>
    <row r="2414" spans="3:13" x14ac:dyDescent="0.2">
      <c r="C2414" s="49"/>
      <c r="G2414" s="2"/>
      <c r="H2414" s="2"/>
      <c r="L2414" s="55"/>
      <c r="M2414" s="55"/>
    </row>
    <row r="2415" spans="3:13" x14ac:dyDescent="0.2">
      <c r="C2415" s="49"/>
      <c r="G2415" s="2"/>
      <c r="H2415" s="2"/>
      <c r="L2415" s="55"/>
      <c r="M2415" s="55"/>
    </row>
    <row r="2416" spans="3:13" x14ac:dyDescent="0.2">
      <c r="C2416" s="49"/>
      <c r="G2416" s="2"/>
      <c r="H2416" s="2"/>
      <c r="L2416" s="55"/>
      <c r="M2416" s="55"/>
    </row>
    <row r="2417" spans="3:13" x14ac:dyDescent="0.2">
      <c r="C2417" s="49"/>
      <c r="G2417" s="2"/>
      <c r="H2417" s="2"/>
      <c r="L2417" s="55"/>
      <c r="M2417" s="55"/>
    </row>
    <row r="2418" spans="3:13" x14ac:dyDescent="0.2">
      <c r="C2418" s="49"/>
      <c r="G2418" s="2"/>
      <c r="H2418" s="2"/>
      <c r="L2418" s="55"/>
      <c r="M2418" s="55"/>
    </row>
    <row r="2419" spans="3:13" x14ac:dyDescent="0.2">
      <c r="C2419" s="49"/>
      <c r="G2419" s="2"/>
      <c r="H2419" s="2"/>
      <c r="L2419" s="55"/>
      <c r="M2419" s="55"/>
    </row>
    <row r="2420" spans="3:13" x14ac:dyDescent="0.2">
      <c r="C2420" s="49"/>
      <c r="G2420" s="2"/>
      <c r="H2420" s="2"/>
      <c r="L2420" s="55"/>
      <c r="M2420" s="55"/>
    </row>
    <row r="2421" spans="3:13" x14ac:dyDescent="0.2">
      <c r="C2421" s="49"/>
      <c r="G2421" s="2"/>
      <c r="H2421" s="2"/>
      <c r="L2421" s="55"/>
      <c r="M2421" s="55"/>
    </row>
    <row r="2422" spans="3:13" x14ac:dyDescent="0.2">
      <c r="C2422" s="49"/>
      <c r="G2422" s="2"/>
      <c r="H2422" s="2"/>
      <c r="L2422" s="55"/>
      <c r="M2422" s="55"/>
    </row>
    <row r="2423" spans="3:13" x14ac:dyDescent="0.2">
      <c r="C2423" s="49"/>
      <c r="G2423" s="2"/>
      <c r="H2423" s="2"/>
      <c r="L2423" s="55"/>
      <c r="M2423" s="55"/>
    </row>
    <row r="2424" spans="3:13" x14ac:dyDescent="0.2">
      <c r="C2424" s="49"/>
      <c r="G2424" s="2"/>
      <c r="H2424" s="2"/>
      <c r="L2424" s="55"/>
      <c r="M2424" s="55"/>
    </row>
    <row r="2425" spans="3:13" x14ac:dyDescent="0.2">
      <c r="C2425" s="49"/>
      <c r="G2425" s="2"/>
      <c r="H2425" s="2"/>
      <c r="L2425" s="55"/>
      <c r="M2425" s="55"/>
    </row>
    <row r="2426" spans="3:13" x14ac:dyDescent="0.2">
      <c r="C2426" s="49"/>
      <c r="G2426" s="2"/>
      <c r="H2426" s="2"/>
      <c r="L2426" s="55"/>
      <c r="M2426" s="55"/>
    </row>
    <row r="2427" spans="3:13" x14ac:dyDescent="0.2">
      <c r="C2427" s="49"/>
      <c r="G2427" s="2"/>
      <c r="H2427" s="2"/>
      <c r="L2427" s="55"/>
      <c r="M2427" s="55"/>
    </row>
    <row r="2428" spans="3:13" x14ac:dyDescent="0.2">
      <c r="C2428" s="49"/>
      <c r="G2428" s="2"/>
      <c r="H2428" s="2"/>
      <c r="L2428" s="55"/>
      <c r="M2428" s="55"/>
    </row>
    <row r="2429" spans="3:13" x14ac:dyDescent="0.2">
      <c r="C2429" s="49"/>
      <c r="G2429" s="2"/>
      <c r="H2429" s="2"/>
      <c r="L2429" s="55"/>
      <c r="M2429" s="55"/>
    </row>
    <row r="2430" spans="3:13" x14ac:dyDescent="0.2">
      <c r="C2430" s="49"/>
      <c r="G2430" s="2"/>
      <c r="H2430" s="2"/>
      <c r="L2430" s="55"/>
      <c r="M2430" s="55"/>
    </row>
    <row r="2431" spans="3:13" x14ac:dyDescent="0.2">
      <c r="C2431" s="49"/>
      <c r="G2431" s="2"/>
      <c r="H2431" s="2"/>
      <c r="L2431" s="55"/>
      <c r="M2431" s="55"/>
    </row>
    <row r="2432" spans="3:13" x14ac:dyDescent="0.2">
      <c r="C2432" s="49"/>
      <c r="G2432" s="2"/>
      <c r="H2432" s="2"/>
      <c r="L2432" s="55"/>
      <c r="M2432" s="55"/>
    </row>
    <row r="2433" spans="3:13" x14ac:dyDescent="0.2">
      <c r="C2433" s="49"/>
      <c r="G2433" s="2"/>
      <c r="H2433" s="2"/>
      <c r="L2433" s="55"/>
      <c r="M2433" s="55"/>
    </row>
    <row r="2434" spans="3:13" x14ac:dyDescent="0.2">
      <c r="C2434" s="49"/>
      <c r="G2434" s="2"/>
      <c r="H2434" s="2"/>
      <c r="L2434" s="55"/>
      <c r="M2434" s="55"/>
    </row>
    <row r="2435" spans="3:13" x14ac:dyDescent="0.2">
      <c r="C2435" s="49"/>
      <c r="G2435" s="2"/>
      <c r="H2435" s="2"/>
      <c r="L2435" s="55"/>
      <c r="M2435" s="55"/>
    </row>
    <row r="2436" spans="3:13" x14ac:dyDescent="0.2">
      <c r="C2436" s="49"/>
      <c r="G2436" s="2"/>
      <c r="H2436" s="2"/>
      <c r="L2436" s="55"/>
      <c r="M2436" s="55"/>
    </row>
    <row r="2437" spans="3:13" x14ac:dyDescent="0.2">
      <c r="C2437" s="49"/>
      <c r="G2437" s="2"/>
      <c r="H2437" s="2"/>
      <c r="L2437" s="55"/>
      <c r="M2437" s="55"/>
    </row>
    <row r="2438" spans="3:13" x14ac:dyDescent="0.2">
      <c r="C2438" s="49"/>
      <c r="G2438" s="2"/>
      <c r="H2438" s="2"/>
      <c r="L2438" s="55"/>
      <c r="M2438" s="55"/>
    </row>
    <row r="2439" spans="3:13" x14ac:dyDescent="0.2">
      <c r="C2439" s="49"/>
      <c r="G2439" s="2"/>
      <c r="H2439" s="2"/>
      <c r="L2439" s="55"/>
      <c r="M2439" s="55"/>
    </row>
    <row r="2440" spans="3:13" x14ac:dyDescent="0.2">
      <c r="C2440" s="49"/>
      <c r="G2440" s="2"/>
      <c r="H2440" s="2"/>
      <c r="L2440" s="55"/>
      <c r="M2440" s="55"/>
    </row>
    <row r="2441" spans="3:13" x14ac:dyDescent="0.2">
      <c r="C2441" s="49"/>
      <c r="G2441" s="2"/>
      <c r="H2441" s="2"/>
      <c r="L2441" s="55"/>
      <c r="M2441" s="55"/>
    </row>
    <row r="2442" spans="3:13" x14ac:dyDescent="0.2">
      <c r="C2442" s="49"/>
      <c r="G2442" s="2"/>
      <c r="H2442" s="2"/>
      <c r="L2442" s="55"/>
      <c r="M2442" s="55"/>
    </row>
    <row r="2443" spans="3:13" x14ac:dyDescent="0.2">
      <c r="C2443" s="49"/>
      <c r="G2443" s="2"/>
      <c r="H2443" s="2"/>
      <c r="L2443" s="55"/>
      <c r="M2443" s="55"/>
    </row>
    <row r="2444" spans="3:13" x14ac:dyDescent="0.2">
      <c r="C2444" s="49"/>
      <c r="G2444" s="2"/>
      <c r="H2444" s="2"/>
      <c r="L2444" s="55"/>
      <c r="M2444" s="55"/>
    </row>
    <row r="2445" spans="3:13" x14ac:dyDescent="0.2">
      <c r="C2445" s="49"/>
      <c r="G2445" s="2"/>
      <c r="H2445" s="2"/>
      <c r="L2445" s="55"/>
      <c r="M2445" s="55"/>
    </row>
    <row r="2446" spans="3:13" x14ac:dyDescent="0.2">
      <c r="C2446" s="49"/>
      <c r="G2446" s="2"/>
      <c r="H2446" s="2"/>
      <c r="L2446" s="55"/>
      <c r="M2446" s="55"/>
    </row>
    <row r="2447" spans="3:13" x14ac:dyDescent="0.2">
      <c r="C2447" s="49"/>
      <c r="G2447" s="2"/>
      <c r="H2447" s="2"/>
      <c r="L2447" s="55"/>
      <c r="M2447" s="55"/>
    </row>
    <row r="2448" spans="3:13" x14ac:dyDescent="0.2">
      <c r="C2448" s="49"/>
      <c r="G2448" s="2"/>
      <c r="H2448" s="2"/>
      <c r="L2448" s="55"/>
      <c r="M2448" s="55"/>
    </row>
    <row r="2449" spans="3:13" x14ac:dyDescent="0.2">
      <c r="C2449" s="49"/>
      <c r="G2449" s="2"/>
      <c r="H2449" s="2"/>
      <c r="L2449" s="55"/>
      <c r="M2449" s="55"/>
    </row>
    <row r="2450" spans="3:13" x14ac:dyDescent="0.2">
      <c r="C2450" s="49"/>
      <c r="G2450" s="2"/>
      <c r="H2450" s="2"/>
      <c r="L2450" s="55"/>
      <c r="M2450" s="55"/>
    </row>
    <row r="2451" spans="3:13" x14ac:dyDescent="0.2">
      <c r="C2451" s="49"/>
      <c r="G2451" s="2"/>
      <c r="H2451" s="2"/>
      <c r="L2451" s="55"/>
      <c r="M2451" s="55"/>
    </row>
    <row r="2452" spans="3:13" x14ac:dyDescent="0.2">
      <c r="C2452" s="49"/>
      <c r="G2452" s="2"/>
      <c r="H2452" s="2"/>
      <c r="L2452" s="55"/>
      <c r="M2452" s="55"/>
    </row>
    <row r="2453" spans="3:13" x14ac:dyDescent="0.2">
      <c r="C2453" s="49"/>
      <c r="G2453" s="2"/>
      <c r="H2453" s="2"/>
      <c r="L2453" s="55"/>
      <c r="M2453" s="55"/>
    </row>
    <row r="2454" spans="3:13" x14ac:dyDescent="0.2">
      <c r="C2454" s="49"/>
      <c r="G2454" s="2"/>
      <c r="H2454" s="2"/>
      <c r="L2454" s="55"/>
      <c r="M2454" s="55"/>
    </row>
    <row r="2455" spans="3:13" x14ac:dyDescent="0.2">
      <c r="C2455" s="49"/>
      <c r="G2455" s="2"/>
      <c r="H2455" s="2"/>
      <c r="L2455" s="55"/>
      <c r="M2455" s="55"/>
    </row>
    <row r="2456" spans="3:13" x14ac:dyDescent="0.2">
      <c r="C2456" s="49"/>
      <c r="G2456" s="2"/>
      <c r="H2456" s="2"/>
      <c r="L2456" s="55"/>
      <c r="M2456" s="55"/>
    </row>
    <row r="2457" spans="3:13" x14ac:dyDescent="0.2">
      <c r="C2457" s="49"/>
      <c r="G2457" s="2"/>
      <c r="H2457" s="2"/>
      <c r="L2457" s="55"/>
      <c r="M2457" s="55"/>
    </row>
    <row r="2458" spans="3:13" x14ac:dyDescent="0.2">
      <c r="C2458" s="49"/>
      <c r="G2458" s="2"/>
      <c r="H2458" s="2"/>
      <c r="L2458" s="55"/>
      <c r="M2458" s="55"/>
    </row>
    <row r="2459" spans="3:13" x14ac:dyDescent="0.2">
      <c r="C2459" s="49"/>
      <c r="G2459" s="2"/>
      <c r="H2459" s="2"/>
      <c r="L2459" s="55"/>
      <c r="M2459" s="55"/>
    </row>
    <row r="2460" spans="3:13" x14ac:dyDescent="0.2">
      <c r="C2460" s="49"/>
      <c r="G2460" s="2"/>
      <c r="H2460" s="2"/>
      <c r="L2460" s="55"/>
      <c r="M2460" s="55"/>
    </row>
    <row r="2461" spans="3:13" x14ac:dyDescent="0.2">
      <c r="C2461" s="49"/>
      <c r="G2461" s="2"/>
      <c r="H2461" s="2"/>
      <c r="L2461" s="55"/>
      <c r="M2461" s="55"/>
    </row>
    <row r="2462" spans="3:13" x14ac:dyDescent="0.2">
      <c r="C2462" s="49"/>
      <c r="G2462" s="2"/>
      <c r="H2462" s="2"/>
      <c r="L2462" s="55"/>
      <c r="M2462" s="55"/>
    </row>
    <row r="2463" spans="3:13" x14ac:dyDescent="0.2">
      <c r="C2463" s="49"/>
      <c r="G2463" s="2"/>
      <c r="H2463" s="2"/>
      <c r="L2463" s="55"/>
      <c r="M2463" s="55"/>
    </row>
    <row r="2464" spans="3:13" x14ac:dyDescent="0.2">
      <c r="C2464" s="49"/>
      <c r="G2464" s="2"/>
      <c r="H2464" s="2"/>
      <c r="L2464" s="55"/>
      <c r="M2464" s="55"/>
    </row>
    <row r="2465" spans="3:13" x14ac:dyDescent="0.2">
      <c r="C2465" s="49"/>
      <c r="G2465" s="2"/>
      <c r="H2465" s="2"/>
      <c r="L2465" s="55"/>
      <c r="M2465" s="55"/>
    </row>
    <row r="2466" spans="3:13" x14ac:dyDescent="0.2">
      <c r="C2466" s="49"/>
      <c r="G2466" s="2"/>
      <c r="H2466" s="2"/>
      <c r="L2466" s="55"/>
      <c r="M2466" s="55"/>
    </row>
    <row r="2467" spans="3:13" x14ac:dyDescent="0.2">
      <c r="C2467" s="49"/>
      <c r="G2467" s="2"/>
      <c r="H2467" s="2"/>
      <c r="L2467" s="55"/>
      <c r="M2467" s="55"/>
    </row>
    <row r="2468" spans="3:13" x14ac:dyDescent="0.2">
      <c r="C2468" s="49"/>
      <c r="G2468" s="2"/>
      <c r="H2468" s="2"/>
      <c r="L2468" s="55"/>
      <c r="M2468" s="55"/>
    </row>
    <row r="2469" spans="3:13" x14ac:dyDescent="0.2">
      <c r="C2469" s="49"/>
      <c r="G2469" s="2"/>
      <c r="H2469" s="2"/>
      <c r="L2469" s="55"/>
      <c r="M2469" s="55"/>
    </row>
    <row r="2470" spans="3:13" x14ac:dyDescent="0.2">
      <c r="C2470" s="49"/>
      <c r="G2470" s="2"/>
      <c r="H2470" s="2"/>
      <c r="L2470" s="55"/>
      <c r="M2470" s="55"/>
    </row>
    <row r="2471" spans="3:13" x14ac:dyDescent="0.2">
      <c r="C2471" s="49"/>
      <c r="G2471" s="2"/>
      <c r="H2471" s="2"/>
      <c r="L2471" s="55"/>
      <c r="M2471" s="55"/>
    </row>
    <row r="2472" spans="3:13" x14ac:dyDescent="0.2">
      <c r="C2472" s="49"/>
      <c r="G2472" s="2"/>
      <c r="H2472" s="2"/>
      <c r="L2472" s="55"/>
      <c r="M2472" s="55"/>
    </row>
    <row r="2473" spans="3:13" x14ac:dyDescent="0.2">
      <c r="C2473" s="49"/>
      <c r="G2473" s="2"/>
      <c r="H2473" s="2"/>
      <c r="L2473" s="55"/>
      <c r="M2473" s="55"/>
    </row>
    <row r="2474" spans="3:13" x14ac:dyDescent="0.2">
      <c r="C2474" s="49"/>
      <c r="G2474" s="2"/>
      <c r="H2474" s="2"/>
      <c r="L2474" s="55"/>
      <c r="M2474" s="55"/>
    </row>
    <row r="2475" spans="3:13" x14ac:dyDescent="0.2">
      <c r="C2475" s="49"/>
      <c r="G2475" s="2"/>
      <c r="H2475" s="2"/>
      <c r="L2475" s="55"/>
      <c r="M2475" s="55"/>
    </row>
    <row r="2476" spans="3:13" x14ac:dyDescent="0.2">
      <c r="C2476" s="49"/>
      <c r="G2476" s="2"/>
      <c r="H2476" s="2"/>
      <c r="L2476" s="55"/>
      <c r="M2476" s="55"/>
    </row>
    <row r="2477" spans="3:13" x14ac:dyDescent="0.2">
      <c r="C2477" s="49"/>
      <c r="G2477" s="2"/>
      <c r="H2477" s="2"/>
      <c r="L2477" s="55"/>
      <c r="M2477" s="55"/>
    </row>
    <row r="2478" spans="3:13" x14ac:dyDescent="0.2">
      <c r="C2478" s="49"/>
      <c r="G2478" s="2"/>
      <c r="H2478" s="2"/>
      <c r="L2478" s="55"/>
      <c r="M2478" s="55"/>
    </row>
    <row r="2479" spans="3:13" x14ac:dyDescent="0.2">
      <c r="C2479" s="49"/>
      <c r="G2479" s="2"/>
      <c r="H2479" s="2"/>
      <c r="L2479" s="55"/>
      <c r="M2479" s="55"/>
    </row>
    <row r="2480" spans="3:13" x14ac:dyDescent="0.2">
      <c r="C2480" s="49"/>
      <c r="G2480" s="2"/>
      <c r="H2480" s="2"/>
      <c r="L2480" s="55"/>
      <c r="M2480" s="55"/>
    </row>
    <row r="2481" spans="3:13" x14ac:dyDescent="0.2">
      <c r="C2481" s="49"/>
      <c r="G2481" s="2"/>
      <c r="H2481" s="2"/>
      <c r="L2481" s="55"/>
      <c r="M2481" s="55"/>
    </row>
    <row r="2482" spans="3:13" x14ac:dyDescent="0.2">
      <c r="C2482" s="49"/>
      <c r="G2482" s="2"/>
      <c r="H2482" s="2"/>
      <c r="L2482" s="55"/>
      <c r="M2482" s="55"/>
    </row>
    <row r="2483" spans="3:13" x14ac:dyDescent="0.2">
      <c r="C2483" s="49"/>
      <c r="G2483" s="2"/>
      <c r="H2483" s="2"/>
      <c r="L2483" s="55"/>
      <c r="M2483" s="55"/>
    </row>
    <row r="2484" spans="3:13" x14ac:dyDescent="0.2">
      <c r="C2484" s="49"/>
      <c r="G2484" s="2"/>
      <c r="H2484" s="2"/>
      <c r="L2484" s="55"/>
      <c r="M2484" s="55"/>
    </row>
    <row r="2485" spans="3:13" x14ac:dyDescent="0.2">
      <c r="C2485" s="49"/>
      <c r="G2485" s="2"/>
      <c r="H2485" s="2"/>
      <c r="L2485" s="55"/>
      <c r="M2485" s="55"/>
    </row>
    <row r="2486" spans="3:13" x14ac:dyDescent="0.2">
      <c r="C2486" s="49"/>
      <c r="G2486" s="2"/>
      <c r="H2486" s="2"/>
      <c r="L2486" s="55"/>
      <c r="M2486" s="55"/>
    </row>
    <row r="2487" spans="3:13" x14ac:dyDescent="0.2">
      <c r="C2487" s="49"/>
      <c r="G2487" s="2"/>
      <c r="H2487" s="2"/>
      <c r="L2487" s="55"/>
      <c r="M2487" s="55"/>
    </row>
    <row r="2488" spans="3:13" x14ac:dyDescent="0.2">
      <c r="C2488" s="49"/>
      <c r="G2488" s="2"/>
      <c r="H2488" s="2"/>
      <c r="L2488" s="55"/>
      <c r="M2488" s="55"/>
    </row>
    <row r="2489" spans="3:13" x14ac:dyDescent="0.2">
      <c r="C2489" s="49"/>
      <c r="G2489" s="2"/>
      <c r="H2489" s="2"/>
      <c r="L2489" s="55"/>
      <c r="M2489" s="55"/>
    </row>
    <row r="2490" spans="3:13" x14ac:dyDescent="0.2">
      <c r="C2490" s="49"/>
      <c r="G2490" s="2"/>
      <c r="H2490" s="2"/>
      <c r="L2490" s="55"/>
      <c r="M2490" s="55"/>
    </row>
    <row r="2491" spans="3:13" x14ac:dyDescent="0.2">
      <c r="C2491" s="49"/>
      <c r="G2491" s="2"/>
      <c r="H2491" s="2"/>
      <c r="L2491" s="55"/>
      <c r="M2491" s="55"/>
    </row>
    <row r="2492" spans="3:13" x14ac:dyDescent="0.2">
      <c r="C2492" s="49"/>
      <c r="G2492" s="2"/>
      <c r="H2492" s="2"/>
      <c r="L2492" s="55"/>
      <c r="M2492" s="55"/>
    </row>
    <row r="2493" spans="3:13" x14ac:dyDescent="0.2">
      <c r="C2493" s="49"/>
      <c r="G2493" s="2"/>
      <c r="H2493" s="2"/>
      <c r="L2493" s="55"/>
      <c r="M2493" s="55"/>
    </row>
    <row r="2494" spans="3:13" x14ac:dyDescent="0.2">
      <c r="C2494" s="49"/>
      <c r="G2494" s="2"/>
      <c r="H2494" s="2"/>
      <c r="L2494" s="55"/>
      <c r="M2494" s="55"/>
    </row>
    <row r="2495" spans="3:13" x14ac:dyDescent="0.2">
      <c r="C2495" s="49"/>
      <c r="G2495" s="2"/>
      <c r="H2495" s="2"/>
      <c r="L2495" s="55"/>
      <c r="M2495" s="55"/>
    </row>
    <row r="2496" spans="3:13" x14ac:dyDescent="0.2">
      <c r="C2496" s="49"/>
      <c r="G2496" s="2"/>
      <c r="H2496" s="2"/>
      <c r="L2496" s="55"/>
      <c r="M2496" s="55"/>
    </row>
    <row r="2497" spans="3:13" x14ac:dyDescent="0.2">
      <c r="C2497" s="49"/>
      <c r="G2497" s="2"/>
      <c r="H2497" s="2"/>
      <c r="L2497" s="55"/>
      <c r="M2497" s="55"/>
    </row>
    <row r="2498" spans="3:13" x14ac:dyDescent="0.2">
      <c r="C2498" s="49"/>
      <c r="G2498" s="2"/>
      <c r="H2498" s="2"/>
      <c r="L2498" s="55"/>
      <c r="M2498" s="55"/>
    </row>
    <row r="2499" spans="3:13" x14ac:dyDescent="0.2">
      <c r="C2499" s="49"/>
      <c r="G2499" s="2"/>
      <c r="H2499" s="2"/>
      <c r="L2499" s="55"/>
      <c r="M2499" s="55"/>
    </row>
    <row r="2500" spans="3:13" x14ac:dyDescent="0.2">
      <c r="C2500" s="49"/>
      <c r="G2500" s="2"/>
      <c r="H2500" s="2"/>
      <c r="L2500" s="55"/>
      <c r="M2500" s="55"/>
    </row>
    <row r="2501" spans="3:13" x14ac:dyDescent="0.2">
      <c r="C2501" s="49"/>
      <c r="G2501" s="2"/>
      <c r="H2501" s="2"/>
      <c r="L2501" s="55"/>
      <c r="M2501" s="55"/>
    </row>
    <row r="2502" spans="3:13" x14ac:dyDescent="0.2">
      <c r="C2502" s="49"/>
      <c r="G2502" s="2"/>
      <c r="H2502" s="2"/>
      <c r="L2502" s="55"/>
      <c r="M2502" s="55"/>
    </row>
    <row r="2503" spans="3:13" x14ac:dyDescent="0.2">
      <c r="C2503" s="49"/>
      <c r="G2503" s="2"/>
      <c r="H2503" s="2"/>
      <c r="L2503" s="55"/>
      <c r="M2503" s="55"/>
    </row>
    <row r="2504" spans="3:13" x14ac:dyDescent="0.2">
      <c r="C2504" s="49"/>
      <c r="G2504" s="2"/>
      <c r="H2504" s="2"/>
      <c r="L2504" s="55"/>
      <c r="M2504" s="55"/>
    </row>
    <row r="2505" spans="3:13" x14ac:dyDescent="0.2">
      <c r="C2505" s="49"/>
      <c r="G2505" s="2"/>
      <c r="H2505" s="2"/>
      <c r="L2505" s="55"/>
      <c r="M2505" s="55"/>
    </row>
    <row r="2506" spans="3:13" x14ac:dyDescent="0.2">
      <c r="C2506" s="49"/>
      <c r="G2506" s="2"/>
      <c r="H2506" s="2"/>
      <c r="L2506" s="55"/>
      <c r="M2506" s="55"/>
    </row>
    <row r="2507" spans="3:13" x14ac:dyDescent="0.2">
      <c r="C2507" s="49"/>
      <c r="G2507" s="2"/>
      <c r="H2507" s="2"/>
      <c r="L2507" s="55"/>
      <c r="M2507" s="55"/>
    </row>
    <row r="2508" spans="3:13" x14ac:dyDescent="0.2">
      <c r="C2508" s="49"/>
      <c r="G2508" s="2"/>
      <c r="H2508" s="2"/>
      <c r="L2508" s="55"/>
      <c r="M2508" s="55"/>
    </row>
    <row r="2509" spans="3:13" x14ac:dyDescent="0.2">
      <c r="C2509" s="49"/>
      <c r="G2509" s="2"/>
      <c r="H2509" s="2"/>
      <c r="L2509" s="55"/>
      <c r="M2509" s="55"/>
    </row>
    <row r="2510" spans="3:13" x14ac:dyDescent="0.2">
      <c r="C2510" s="49"/>
      <c r="G2510" s="2"/>
      <c r="H2510" s="2"/>
      <c r="L2510" s="55"/>
      <c r="M2510" s="55"/>
    </row>
    <row r="2511" spans="3:13" x14ac:dyDescent="0.2">
      <c r="C2511" s="49"/>
      <c r="G2511" s="2"/>
      <c r="H2511" s="2"/>
      <c r="L2511" s="55"/>
      <c r="M2511" s="55"/>
    </row>
    <row r="2512" spans="3:13" x14ac:dyDescent="0.2">
      <c r="C2512" s="49"/>
      <c r="G2512" s="2"/>
      <c r="H2512" s="2"/>
      <c r="L2512" s="55"/>
      <c r="M2512" s="55"/>
    </row>
    <row r="2513" spans="3:13" x14ac:dyDescent="0.2">
      <c r="C2513" s="49"/>
      <c r="G2513" s="2"/>
      <c r="H2513" s="2"/>
      <c r="L2513" s="55"/>
      <c r="M2513" s="55"/>
    </row>
    <row r="2514" spans="3:13" x14ac:dyDescent="0.2">
      <c r="C2514" s="49"/>
      <c r="G2514" s="2"/>
      <c r="H2514" s="2"/>
      <c r="L2514" s="55"/>
      <c r="M2514" s="55"/>
    </row>
    <row r="2515" spans="3:13" x14ac:dyDescent="0.2">
      <c r="C2515" s="49"/>
      <c r="G2515" s="2"/>
      <c r="H2515" s="2"/>
      <c r="L2515" s="55"/>
      <c r="M2515" s="55"/>
    </row>
    <row r="2516" spans="3:13" x14ac:dyDescent="0.2">
      <c r="C2516" s="49"/>
      <c r="G2516" s="2"/>
      <c r="H2516" s="2"/>
      <c r="L2516" s="55"/>
      <c r="M2516" s="55"/>
    </row>
    <row r="2517" spans="3:13" x14ac:dyDescent="0.2">
      <c r="C2517" s="49"/>
      <c r="G2517" s="2"/>
      <c r="H2517" s="2"/>
      <c r="L2517" s="55"/>
      <c r="M2517" s="55"/>
    </row>
    <row r="2518" spans="3:13" x14ac:dyDescent="0.2">
      <c r="C2518" s="49"/>
      <c r="G2518" s="2"/>
      <c r="H2518" s="2"/>
      <c r="L2518" s="55"/>
      <c r="M2518" s="55"/>
    </row>
    <row r="2519" spans="3:13" x14ac:dyDescent="0.2">
      <c r="C2519" s="49"/>
      <c r="G2519" s="2"/>
      <c r="H2519" s="2"/>
      <c r="L2519" s="55"/>
      <c r="M2519" s="55"/>
    </row>
    <row r="2520" spans="3:13" x14ac:dyDescent="0.2">
      <c r="C2520" s="49"/>
      <c r="G2520" s="2"/>
      <c r="H2520" s="2"/>
      <c r="L2520" s="55"/>
      <c r="M2520" s="55"/>
    </row>
    <row r="2521" spans="3:13" x14ac:dyDescent="0.2">
      <c r="C2521" s="49"/>
      <c r="G2521" s="2"/>
      <c r="H2521" s="2"/>
      <c r="L2521" s="55"/>
      <c r="M2521" s="55"/>
    </row>
    <row r="2522" spans="3:13" x14ac:dyDescent="0.2">
      <c r="C2522" s="49"/>
      <c r="G2522" s="2"/>
      <c r="H2522" s="2"/>
      <c r="L2522" s="55"/>
      <c r="M2522" s="55"/>
    </row>
    <row r="2523" spans="3:13" x14ac:dyDescent="0.2">
      <c r="C2523" s="49"/>
      <c r="G2523" s="2"/>
      <c r="H2523" s="2"/>
      <c r="L2523" s="55"/>
      <c r="M2523" s="55"/>
    </row>
    <row r="2524" spans="3:13" x14ac:dyDescent="0.2">
      <c r="C2524" s="49"/>
      <c r="G2524" s="2"/>
      <c r="H2524" s="2"/>
      <c r="L2524" s="55"/>
      <c r="M2524" s="55"/>
    </row>
    <row r="2525" spans="3:13" x14ac:dyDescent="0.2">
      <c r="C2525" s="49"/>
      <c r="G2525" s="2"/>
      <c r="H2525" s="2"/>
      <c r="L2525" s="55"/>
      <c r="M2525" s="55"/>
    </row>
    <row r="2526" spans="3:13" x14ac:dyDescent="0.2">
      <c r="C2526" s="49"/>
      <c r="G2526" s="2"/>
      <c r="H2526" s="2"/>
      <c r="L2526" s="55"/>
      <c r="M2526" s="55"/>
    </row>
    <row r="2527" spans="3:13" x14ac:dyDescent="0.2">
      <c r="C2527" s="49"/>
      <c r="G2527" s="2"/>
      <c r="H2527" s="2"/>
      <c r="L2527" s="55"/>
      <c r="M2527" s="55"/>
    </row>
    <row r="2528" spans="3:13" x14ac:dyDescent="0.2">
      <c r="C2528" s="49"/>
      <c r="G2528" s="2"/>
      <c r="H2528" s="2"/>
      <c r="L2528" s="55"/>
      <c r="M2528" s="55"/>
    </row>
    <row r="2529" spans="3:13" x14ac:dyDescent="0.2">
      <c r="C2529" s="49"/>
      <c r="G2529" s="2"/>
      <c r="H2529" s="2"/>
      <c r="L2529" s="55"/>
      <c r="M2529" s="55"/>
    </row>
    <row r="2530" spans="3:13" x14ac:dyDescent="0.2">
      <c r="C2530" s="49"/>
      <c r="G2530" s="2"/>
      <c r="H2530" s="2"/>
      <c r="L2530" s="55"/>
      <c r="M2530" s="55"/>
    </row>
    <row r="2531" spans="3:13" x14ac:dyDescent="0.2">
      <c r="C2531" s="49"/>
      <c r="G2531" s="2"/>
      <c r="H2531" s="2"/>
      <c r="L2531" s="55"/>
      <c r="M2531" s="55"/>
    </row>
    <row r="2532" spans="3:13" x14ac:dyDescent="0.2">
      <c r="C2532" s="49"/>
      <c r="G2532" s="2"/>
      <c r="H2532" s="2"/>
      <c r="L2532" s="55"/>
      <c r="M2532" s="55"/>
    </row>
    <row r="2533" spans="3:13" x14ac:dyDescent="0.2">
      <c r="C2533" s="49"/>
      <c r="G2533" s="2"/>
      <c r="H2533" s="2"/>
      <c r="L2533" s="55"/>
      <c r="M2533" s="55"/>
    </row>
    <row r="2534" spans="3:13" x14ac:dyDescent="0.2">
      <c r="C2534" s="49"/>
      <c r="G2534" s="2"/>
      <c r="H2534" s="2"/>
      <c r="L2534" s="55"/>
      <c r="M2534" s="55"/>
    </row>
    <row r="2535" spans="3:13" x14ac:dyDescent="0.2">
      <c r="C2535" s="49"/>
      <c r="G2535" s="2"/>
      <c r="H2535" s="2"/>
      <c r="L2535" s="55"/>
      <c r="M2535" s="55"/>
    </row>
    <row r="2536" spans="3:13" x14ac:dyDescent="0.2">
      <c r="C2536" s="49"/>
      <c r="G2536" s="2"/>
      <c r="H2536" s="2"/>
      <c r="L2536" s="55"/>
      <c r="M2536" s="55"/>
    </row>
    <row r="2537" spans="3:13" x14ac:dyDescent="0.2">
      <c r="C2537" s="49"/>
      <c r="G2537" s="2"/>
      <c r="H2537" s="2"/>
      <c r="L2537" s="55"/>
      <c r="M2537" s="55"/>
    </row>
    <row r="2538" spans="3:13" x14ac:dyDescent="0.2">
      <c r="C2538" s="49"/>
      <c r="G2538" s="2"/>
      <c r="H2538" s="2"/>
      <c r="L2538" s="55"/>
      <c r="M2538" s="55"/>
    </row>
    <row r="2539" spans="3:13" x14ac:dyDescent="0.2">
      <c r="C2539" s="49"/>
      <c r="G2539" s="2"/>
      <c r="H2539" s="2"/>
      <c r="L2539" s="55"/>
      <c r="M2539" s="55"/>
    </row>
    <row r="2540" spans="3:13" x14ac:dyDescent="0.2">
      <c r="C2540" s="49"/>
      <c r="G2540" s="2"/>
      <c r="H2540" s="2"/>
      <c r="L2540" s="55"/>
      <c r="M2540" s="55"/>
    </row>
    <row r="2541" spans="3:13" x14ac:dyDescent="0.2">
      <c r="C2541" s="49"/>
      <c r="G2541" s="2"/>
      <c r="H2541" s="2"/>
      <c r="L2541" s="55"/>
      <c r="M2541" s="55"/>
    </row>
    <row r="2542" spans="3:13" x14ac:dyDescent="0.2">
      <c r="C2542" s="49"/>
      <c r="G2542" s="2"/>
      <c r="H2542" s="2"/>
      <c r="L2542" s="55"/>
      <c r="M2542" s="55"/>
    </row>
    <row r="2543" spans="3:13" x14ac:dyDescent="0.2">
      <c r="C2543" s="49"/>
      <c r="G2543" s="2"/>
      <c r="H2543" s="2"/>
      <c r="L2543" s="55"/>
      <c r="M2543" s="55"/>
    </row>
    <row r="2544" spans="3:13" x14ac:dyDescent="0.2">
      <c r="C2544" s="49"/>
      <c r="G2544" s="2"/>
      <c r="H2544" s="2"/>
      <c r="L2544" s="55"/>
      <c r="M2544" s="55"/>
    </row>
    <row r="2545" spans="3:13" x14ac:dyDescent="0.2">
      <c r="C2545" s="49"/>
      <c r="G2545" s="2"/>
      <c r="H2545" s="2"/>
      <c r="L2545" s="55"/>
      <c r="M2545" s="55"/>
    </row>
    <row r="2546" spans="3:13" x14ac:dyDescent="0.2">
      <c r="C2546" s="49"/>
      <c r="G2546" s="2"/>
      <c r="H2546" s="2"/>
      <c r="L2546" s="55"/>
      <c r="M2546" s="55"/>
    </row>
    <row r="2547" spans="3:13" x14ac:dyDescent="0.2">
      <c r="C2547" s="49"/>
      <c r="G2547" s="2"/>
      <c r="H2547" s="2"/>
      <c r="L2547" s="55"/>
      <c r="M2547" s="55"/>
    </row>
    <row r="2548" spans="3:13" x14ac:dyDescent="0.2">
      <c r="C2548" s="49"/>
      <c r="G2548" s="2"/>
      <c r="H2548" s="2"/>
      <c r="L2548" s="55"/>
      <c r="M2548" s="55"/>
    </row>
    <row r="2549" spans="3:13" x14ac:dyDescent="0.2">
      <c r="C2549" s="49"/>
      <c r="G2549" s="2"/>
      <c r="H2549" s="2"/>
      <c r="L2549" s="55"/>
      <c r="M2549" s="55"/>
    </row>
    <row r="2550" spans="3:13" x14ac:dyDescent="0.2">
      <c r="C2550" s="49"/>
      <c r="G2550" s="2"/>
      <c r="H2550" s="2"/>
      <c r="L2550" s="55"/>
      <c r="M2550" s="55"/>
    </row>
    <row r="2551" spans="3:13" x14ac:dyDescent="0.2">
      <c r="C2551" s="49"/>
      <c r="G2551" s="2"/>
      <c r="H2551" s="2"/>
      <c r="L2551" s="55"/>
      <c r="M2551" s="55"/>
    </row>
    <row r="2552" spans="3:13" x14ac:dyDescent="0.2">
      <c r="C2552" s="49"/>
      <c r="G2552" s="2"/>
      <c r="H2552" s="2"/>
      <c r="L2552" s="55"/>
      <c r="M2552" s="55"/>
    </row>
    <row r="2553" spans="3:13" x14ac:dyDescent="0.2">
      <c r="C2553" s="49"/>
      <c r="G2553" s="2"/>
      <c r="H2553" s="2"/>
      <c r="L2553" s="55"/>
      <c r="M2553" s="55"/>
    </row>
    <row r="2554" spans="3:13" x14ac:dyDescent="0.2">
      <c r="C2554" s="49"/>
      <c r="G2554" s="2"/>
      <c r="H2554" s="2"/>
      <c r="L2554" s="55"/>
      <c r="M2554" s="55"/>
    </row>
    <row r="2555" spans="3:13" x14ac:dyDescent="0.2">
      <c r="C2555" s="49"/>
      <c r="G2555" s="2"/>
      <c r="H2555" s="2"/>
      <c r="L2555" s="55"/>
      <c r="M2555" s="55"/>
    </row>
    <row r="2556" spans="3:13" x14ac:dyDescent="0.2">
      <c r="C2556" s="49"/>
      <c r="G2556" s="2"/>
      <c r="H2556" s="2"/>
      <c r="L2556" s="55"/>
      <c r="M2556" s="55"/>
    </row>
    <row r="2557" spans="3:13" x14ac:dyDescent="0.2">
      <c r="C2557" s="49"/>
      <c r="G2557" s="2"/>
      <c r="H2557" s="2"/>
      <c r="L2557" s="55"/>
      <c r="M2557" s="55"/>
    </row>
    <row r="2558" spans="3:13" x14ac:dyDescent="0.2">
      <c r="C2558" s="49"/>
      <c r="G2558" s="2"/>
      <c r="H2558" s="2"/>
      <c r="L2558" s="55"/>
      <c r="M2558" s="55"/>
    </row>
    <row r="2559" spans="3:13" x14ac:dyDescent="0.2">
      <c r="C2559" s="49"/>
      <c r="G2559" s="2"/>
      <c r="H2559" s="2"/>
      <c r="L2559" s="55"/>
      <c r="M2559" s="55"/>
    </row>
    <row r="2560" spans="3:13" x14ac:dyDescent="0.2">
      <c r="C2560" s="49"/>
      <c r="G2560" s="2"/>
      <c r="H2560" s="2"/>
      <c r="L2560" s="55"/>
      <c r="M2560" s="55"/>
    </row>
    <row r="2561" spans="3:13" x14ac:dyDescent="0.2">
      <c r="C2561" s="49"/>
      <c r="G2561" s="2"/>
      <c r="H2561" s="2"/>
      <c r="L2561" s="55"/>
      <c r="M2561" s="55"/>
    </row>
    <row r="2562" spans="3:13" x14ac:dyDescent="0.2">
      <c r="C2562" s="49"/>
      <c r="G2562" s="2"/>
      <c r="H2562" s="2"/>
      <c r="L2562" s="55"/>
      <c r="M2562" s="55"/>
    </row>
    <row r="2563" spans="3:13" x14ac:dyDescent="0.2">
      <c r="C2563" s="49"/>
      <c r="G2563" s="2"/>
      <c r="H2563" s="2"/>
      <c r="L2563" s="55"/>
      <c r="M2563" s="55"/>
    </row>
    <row r="2564" spans="3:13" x14ac:dyDescent="0.2">
      <c r="C2564" s="49"/>
      <c r="G2564" s="2"/>
      <c r="H2564" s="2"/>
      <c r="L2564" s="55"/>
      <c r="M2564" s="55"/>
    </row>
    <row r="2565" spans="3:13" x14ac:dyDescent="0.2">
      <c r="C2565" s="49"/>
      <c r="G2565" s="2"/>
      <c r="H2565" s="2"/>
      <c r="L2565" s="55"/>
      <c r="M2565" s="55"/>
    </row>
    <row r="2566" spans="3:13" x14ac:dyDescent="0.2">
      <c r="C2566" s="49"/>
      <c r="G2566" s="2"/>
      <c r="H2566" s="2"/>
      <c r="L2566" s="55"/>
      <c r="M2566" s="55"/>
    </row>
    <row r="2567" spans="3:13" x14ac:dyDescent="0.2">
      <c r="C2567" s="49"/>
      <c r="G2567" s="2"/>
      <c r="H2567" s="2"/>
      <c r="L2567" s="55"/>
      <c r="M2567" s="55"/>
    </row>
    <row r="2568" spans="3:13" x14ac:dyDescent="0.2">
      <c r="C2568" s="49"/>
      <c r="G2568" s="2"/>
      <c r="H2568" s="2"/>
      <c r="L2568" s="55"/>
      <c r="M2568" s="55"/>
    </row>
    <row r="2569" spans="3:13" x14ac:dyDescent="0.2">
      <c r="C2569" s="49"/>
      <c r="G2569" s="2"/>
      <c r="H2569" s="2"/>
      <c r="L2569" s="55"/>
      <c r="M2569" s="55"/>
    </row>
    <row r="2570" spans="3:13" x14ac:dyDescent="0.2">
      <c r="C2570" s="49"/>
      <c r="G2570" s="2"/>
      <c r="H2570" s="2"/>
      <c r="L2570" s="55"/>
      <c r="M2570" s="55"/>
    </row>
    <row r="2571" spans="3:13" x14ac:dyDescent="0.2">
      <c r="C2571" s="49"/>
      <c r="G2571" s="2"/>
      <c r="H2571" s="2"/>
      <c r="L2571" s="55"/>
      <c r="M2571" s="55"/>
    </row>
    <row r="2572" spans="3:13" x14ac:dyDescent="0.2">
      <c r="C2572" s="49"/>
      <c r="G2572" s="2"/>
      <c r="H2572" s="2"/>
      <c r="L2572" s="55"/>
      <c r="M2572" s="55"/>
    </row>
    <row r="2573" spans="3:13" x14ac:dyDescent="0.2">
      <c r="C2573" s="49"/>
      <c r="G2573" s="2"/>
      <c r="H2573" s="2"/>
      <c r="L2573" s="55"/>
      <c r="M2573" s="55"/>
    </row>
    <row r="2574" spans="3:13" x14ac:dyDescent="0.2">
      <c r="C2574" s="49"/>
      <c r="G2574" s="2"/>
      <c r="H2574" s="2"/>
      <c r="L2574" s="55"/>
      <c r="M2574" s="55"/>
    </row>
    <row r="2575" spans="3:13" x14ac:dyDescent="0.2">
      <c r="C2575" s="49"/>
      <c r="G2575" s="2"/>
      <c r="H2575" s="2"/>
      <c r="L2575" s="55"/>
      <c r="M2575" s="55"/>
    </row>
    <row r="2576" spans="3:13" x14ac:dyDescent="0.2">
      <c r="C2576" s="49"/>
      <c r="G2576" s="2"/>
      <c r="H2576" s="2"/>
      <c r="L2576" s="55"/>
      <c r="M2576" s="55"/>
    </row>
    <row r="2577" spans="3:13" x14ac:dyDescent="0.2">
      <c r="C2577" s="49"/>
      <c r="G2577" s="2"/>
      <c r="H2577" s="2"/>
      <c r="L2577" s="55"/>
      <c r="M2577" s="55"/>
    </row>
    <row r="2578" spans="3:13" x14ac:dyDescent="0.2">
      <c r="C2578" s="49"/>
      <c r="G2578" s="2"/>
      <c r="H2578" s="2"/>
      <c r="L2578" s="55"/>
      <c r="M2578" s="55"/>
    </row>
    <row r="2579" spans="3:13" x14ac:dyDescent="0.2">
      <c r="C2579" s="49"/>
      <c r="G2579" s="2"/>
      <c r="H2579" s="2"/>
      <c r="L2579" s="55"/>
      <c r="M2579" s="55"/>
    </row>
    <row r="2580" spans="3:13" x14ac:dyDescent="0.2">
      <c r="C2580" s="49"/>
      <c r="G2580" s="2"/>
      <c r="H2580" s="2"/>
      <c r="L2580" s="55"/>
      <c r="M2580" s="55"/>
    </row>
    <row r="2581" spans="3:13" x14ac:dyDescent="0.2">
      <c r="C2581" s="49"/>
      <c r="G2581" s="2"/>
      <c r="H2581" s="2"/>
      <c r="L2581" s="55"/>
      <c r="M2581" s="55"/>
    </row>
    <row r="2582" spans="3:13" x14ac:dyDescent="0.2">
      <c r="C2582" s="49"/>
      <c r="G2582" s="2"/>
      <c r="H2582" s="2"/>
      <c r="L2582" s="55"/>
      <c r="M2582" s="55"/>
    </row>
    <row r="2583" spans="3:13" x14ac:dyDescent="0.2">
      <c r="C2583" s="49"/>
      <c r="G2583" s="2"/>
      <c r="H2583" s="2"/>
      <c r="L2583" s="55"/>
      <c r="M2583" s="55"/>
    </row>
    <row r="2584" spans="3:13" x14ac:dyDescent="0.2">
      <c r="C2584" s="49"/>
      <c r="G2584" s="2"/>
      <c r="H2584" s="2"/>
      <c r="L2584" s="55"/>
      <c r="M2584" s="55"/>
    </row>
    <row r="2585" spans="3:13" x14ac:dyDescent="0.2">
      <c r="C2585" s="49"/>
      <c r="G2585" s="2"/>
      <c r="H2585" s="2"/>
      <c r="L2585" s="55"/>
      <c r="M2585" s="55"/>
    </row>
    <row r="2586" spans="3:13" x14ac:dyDescent="0.2">
      <c r="C2586" s="49"/>
      <c r="G2586" s="2"/>
      <c r="H2586" s="2"/>
      <c r="L2586" s="55"/>
      <c r="M2586" s="55"/>
    </row>
    <row r="2587" spans="3:13" x14ac:dyDescent="0.2">
      <c r="C2587" s="49"/>
      <c r="G2587" s="2"/>
      <c r="H2587" s="2"/>
      <c r="L2587" s="55"/>
      <c r="M2587" s="55"/>
    </row>
    <row r="2588" spans="3:13" x14ac:dyDescent="0.2">
      <c r="C2588" s="49"/>
      <c r="G2588" s="2"/>
      <c r="H2588" s="2"/>
      <c r="L2588" s="55"/>
      <c r="M2588" s="55"/>
    </row>
    <row r="2589" spans="3:13" x14ac:dyDescent="0.2">
      <c r="C2589" s="49"/>
      <c r="G2589" s="2"/>
      <c r="H2589" s="2"/>
      <c r="L2589" s="55"/>
      <c r="M2589" s="55"/>
    </row>
    <row r="2590" spans="3:13" x14ac:dyDescent="0.2">
      <c r="C2590" s="49"/>
      <c r="G2590" s="2"/>
      <c r="H2590" s="2"/>
      <c r="L2590" s="55"/>
      <c r="M2590" s="55"/>
    </row>
    <row r="2591" spans="3:13" x14ac:dyDescent="0.2">
      <c r="C2591" s="49"/>
      <c r="G2591" s="2"/>
      <c r="H2591" s="2"/>
      <c r="L2591" s="55"/>
      <c r="M2591" s="55"/>
    </row>
    <row r="2592" spans="3:13" x14ac:dyDescent="0.2">
      <c r="C2592" s="49"/>
      <c r="G2592" s="2"/>
      <c r="H2592" s="2"/>
      <c r="L2592" s="55"/>
      <c r="M2592" s="55"/>
    </row>
    <row r="2593" spans="3:13" x14ac:dyDescent="0.2">
      <c r="C2593" s="49"/>
      <c r="G2593" s="2"/>
      <c r="H2593" s="2"/>
      <c r="L2593" s="55"/>
      <c r="M2593" s="55"/>
    </row>
    <row r="2594" spans="3:13" x14ac:dyDescent="0.2">
      <c r="C2594" s="49"/>
      <c r="G2594" s="2"/>
      <c r="H2594" s="2"/>
      <c r="L2594" s="55"/>
      <c r="M2594" s="55"/>
    </row>
    <row r="2595" spans="3:13" x14ac:dyDescent="0.2">
      <c r="C2595" s="49"/>
      <c r="G2595" s="2"/>
      <c r="H2595" s="2"/>
      <c r="L2595" s="55"/>
      <c r="M2595" s="55"/>
    </row>
    <row r="2596" spans="3:13" x14ac:dyDescent="0.2">
      <c r="C2596" s="49"/>
      <c r="G2596" s="2"/>
      <c r="H2596" s="2"/>
      <c r="L2596" s="55"/>
      <c r="M2596" s="55"/>
    </row>
    <row r="2597" spans="3:13" x14ac:dyDescent="0.2">
      <c r="C2597" s="49"/>
      <c r="G2597" s="2"/>
      <c r="H2597" s="2"/>
      <c r="L2597" s="55"/>
      <c r="M2597" s="55"/>
    </row>
    <row r="2598" spans="3:13" x14ac:dyDescent="0.2">
      <c r="C2598" s="49"/>
      <c r="G2598" s="2"/>
      <c r="H2598" s="2"/>
      <c r="L2598" s="55"/>
      <c r="M2598" s="55"/>
    </row>
    <row r="2599" spans="3:13" x14ac:dyDescent="0.2">
      <c r="C2599" s="49"/>
      <c r="G2599" s="2"/>
      <c r="H2599" s="2"/>
      <c r="L2599" s="55"/>
      <c r="M2599" s="55"/>
    </row>
    <row r="2600" spans="3:13" x14ac:dyDescent="0.2">
      <c r="C2600" s="49"/>
      <c r="G2600" s="2"/>
      <c r="H2600" s="2"/>
      <c r="L2600" s="55"/>
      <c r="M2600" s="55"/>
    </row>
    <row r="2601" spans="3:13" x14ac:dyDescent="0.2">
      <c r="C2601" s="49"/>
      <c r="G2601" s="2"/>
      <c r="H2601" s="2"/>
      <c r="L2601" s="55"/>
      <c r="M2601" s="55"/>
    </row>
    <row r="2602" spans="3:13" x14ac:dyDescent="0.2">
      <c r="C2602" s="49"/>
      <c r="G2602" s="2"/>
      <c r="H2602" s="2"/>
      <c r="L2602" s="55"/>
      <c r="M2602" s="55"/>
    </row>
    <row r="2603" spans="3:13" x14ac:dyDescent="0.2">
      <c r="C2603" s="49"/>
      <c r="G2603" s="2"/>
      <c r="H2603" s="2"/>
      <c r="L2603" s="55"/>
      <c r="M2603" s="55"/>
    </row>
    <row r="2604" spans="3:13" x14ac:dyDescent="0.2">
      <c r="C2604" s="49"/>
      <c r="G2604" s="2"/>
      <c r="H2604" s="2"/>
      <c r="L2604" s="55"/>
      <c r="M2604" s="55"/>
    </row>
    <row r="2605" spans="3:13" x14ac:dyDescent="0.2">
      <c r="C2605" s="49"/>
      <c r="G2605" s="2"/>
      <c r="H2605" s="2"/>
      <c r="L2605" s="55"/>
      <c r="M2605" s="55"/>
    </row>
    <row r="2606" spans="3:13" x14ac:dyDescent="0.2">
      <c r="C2606" s="49"/>
      <c r="G2606" s="2"/>
      <c r="H2606" s="2"/>
      <c r="L2606" s="55"/>
      <c r="M2606" s="55"/>
    </row>
    <row r="2607" spans="3:13" x14ac:dyDescent="0.2">
      <c r="C2607" s="49"/>
      <c r="G2607" s="2"/>
      <c r="H2607" s="2"/>
      <c r="L2607" s="55"/>
      <c r="M2607" s="55"/>
    </row>
    <row r="2608" spans="3:13" x14ac:dyDescent="0.2">
      <c r="C2608" s="49"/>
      <c r="G2608" s="2"/>
      <c r="H2608" s="2"/>
      <c r="L2608" s="55"/>
      <c r="M2608" s="55"/>
    </row>
    <row r="2609" spans="3:13" x14ac:dyDescent="0.2">
      <c r="C2609" s="49"/>
      <c r="G2609" s="2"/>
      <c r="H2609" s="2"/>
      <c r="L2609" s="55"/>
      <c r="M2609" s="55"/>
    </row>
    <row r="2610" spans="3:13" x14ac:dyDescent="0.2">
      <c r="C2610" s="49"/>
      <c r="G2610" s="2"/>
      <c r="H2610" s="2"/>
      <c r="L2610" s="55"/>
      <c r="M2610" s="55"/>
    </row>
    <row r="2611" spans="3:13" x14ac:dyDescent="0.2">
      <c r="C2611" s="49"/>
      <c r="G2611" s="2"/>
      <c r="H2611" s="2"/>
      <c r="L2611" s="55"/>
      <c r="M2611" s="55"/>
    </row>
    <row r="2612" spans="3:13" x14ac:dyDescent="0.2">
      <c r="C2612" s="49"/>
      <c r="G2612" s="2"/>
      <c r="H2612" s="2"/>
      <c r="L2612" s="55"/>
      <c r="M2612" s="55"/>
    </row>
    <row r="2613" spans="3:13" x14ac:dyDescent="0.2">
      <c r="C2613" s="49"/>
      <c r="G2613" s="2"/>
      <c r="H2613" s="2"/>
      <c r="L2613" s="55"/>
      <c r="M2613" s="55"/>
    </row>
    <row r="2614" spans="3:13" x14ac:dyDescent="0.2">
      <c r="C2614" s="49"/>
      <c r="G2614" s="2"/>
      <c r="H2614" s="2"/>
      <c r="L2614" s="55"/>
      <c r="M2614" s="55"/>
    </row>
    <row r="2615" spans="3:13" x14ac:dyDescent="0.2">
      <c r="C2615" s="49"/>
      <c r="G2615" s="2"/>
      <c r="H2615" s="2"/>
      <c r="L2615" s="55"/>
      <c r="M2615" s="55"/>
    </row>
    <row r="2616" spans="3:13" x14ac:dyDescent="0.2">
      <c r="C2616" s="49"/>
      <c r="G2616" s="2"/>
      <c r="H2616" s="2"/>
      <c r="L2616" s="55"/>
      <c r="M2616" s="55"/>
    </row>
    <row r="2617" spans="3:13" x14ac:dyDescent="0.2">
      <c r="C2617" s="49"/>
      <c r="G2617" s="2"/>
      <c r="H2617" s="2"/>
      <c r="L2617" s="55"/>
      <c r="M2617" s="55"/>
    </row>
    <row r="2618" spans="3:13" x14ac:dyDescent="0.2">
      <c r="C2618" s="49"/>
      <c r="G2618" s="2"/>
      <c r="H2618" s="2"/>
      <c r="L2618" s="55"/>
      <c r="M2618" s="55"/>
    </row>
    <row r="2619" spans="3:13" x14ac:dyDescent="0.2">
      <c r="C2619" s="49"/>
      <c r="G2619" s="2"/>
      <c r="H2619" s="2"/>
      <c r="L2619" s="55"/>
      <c r="M2619" s="55"/>
    </row>
    <row r="2620" spans="3:13" x14ac:dyDescent="0.2">
      <c r="C2620" s="49"/>
      <c r="G2620" s="2"/>
      <c r="H2620" s="2"/>
      <c r="L2620" s="55"/>
      <c r="M2620" s="55"/>
    </row>
    <row r="2621" spans="3:13" x14ac:dyDescent="0.2">
      <c r="C2621" s="49"/>
      <c r="G2621" s="2"/>
      <c r="H2621" s="2"/>
      <c r="L2621" s="55"/>
      <c r="M2621" s="55"/>
    </row>
    <row r="2622" spans="3:13" x14ac:dyDescent="0.2">
      <c r="C2622" s="49"/>
      <c r="G2622" s="2"/>
      <c r="H2622" s="2"/>
      <c r="L2622" s="55"/>
      <c r="M2622" s="55"/>
    </row>
    <row r="2623" spans="3:13" x14ac:dyDescent="0.2">
      <c r="C2623" s="49"/>
      <c r="G2623" s="2"/>
      <c r="H2623" s="2"/>
      <c r="L2623" s="55"/>
      <c r="M2623" s="55"/>
    </row>
    <row r="2624" spans="3:13" x14ac:dyDescent="0.2">
      <c r="C2624" s="49"/>
      <c r="G2624" s="2"/>
      <c r="H2624" s="2"/>
      <c r="L2624" s="55"/>
      <c r="M2624" s="55"/>
    </row>
    <row r="2625" spans="3:13" x14ac:dyDescent="0.2">
      <c r="C2625" s="49"/>
      <c r="G2625" s="2"/>
      <c r="H2625" s="2"/>
      <c r="L2625" s="55"/>
      <c r="M2625" s="55"/>
    </row>
    <row r="2626" spans="3:13" x14ac:dyDescent="0.2">
      <c r="C2626" s="49"/>
      <c r="G2626" s="2"/>
      <c r="H2626" s="2"/>
      <c r="L2626" s="55"/>
      <c r="M2626" s="55"/>
    </row>
    <row r="2627" spans="3:13" x14ac:dyDescent="0.2">
      <c r="C2627" s="49"/>
      <c r="G2627" s="2"/>
      <c r="H2627" s="2"/>
      <c r="L2627" s="55"/>
      <c r="M2627" s="55"/>
    </row>
    <row r="2628" spans="3:13" x14ac:dyDescent="0.2">
      <c r="C2628" s="49"/>
      <c r="G2628" s="2"/>
      <c r="H2628" s="2"/>
      <c r="L2628" s="55"/>
      <c r="M2628" s="55"/>
    </row>
    <row r="2629" spans="3:13" x14ac:dyDescent="0.2">
      <c r="C2629" s="49"/>
      <c r="G2629" s="2"/>
      <c r="H2629" s="2"/>
      <c r="L2629" s="55"/>
      <c r="M2629" s="55"/>
    </row>
    <row r="2630" spans="3:13" x14ac:dyDescent="0.2">
      <c r="C2630" s="49"/>
      <c r="G2630" s="2"/>
      <c r="H2630" s="2"/>
      <c r="L2630" s="55"/>
      <c r="M2630" s="55"/>
    </row>
    <row r="2631" spans="3:13" x14ac:dyDescent="0.2">
      <c r="C2631" s="49"/>
      <c r="G2631" s="2"/>
      <c r="H2631" s="2"/>
      <c r="L2631" s="55"/>
      <c r="M2631" s="55"/>
    </row>
    <row r="2632" spans="3:13" x14ac:dyDescent="0.2">
      <c r="C2632" s="49"/>
      <c r="G2632" s="2"/>
      <c r="H2632" s="2"/>
      <c r="L2632" s="55"/>
      <c r="M2632" s="55"/>
    </row>
    <row r="2633" spans="3:13" x14ac:dyDescent="0.2">
      <c r="C2633" s="49"/>
      <c r="G2633" s="2"/>
      <c r="H2633" s="2"/>
      <c r="L2633" s="55"/>
      <c r="M2633" s="55"/>
    </row>
    <row r="2634" spans="3:13" x14ac:dyDescent="0.2">
      <c r="C2634" s="49"/>
      <c r="G2634" s="2"/>
      <c r="H2634" s="2"/>
      <c r="L2634" s="55"/>
      <c r="M2634" s="55"/>
    </row>
    <row r="2635" spans="3:13" x14ac:dyDescent="0.2">
      <c r="C2635" s="49"/>
      <c r="G2635" s="2"/>
      <c r="H2635" s="2"/>
      <c r="L2635" s="55"/>
      <c r="M2635" s="55"/>
    </row>
    <row r="2636" spans="3:13" x14ac:dyDescent="0.2">
      <c r="C2636" s="49"/>
      <c r="G2636" s="2"/>
      <c r="H2636" s="2"/>
      <c r="L2636" s="55"/>
      <c r="M2636" s="55"/>
    </row>
    <row r="2637" spans="3:13" x14ac:dyDescent="0.2">
      <c r="C2637" s="49"/>
      <c r="G2637" s="2"/>
      <c r="H2637" s="2"/>
      <c r="L2637" s="55"/>
      <c r="M2637" s="55"/>
    </row>
    <row r="2638" spans="3:13" x14ac:dyDescent="0.2">
      <c r="C2638" s="49"/>
      <c r="G2638" s="2"/>
      <c r="H2638" s="2"/>
      <c r="L2638" s="55"/>
      <c r="M2638" s="55"/>
    </row>
    <row r="2639" spans="3:13" x14ac:dyDescent="0.2">
      <c r="C2639" s="49"/>
      <c r="G2639" s="2"/>
      <c r="H2639" s="2"/>
      <c r="L2639" s="55"/>
      <c r="M2639" s="55"/>
    </row>
    <row r="2640" spans="3:13" x14ac:dyDescent="0.2">
      <c r="C2640" s="49"/>
      <c r="G2640" s="2"/>
      <c r="H2640" s="2"/>
      <c r="L2640" s="55"/>
      <c r="M2640" s="55"/>
    </row>
    <row r="2641" spans="3:13" x14ac:dyDescent="0.2">
      <c r="C2641" s="49"/>
      <c r="G2641" s="2"/>
      <c r="H2641" s="2"/>
      <c r="L2641" s="55"/>
      <c r="M2641" s="55"/>
    </row>
    <row r="2642" spans="3:13" x14ac:dyDescent="0.2">
      <c r="C2642" s="49"/>
      <c r="G2642" s="2"/>
      <c r="H2642" s="2"/>
      <c r="L2642" s="55"/>
      <c r="M2642" s="55"/>
    </row>
    <row r="2643" spans="3:13" x14ac:dyDescent="0.2">
      <c r="C2643" s="49"/>
      <c r="G2643" s="2"/>
      <c r="H2643" s="2"/>
      <c r="L2643" s="55"/>
      <c r="M2643" s="55"/>
    </row>
    <row r="2644" spans="3:13" x14ac:dyDescent="0.2">
      <c r="C2644" s="49"/>
      <c r="G2644" s="2"/>
      <c r="H2644" s="2"/>
      <c r="L2644" s="55"/>
      <c r="M2644" s="55"/>
    </row>
    <row r="2645" spans="3:13" x14ac:dyDescent="0.2">
      <c r="C2645" s="49"/>
      <c r="G2645" s="2"/>
      <c r="H2645" s="2"/>
      <c r="L2645" s="55"/>
      <c r="M2645" s="55"/>
    </row>
    <row r="2646" spans="3:13" x14ac:dyDescent="0.2">
      <c r="C2646" s="49"/>
      <c r="G2646" s="2"/>
      <c r="H2646" s="2"/>
      <c r="L2646" s="55"/>
      <c r="M2646" s="55"/>
    </row>
    <row r="2647" spans="3:13" x14ac:dyDescent="0.2">
      <c r="C2647" s="49"/>
      <c r="G2647" s="2"/>
      <c r="H2647" s="2"/>
      <c r="L2647" s="55"/>
      <c r="M2647" s="55"/>
    </row>
    <row r="2648" spans="3:13" x14ac:dyDescent="0.2">
      <c r="C2648" s="49"/>
      <c r="G2648" s="2"/>
      <c r="H2648" s="2"/>
      <c r="L2648" s="55"/>
      <c r="M2648" s="55"/>
    </row>
    <row r="2649" spans="3:13" x14ac:dyDescent="0.2">
      <c r="G2649" s="2"/>
      <c r="H2649" s="2"/>
    </row>
    <row r="2650" spans="3:13" x14ac:dyDescent="0.2">
      <c r="G2650" s="2"/>
      <c r="H2650" s="2"/>
    </row>
    <row r="2651" spans="3:13" x14ac:dyDescent="0.2">
      <c r="G2651" s="2"/>
      <c r="H2651" s="2"/>
    </row>
  </sheetData>
  <mergeCells count="2">
    <mergeCell ref="I7:J7"/>
    <mergeCell ref="L7:M7"/>
  </mergeCells>
  <dataValidations count="2">
    <dataValidation type="decimal" allowBlank="1" showInputMessage="1" showErrorMessage="1" sqref="P9:P48">
      <formula1>0</formula1>
      <formula2>1</formula2>
    </dataValidation>
    <dataValidation type="list" allowBlank="1" showInputMessage="1" showErrorMessage="1" sqref="B6">
      <formula1>$N$2:$N$3</formula1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FittedCurve!$E$2:$E$3</xm:f>
          </x14:formula1>
          <xm:sqref>N9:O48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AB2651"/>
  <sheetViews>
    <sheetView topLeftCell="A40" zoomScale="75" zoomScaleNormal="75" workbookViewId="0">
      <selection activeCell="F42" sqref="F42"/>
    </sheetView>
  </sheetViews>
  <sheetFormatPr defaultRowHeight="14.25" x14ac:dyDescent="0.2"/>
  <cols>
    <col min="1" max="1" width="9.140625" style="2"/>
    <col min="2" max="2" width="7" style="3" bestFit="1" customWidth="1"/>
    <col min="3" max="3" width="10" style="3" bestFit="1" customWidth="1"/>
    <col min="4" max="4" width="24.42578125" style="3" bestFit="1" customWidth="1"/>
    <col min="5" max="5" width="25.140625" style="3" customWidth="1"/>
    <col min="6" max="6" width="15.85546875" style="3" bestFit="1" customWidth="1"/>
    <col min="7" max="7" width="13.5703125" style="3" bestFit="1" customWidth="1"/>
    <col min="8" max="8" width="9.85546875" style="3" bestFit="1" customWidth="1"/>
    <col min="9" max="9" width="15.85546875" style="3" bestFit="1" customWidth="1"/>
    <col min="10" max="11" width="9.140625" style="3"/>
    <col min="12" max="12" width="15.42578125" style="3" customWidth="1"/>
    <col min="13" max="13" width="14.140625" style="3" customWidth="1"/>
    <col min="14" max="14" width="19.28515625" style="3" customWidth="1"/>
    <col min="15" max="22" width="9.140625" style="3"/>
    <col min="23" max="27" width="9.140625" style="2"/>
    <col min="28" max="28" width="23.28515625" style="2" customWidth="1"/>
    <col min="29" max="16384" width="9.140625" style="2"/>
  </cols>
  <sheetData>
    <row r="2" spans="2:28" x14ac:dyDescent="0.2">
      <c r="E2" s="46" t="b">
        <v>1</v>
      </c>
    </row>
    <row r="3" spans="2:28" x14ac:dyDescent="0.2">
      <c r="E3" s="46" t="b">
        <v>0</v>
      </c>
      <c r="AB3" s="73" t="s">
        <v>178</v>
      </c>
    </row>
    <row r="4" spans="2:28" x14ac:dyDescent="0.2">
      <c r="AB4" s="74"/>
    </row>
    <row r="5" spans="2:28" x14ac:dyDescent="0.2">
      <c r="AB5" s="74"/>
    </row>
    <row r="6" spans="2:28" x14ac:dyDescent="0.2">
      <c r="AB6" s="74"/>
    </row>
    <row r="7" spans="2:28" ht="15" x14ac:dyDescent="0.25">
      <c r="B7" s="21" t="s">
        <v>104</v>
      </c>
      <c r="C7" s="21" t="s">
        <v>105</v>
      </c>
      <c r="D7" s="105" t="s">
        <v>0</v>
      </c>
      <c r="E7" s="106"/>
      <c r="AB7" s="74"/>
    </row>
    <row r="8" spans="2:28" ht="15" x14ac:dyDescent="0.25">
      <c r="B8" s="31"/>
      <c r="C8" s="31"/>
      <c r="D8" s="35" t="s">
        <v>2</v>
      </c>
      <c r="E8" s="36" t="s">
        <v>3</v>
      </c>
      <c r="AB8" s="74"/>
    </row>
    <row r="9" spans="2:28" x14ac:dyDescent="0.2">
      <c r="B9" s="31"/>
      <c r="C9" s="31"/>
      <c r="D9" s="50">
        <f ca="1">Bonds!B3</f>
        <v>41985</v>
      </c>
      <c r="E9" s="17">
        <f t="shared" ref="E9:E29" si="0">K42</f>
        <v>0.12858807316340401</v>
      </c>
      <c r="AB9" s="75"/>
    </row>
    <row r="10" spans="2:28" x14ac:dyDescent="0.2">
      <c r="B10" s="32"/>
      <c r="C10" s="32">
        <v>183</v>
      </c>
      <c r="D10" s="51">
        <f ca="1">D9+C10</f>
        <v>42168</v>
      </c>
      <c r="E10" s="16">
        <f t="shared" si="0"/>
        <v>0.26804010154377272</v>
      </c>
    </row>
    <row r="11" spans="2:28" x14ac:dyDescent="0.2">
      <c r="B11" s="32"/>
      <c r="C11" s="32">
        <v>365</v>
      </c>
      <c r="D11" s="51">
        <f ca="1">D9+C11</f>
        <v>42350</v>
      </c>
      <c r="E11" s="16">
        <f t="shared" si="0"/>
        <v>0.41398417691466621</v>
      </c>
    </row>
    <row r="12" spans="2:28" x14ac:dyDescent="0.2">
      <c r="B12" s="32">
        <v>2</v>
      </c>
      <c r="C12" s="32">
        <f t="shared" ref="C12:C24" si="1">365.25*B12</f>
        <v>730.5</v>
      </c>
      <c r="D12" s="51">
        <f ca="1">D9+C12</f>
        <v>42715.5</v>
      </c>
      <c r="E12" s="16">
        <f t="shared" si="0"/>
        <v>0.56444604241157725</v>
      </c>
    </row>
    <row r="13" spans="2:28" x14ac:dyDescent="0.2">
      <c r="B13" s="32">
        <v>3</v>
      </c>
      <c r="C13" s="32">
        <f t="shared" si="1"/>
        <v>1095.75</v>
      </c>
      <c r="D13" s="51">
        <f ca="1">D9+C13</f>
        <v>43080.75</v>
      </c>
      <c r="E13" s="16">
        <f t="shared" si="0"/>
        <v>0.88946983951176428</v>
      </c>
    </row>
    <row r="14" spans="2:28" x14ac:dyDescent="0.2">
      <c r="B14" s="32">
        <v>5</v>
      </c>
      <c r="C14" s="32">
        <f t="shared" si="1"/>
        <v>1826.25</v>
      </c>
      <c r="D14" s="51">
        <f ca="1">D9+C14</f>
        <v>43811.25</v>
      </c>
      <c r="E14" s="16">
        <f t="shared" si="0"/>
        <v>1.3591366917547814</v>
      </c>
    </row>
    <row r="15" spans="2:28" x14ac:dyDescent="0.2">
      <c r="B15" s="32">
        <v>7</v>
      </c>
      <c r="C15" s="32">
        <f t="shared" si="1"/>
        <v>2556.75</v>
      </c>
      <c r="D15" s="51">
        <f t="shared" ref="D15:D24" ca="1" si="2">$D$9+C15</f>
        <v>44541.75</v>
      </c>
      <c r="E15" s="16">
        <f t="shared" si="0"/>
        <v>1.628066521767962</v>
      </c>
    </row>
    <row r="16" spans="2:28" x14ac:dyDescent="0.2">
      <c r="B16" s="32">
        <v>10</v>
      </c>
      <c r="C16" s="32">
        <f t="shared" si="1"/>
        <v>3652.5</v>
      </c>
      <c r="D16" s="51">
        <f t="shared" ca="1" si="2"/>
        <v>45637.5</v>
      </c>
      <c r="E16" s="16">
        <f t="shared" si="0"/>
        <v>1.9650293275804491</v>
      </c>
    </row>
    <row r="17" spans="2:5" x14ac:dyDescent="0.2">
      <c r="B17" s="32">
        <v>12</v>
      </c>
      <c r="C17" s="32">
        <f t="shared" si="1"/>
        <v>4383</v>
      </c>
      <c r="D17" s="51">
        <f t="shared" ca="1" si="2"/>
        <v>46368</v>
      </c>
      <c r="E17" s="16">
        <f t="shared" si="0"/>
        <v>2.1232516520156364</v>
      </c>
    </row>
    <row r="18" spans="2:5" x14ac:dyDescent="0.2">
      <c r="B18" s="32">
        <v>15</v>
      </c>
      <c r="C18" s="32">
        <f t="shared" si="1"/>
        <v>5478.75</v>
      </c>
      <c r="D18" s="51">
        <f t="shared" ca="1" si="2"/>
        <v>47463.75</v>
      </c>
      <c r="E18" s="16">
        <f t="shared" si="0"/>
        <v>2.3481914446398195</v>
      </c>
    </row>
    <row r="19" spans="2:5" x14ac:dyDescent="0.2">
      <c r="B19" s="32">
        <v>20</v>
      </c>
      <c r="C19" s="32">
        <f t="shared" si="1"/>
        <v>7305</v>
      </c>
      <c r="D19" s="51">
        <f t="shared" ca="1" si="2"/>
        <v>49290</v>
      </c>
      <c r="E19" s="16">
        <f t="shared" si="0"/>
        <v>2.6289994403726502</v>
      </c>
    </row>
    <row r="20" spans="2:5" x14ac:dyDescent="0.2">
      <c r="B20" s="32">
        <v>25</v>
      </c>
      <c r="C20" s="32">
        <f t="shared" si="1"/>
        <v>9131.25</v>
      </c>
      <c r="D20" s="51">
        <f t="shared" ca="1" si="2"/>
        <v>51116.25</v>
      </c>
      <c r="E20" s="16">
        <f t="shared" si="0"/>
        <v>2.7332250952833732</v>
      </c>
    </row>
    <row r="21" spans="2:5" x14ac:dyDescent="0.2">
      <c r="B21" s="32">
        <v>30</v>
      </c>
      <c r="C21" s="32">
        <f t="shared" si="1"/>
        <v>10957.5</v>
      </c>
      <c r="D21" s="51">
        <f t="shared" ca="1" si="2"/>
        <v>52942.5</v>
      </c>
      <c r="E21" s="16">
        <f t="shared" si="0"/>
        <v>2.7674959053710291</v>
      </c>
    </row>
    <row r="22" spans="2:5" x14ac:dyDescent="0.2">
      <c r="B22" s="32">
        <v>40</v>
      </c>
      <c r="C22" s="32">
        <f t="shared" si="1"/>
        <v>14610</v>
      </c>
      <c r="D22" s="51">
        <f t="shared" ca="1" si="2"/>
        <v>56595</v>
      </c>
      <c r="E22" s="16">
        <f t="shared" si="0"/>
        <v>2.6595817304381195</v>
      </c>
    </row>
    <row r="23" spans="2:5" x14ac:dyDescent="0.2">
      <c r="B23" s="32">
        <v>50</v>
      </c>
      <c r="C23" s="32">
        <f t="shared" si="1"/>
        <v>18262.5</v>
      </c>
      <c r="D23" s="51">
        <f t="shared" ca="1" si="2"/>
        <v>60247.5</v>
      </c>
      <c r="E23" s="16">
        <f t="shared" si="0"/>
        <v>2.6492702174601988</v>
      </c>
    </row>
    <row r="24" spans="2:5" x14ac:dyDescent="0.2">
      <c r="B24" s="32">
        <v>60</v>
      </c>
      <c r="C24" s="32">
        <f t="shared" si="1"/>
        <v>21915</v>
      </c>
      <c r="D24" s="51">
        <f t="shared" ca="1" si="2"/>
        <v>63900</v>
      </c>
      <c r="E24" s="16">
        <f t="shared" si="0"/>
        <v>2.7109029220153031</v>
      </c>
    </row>
    <row r="25" spans="2:5" x14ac:dyDescent="0.2">
      <c r="B25" s="32"/>
      <c r="C25" s="31"/>
      <c r="D25" s="8" t="s">
        <v>53</v>
      </c>
      <c r="E25" s="16">
        <f t="shared" si="0"/>
        <v>0</v>
      </c>
    </row>
    <row r="26" spans="2:5" x14ac:dyDescent="0.2">
      <c r="B26" s="32"/>
      <c r="C26" s="31"/>
      <c r="D26" s="9" t="s">
        <v>54</v>
      </c>
      <c r="E26" s="16">
        <f t="shared" si="0"/>
        <v>0</v>
      </c>
    </row>
    <row r="27" spans="2:5" x14ac:dyDescent="0.2">
      <c r="B27" s="31"/>
      <c r="C27" s="31"/>
      <c r="D27" s="9" t="s">
        <v>49</v>
      </c>
      <c r="E27" s="16">
        <f t="shared" si="0"/>
        <v>0</v>
      </c>
    </row>
    <row r="28" spans="2:5" x14ac:dyDescent="0.2">
      <c r="B28" s="31"/>
      <c r="C28" s="31"/>
      <c r="D28" s="9" t="s">
        <v>9</v>
      </c>
      <c r="E28" s="16">
        <f t="shared" si="0"/>
        <v>0</v>
      </c>
    </row>
    <row r="29" spans="2:5" x14ac:dyDescent="0.2">
      <c r="B29" s="31"/>
      <c r="C29" s="31"/>
      <c r="D29" s="10" t="s">
        <v>103</v>
      </c>
      <c r="E29" s="16">
        <f t="shared" si="0"/>
        <v>0</v>
      </c>
    </row>
    <row r="30" spans="2:5" x14ac:dyDescent="0.2">
      <c r="B30" s="31"/>
      <c r="C30" s="1"/>
    </row>
    <row r="31" spans="2:5" x14ac:dyDescent="0.2">
      <c r="B31" s="31"/>
      <c r="D31" s="12" t="s">
        <v>101</v>
      </c>
      <c r="E31" s="12" t="str">
        <f ca="1">_xll.QMACreateYieldCurveObject("FittedCurveYieldCurve",D9:D24,E9:E24)</f>
        <v>FittedCurveYieldCurve#1</v>
      </c>
    </row>
    <row r="32" spans="2:5" x14ac:dyDescent="0.2">
      <c r="B32" s="1"/>
    </row>
    <row r="33" spans="2:22" x14ac:dyDescent="0.2">
      <c r="D33" s="42" t="s">
        <v>254</v>
      </c>
      <c r="E33" s="72" t="b">
        <f ca="1">_xll.QMAHasCalibrated()</f>
        <v>0</v>
      </c>
    </row>
    <row r="34" spans="2:22" x14ac:dyDescent="0.2">
      <c r="D34" s="22" t="s">
        <v>136</v>
      </c>
      <c r="E34" s="63">
        <v>5000</v>
      </c>
      <c r="F34" s="59"/>
      <c r="G34" s="59"/>
      <c r="H34" s="59"/>
      <c r="I34" s="59"/>
      <c r="J34" s="59"/>
      <c r="K34" s="59"/>
      <c r="L34" s="59"/>
      <c r="M34" s="59"/>
      <c r="N34" s="59"/>
    </row>
    <row r="35" spans="2:22" x14ac:dyDescent="0.2">
      <c r="B35" s="80"/>
      <c r="C35" s="80"/>
      <c r="D35" s="22" t="s">
        <v>256</v>
      </c>
      <c r="E35" s="63">
        <v>9.9999999999999995E-7</v>
      </c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</row>
    <row r="36" spans="2:22" x14ac:dyDescent="0.2">
      <c r="B36" s="80"/>
      <c r="C36" s="80"/>
      <c r="D36" s="22" t="s">
        <v>257</v>
      </c>
      <c r="E36" s="63">
        <v>9.9999999999999995E-7</v>
      </c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</row>
    <row r="37" spans="2:22" x14ac:dyDescent="0.2">
      <c r="D37" s="22" t="s">
        <v>177</v>
      </c>
      <c r="E37" s="47" t="s">
        <v>178</v>
      </c>
    </row>
    <row r="38" spans="2:22" x14ac:dyDescent="0.2">
      <c r="D38" s="44" t="s">
        <v>253</v>
      </c>
      <c r="E38" s="45" t="b">
        <v>1</v>
      </c>
      <c r="F38" s="64"/>
      <c r="G38" s="64"/>
      <c r="H38" s="64"/>
      <c r="I38" s="64"/>
      <c r="J38" s="64"/>
      <c r="K38" s="64"/>
      <c r="L38" s="64"/>
      <c r="M38" s="64"/>
      <c r="N38" s="64"/>
    </row>
    <row r="40" spans="2:22" ht="15" x14ac:dyDescent="0.25">
      <c r="D40" s="105" t="s">
        <v>1</v>
      </c>
      <c r="E40" s="107"/>
      <c r="F40" s="106"/>
    </row>
    <row r="41" spans="2:22" ht="15" x14ac:dyDescent="0.25">
      <c r="D41" s="35" t="s">
        <v>4</v>
      </c>
      <c r="E41" s="37" t="s">
        <v>5</v>
      </c>
      <c r="F41" s="38" t="s">
        <v>6</v>
      </c>
      <c r="H41" s="57" t="s">
        <v>134</v>
      </c>
      <c r="I41" s="60" t="s">
        <v>133</v>
      </c>
      <c r="J41" s="58" t="s">
        <v>135</v>
      </c>
      <c r="K41" s="57" t="s">
        <v>132</v>
      </c>
      <c r="L41" s="61"/>
      <c r="M41" s="61"/>
      <c r="N41" s="62"/>
    </row>
    <row r="42" spans="2:22" x14ac:dyDescent="0.2">
      <c r="D42" s="18">
        <f t="shared" ref="D42:D105" ca="1" si="3">(E42-$E$42)/365.25</f>
        <v>0</v>
      </c>
      <c r="E42" s="33">
        <f ca="1">D9</f>
        <v>41985</v>
      </c>
      <c r="F42" s="47">
        <v>0.14657738927494326</v>
      </c>
      <c r="H42" s="22">
        <v>-0.5</v>
      </c>
      <c r="I42" s="15">
        <v>0.5</v>
      </c>
      <c r="J42" s="47">
        <v>5</v>
      </c>
      <c r="K42" s="22">
        <v>0.12858807316340401</v>
      </c>
      <c r="L42" s="56" t="s">
        <v>129</v>
      </c>
      <c r="M42" s="56">
        <v>5</v>
      </c>
      <c r="N42" s="47"/>
    </row>
    <row r="43" spans="2:22" x14ac:dyDescent="0.2">
      <c r="D43" s="18">
        <f t="shared" ca="1" si="3"/>
        <v>1.9164955509924708E-2</v>
      </c>
      <c r="E43" s="33">
        <f t="shared" ref="E43:E106" ca="1" si="4">E42+7</f>
        <v>41992</v>
      </c>
      <c r="F43" s="47">
        <v>0.15150492220780162</v>
      </c>
      <c r="H43" s="22">
        <v>-99</v>
      </c>
      <c r="I43" s="6">
        <v>0.5</v>
      </c>
      <c r="J43" s="47">
        <v>5</v>
      </c>
      <c r="K43" s="22">
        <v>0.26804010154377272</v>
      </c>
      <c r="L43" s="56" t="s">
        <v>130</v>
      </c>
      <c r="M43" s="56" t="s">
        <v>137</v>
      </c>
      <c r="N43" s="47"/>
    </row>
    <row r="44" spans="2:22" x14ac:dyDescent="0.2">
      <c r="D44" s="18">
        <f t="shared" ca="1" si="3"/>
        <v>3.8329911019849415E-2</v>
      </c>
      <c r="E44" s="33">
        <f t="shared" ca="1" si="4"/>
        <v>41999</v>
      </c>
      <c r="F44" s="47">
        <v>0.15640836846433789</v>
      </c>
      <c r="H44" s="22">
        <v>-99</v>
      </c>
      <c r="I44" s="6">
        <v>0.5</v>
      </c>
      <c r="J44" s="47">
        <v>5</v>
      </c>
      <c r="K44" s="22">
        <v>0.41398417691466621</v>
      </c>
      <c r="L44" s="56" t="s">
        <v>131</v>
      </c>
      <c r="M44" s="56">
        <v>0.36431859005471467</v>
      </c>
      <c r="N44" s="47"/>
    </row>
    <row r="45" spans="2:22" x14ac:dyDescent="0.2">
      <c r="D45" s="18">
        <f t="shared" ca="1" si="3"/>
        <v>5.7494866529774126E-2</v>
      </c>
      <c r="E45" s="33">
        <f t="shared" ca="1" si="4"/>
        <v>42006</v>
      </c>
      <c r="F45" s="47">
        <v>0.16129147886311163</v>
      </c>
      <c r="H45" s="22">
        <v>-99</v>
      </c>
      <c r="I45" s="6">
        <v>0.5</v>
      </c>
      <c r="J45" s="47">
        <v>5</v>
      </c>
      <c r="K45" s="22">
        <v>0.56444604241157725</v>
      </c>
      <c r="L45" s="56" t="s">
        <v>272</v>
      </c>
      <c r="M45" s="81">
        <v>41985.062233530094</v>
      </c>
      <c r="N45" s="47"/>
    </row>
    <row r="46" spans="2:22" x14ac:dyDescent="0.2">
      <c r="D46" s="18">
        <f t="shared" ca="1" si="3"/>
        <v>7.665982203969883E-2</v>
      </c>
      <c r="E46" s="33">
        <f t="shared" ca="1" si="4"/>
        <v>42013</v>
      </c>
      <c r="F46" s="47">
        <v>0.16615826731148731</v>
      </c>
      <c r="H46" s="22">
        <v>-99</v>
      </c>
      <c r="I46" s="6">
        <v>0.5</v>
      </c>
      <c r="J46" s="47">
        <v>5</v>
      </c>
      <c r="K46" s="22">
        <v>0.88946983951176428</v>
      </c>
      <c r="L46" s="56"/>
      <c r="M46" s="56"/>
      <c r="N46" s="47"/>
    </row>
    <row r="47" spans="2:22" x14ac:dyDescent="0.2">
      <c r="D47" s="18">
        <f t="shared" ca="1" si="3"/>
        <v>9.5824777549623541E-2</v>
      </c>
      <c r="E47" s="33">
        <f t="shared" ca="1" si="4"/>
        <v>42020</v>
      </c>
      <c r="F47" s="47">
        <v>0.17101288820630847</v>
      </c>
      <c r="H47" s="22">
        <v>-99</v>
      </c>
      <c r="I47" s="6">
        <v>0.5</v>
      </c>
      <c r="J47" s="47">
        <v>5</v>
      </c>
      <c r="K47" s="22">
        <v>1.3591366917547814</v>
      </c>
      <c r="L47" s="56"/>
      <c r="M47" s="56"/>
      <c r="N47" s="47"/>
    </row>
    <row r="48" spans="2:22" x14ac:dyDescent="0.2">
      <c r="D48" s="18">
        <f t="shared" ca="1" si="3"/>
        <v>0.11498973305954825</v>
      </c>
      <c r="E48" s="33">
        <f t="shared" ca="1" si="4"/>
        <v>42027</v>
      </c>
      <c r="F48" s="47">
        <v>0.17585951411102119</v>
      </c>
      <c r="H48" s="22">
        <v>-99</v>
      </c>
      <c r="I48" s="6">
        <v>0.5</v>
      </c>
      <c r="J48" s="47">
        <v>5</v>
      </c>
      <c r="K48" s="22">
        <v>1.628066521767962</v>
      </c>
      <c r="L48" s="56"/>
      <c r="M48" s="56"/>
      <c r="N48" s="47"/>
    </row>
    <row r="49" spans="4:14" x14ac:dyDescent="0.2">
      <c r="D49" s="18">
        <f t="shared" ca="1" si="3"/>
        <v>0.13415468856947296</v>
      </c>
      <c r="E49" s="33">
        <f t="shared" ca="1" si="4"/>
        <v>42034</v>
      </c>
      <c r="F49" s="47">
        <v>0.18070222070497632</v>
      </c>
      <c r="H49" s="22">
        <v>-99</v>
      </c>
      <c r="I49" s="6">
        <v>0.5</v>
      </c>
      <c r="J49" s="47">
        <v>5</v>
      </c>
      <c r="K49" s="22">
        <v>1.9650293275804491</v>
      </c>
      <c r="L49" s="56"/>
      <c r="M49" s="56"/>
      <c r="N49" s="47"/>
    </row>
    <row r="50" spans="4:14" x14ac:dyDescent="0.2">
      <c r="D50" s="18">
        <f t="shared" ca="1" si="3"/>
        <v>0.15331964407939766</v>
      </c>
      <c r="E50" s="33">
        <f t="shared" ca="1" si="4"/>
        <v>42041</v>
      </c>
      <c r="F50" s="47">
        <v>0.18554488485679174</v>
      </c>
      <c r="H50" s="22">
        <v>-99</v>
      </c>
      <c r="I50" s="6">
        <v>0.5</v>
      </c>
      <c r="J50" s="47">
        <v>5</v>
      </c>
      <c r="K50" s="22">
        <v>2.1232516520156364</v>
      </c>
      <c r="L50" s="56"/>
      <c r="M50" s="56"/>
      <c r="N50" s="47"/>
    </row>
    <row r="51" spans="4:14" x14ac:dyDescent="0.2">
      <c r="D51" s="18">
        <f t="shared" ca="1" si="3"/>
        <v>0.17248459958932238</v>
      </c>
      <c r="E51" s="33">
        <f t="shared" ca="1" si="4"/>
        <v>42048</v>
      </c>
      <c r="F51" s="47">
        <v>0.19039110009984267</v>
      </c>
      <c r="H51" s="22">
        <v>-99</v>
      </c>
      <c r="I51" s="6">
        <v>0.5</v>
      </c>
      <c r="J51" s="47">
        <v>5</v>
      </c>
      <c r="K51" s="22">
        <v>2.3481914446398195</v>
      </c>
      <c r="L51" s="56"/>
      <c r="M51" s="56"/>
      <c r="N51" s="47"/>
    </row>
    <row r="52" spans="4:14" x14ac:dyDescent="0.2">
      <c r="D52" s="18">
        <f t="shared" ca="1" si="3"/>
        <v>0.19164955509924708</v>
      </c>
      <c r="E52" s="33">
        <f t="shared" ca="1" si="4"/>
        <v>42055</v>
      </c>
      <c r="F52" s="47">
        <v>0.19524411201985509</v>
      </c>
      <c r="H52" s="22">
        <v>-99</v>
      </c>
      <c r="I52" s="6">
        <v>0.5</v>
      </c>
      <c r="J52" s="47">
        <v>5</v>
      </c>
      <c r="K52" s="22">
        <v>2.6289994403726502</v>
      </c>
      <c r="L52" s="56"/>
      <c r="M52" s="56"/>
      <c r="N52" s="47"/>
    </row>
    <row r="53" spans="4:14" x14ac:dyDescent="0.2">
      <c r="D53" s="18">
        <f t="shared" ca="1" si="3"/>
        <v>0.21081451060917181</v>
      </c>
      <c r="E53" s="33">
        <f t="shared" ca="1" si="4"/>
        <v>42062</v>
      </c>
      <c r="F53" s="47">
        <v>0.20010677432898202</v>
      </c>
      <c r="H53" s="22">
        <v>-99</v>
      </c>
      <c r="I53" s="6">
        <v>0.5</v>
      </c>
      <c r="J53" s="47">
        <v>5</v>
      </c>
      <c r="K53" s="22">
        <v>2.7332250952833732</v>
      </c>
      <c r="L53" s="56"/>
      <c r="M53" s="56"/>
      <c r="N53" s="47"/>
    </row>
    <row r="54" spans="4:14" x14ac:dyDescent="0.2">
      <c r="D54" s="18">
        <f t="shared" ca="1" si="3"/>
        <v>0.2299794661190965</v>
      </c>
      <c r="E54" s="33">
        <f t="shared" ca="1" si="4"/>
        <v>42069</v>
      </c>
      <c r="F54" s="47">
        <v>0.20498152488093696</v>
      </c>
      <c r="H54" s="22">
        <v>-99</v>
      </c>
      <c r="I54" s="6">
        <v>0.5</v>
      </c>
      <c r="J54" s="47">
        <v>5</v>
      </c>
      <c r="K54" s="22">
        <v>2.7674959053710291</v>
      </c>
      <c r="L54" s="56"/>
      <c r="M54" s="56"/>
      <c r="N54" s="47"/>
    </row>
    <row r="55" spans="4:14" x14ac:dyDescent="0.2">
      <c r="D55" s="18">
        <f t="shared" ca="1" si="3"/>
        <v>0.24914442162902123</v>
      </c>
      <c r="E55" s="33">
        <f t="shared" ca="1" si="4"/>
        <v>42076</v>
      </c>
      <c r="F55" s="47">
        <v>0.20987037969768804</v>
      </c>
      <c r="H55" s="22">
        <v>-99</v>
      </c>
      <c r="I55" s="6">
        <v>0.5</v>
      </c>
      <c r="J55" s="47">
        <v>5</v>
      </c>
      <c r="K55" s="22">
        <v>2.6595817304381195</v>
      </c>
      <c r="L55" s="56"/>
      <c r="M55" s="56"/>
      <c r="N55" s="47"/>
    </row>
    <row r="56" spans="4:14" x14ac:dyDescent="0.2">
      <c r="D56" s="18">
        <f t="shared" ca="1" si="3"/>
        <v>0.26830937713894593</v>
      </c>
      <c r="E56" s="33">
        <f t="shared" ca="1" si="4"/>
        <v>42083</v>
      </c>
      <c r="F56" s="47">
        <v>0.21477494228234806</v>
      </c>
      <c r="H56" s="22">
        <v>-99</v>
      </c>
      <c r="I56" s="6">
        <v>0.5</v>
      </c>
      <c r="J56" s="47">
        <v>5</v>
      </c>
      <c r="K56" s="22">
        <v>2.6492702174601988</v>
      </c>
      <c r="L56" s="56"/>
      <c r="M56" s="56"/>
      <c r="N56" s="47"/>
    </row>
    <row r="57" spans="4:14" x14ac:dyDescent="0.2">
      <c r="D57" s="18">
        <f t="shared" ca="1" si="3"/>
        <v>0.28747433264887062</v>
      </c>
      <c r="E57" s="33">
        <f t="shared" ca="1" si="4"/>
        <v>42090</v>
      </c>
      <c r="F57" s="47">
        <v>0.21969642507860129</v>
      </c>
      <c r="H57" s="22">
        <v>-99</v>
      </c>
      <c r="I57" s="6">
        <v>0.5</v>
      </c>
      <c r="J57" s="47">
        <v>5</v>
      </c>
      <c r="K57" s="22">
        <v>2.7109029220153031</v>
      </c>
      <c r="L57" s="56"/>
      <c r="M57" s="56"/>
      <c r="N57" s="47"/>
    </row>
    <row r="58" spans="4:14" x14ac:dyDescent="0.2">
      <c r="D58" s="18">
        <f t="shared" ca="1" si="3"/>
        <v>0.30663928815879532</v>
      </c>
      <c r="E58" s="33">
        <f t="shared" ca="1" si="4"/>
        <v>42097</v>
      </c>
      <c r="F58" s="47">
        <v>0.22463567985463093</v>
      </c>
      <c r="H58" s="22"/>
      <c r="I58" s="6"/>
      <c r="J58" s="47"/>
      <c r="K58" s="22"/>
      <c r="L58" s="56"/>
      <c r="M58" s="56"/>
      <c r="N58" s="47"/>
    </row>
    <row r="59" spans="4:14" x14ac:dyDescent="0.2">
      <c r="D59" s="18">
        <f t="shared" ca="1" si="3"/>
        <v>0.32580424366872007</v>
      </c>
      <c r="E59" s="33">
        <f t="shared" ca="1" si="4"/>
        <v>42104</v>
      </c>
      <c r="F59" s="47">
        <v>0.22959323396474721</v>
      </c>
      <c r="H59" s="22"/>
      <c r="I59" s="6"/>
      <c r="J59" s="47"/>
      <c r="K59" s="22"/>
      <c r="L59" s="56"/>
      <c r="M59" s="56"/>
      <c r="N59" s="47"/>
    </row>
    <row r="60" spans="4:14" x14ac:dyDescent="0.2">
      <c r="D60" s="18">
        <f t="shared" ca="1" si="3"/>
        <v>0.34496919917864477</v>
      </c>
      <c r="E60" s="33">
        <f t="shared" ca="1" si="4"/>
        <v>42111</v>
      </c>
      <c r="F60" s="47">
        <v>0.23456932979264036</v>
      </c>
      <c r="H60" s="22"/>
      <c r="I60" s="6"/>
      <c r="J60" s="47"/>
      <c r="K60" s="22"/>
      <c r="L60" s="56"/>
      <c r="M60" s="56"/>
      <c r="N60" s="47"/>
    </row>
    <row r="61" spans="4:14" x14ac:dyDescent="0.2">
      <c r="D61" s="18">
        <f t="shared" ca="1" si="3"/>
        <v>0.36413415468856947</v>
      </c>
      <c r="E61" s="33">
        <f t="shared" ca="1" si="4"/>
        <v>42118</v>
      </c>
      <c r="F61" s="47">
        <v>0.2395639651291096</v>
      </c>
      <c r="H61" s="22"/>
      <c r="I61" s="6"/>
      <c r="J61" s="47"/>
      <c r="K61" s="22"/>
      <c r="L61" s="56"/>
      <c r="M61" s="56"/>
      <c r="N61" s="47"/>
    </row>
    <row r="62" spans="4:14" x14ac:dyDescent="0.2">
      <c r="D62" s="18">
        <f t="shared" ca="1" si="3"/>
        <v>0.38329911019849416</v>
      </c>
      <c r="E62" s="33">
        <f t="shared" ca="1" si="4"/>
        <v>42125</v>
      </c>
      <c r="F62" s="47">
        <v>0.24457693271978628</v>
      </c>
      <c r="H62" s="22"/>
      <c r="I62" s="6"/>
      <c r="J62" s="47"/>
      <c r="K62" s="22"/>
      <c r="L62" s="56"/>
      <c r="M62" s="56"/>
      <c r="N62" s="47"/>
    </row>
    <row r="63" spans="4:14" x14ac:dyDescent="0.2">
      <c r="D63" s="18">
        <f t="shared" ca="1" si="3"/>
        <v>0.40246406570841892</v>
      </c>
      <c r="E63" s="33">
        <f t="shared" ca="1" si="4"/>
        <v>42132</v>
      </c>
      <c r="F63" s="47">
        <v>0.24960785768652335</v>
      </c>
      <c r="H63" s="22"/>
      <c r="I63" s="6"/>
      <c r="J63" s="47"/>
      <c r="K63" s="22"/>
      <c r="L63" s="56"/>
      <c r="M63" s="56"/>
      <c r="N63" s="47"/>
    </row>
    <row r="64" spans="4:14" x14ac:dyDescent="0.2">
      <c r="D64" s="18">
        <f t="shared" ca="1" si="3"/>
        <v>0.42162902121834361</v>
      </c>
      <c r="E64" s="33">
        <f t="shared" ca="1" si="4"/>
        <v>42139</v>
      </c>
      <c r="F64" s="47">
        <v>0.25465623194791454</v>
      </c>
      <c r="H64" s="22"/>
      <c r="I64" s="6"/>
      <c r="J64" s="47"/>
      <c r="K64" s="22"/>
      <c r="L64" s="56"/>
      <c r="M64" s="56"/>
      <c r="N64" s="47"/>
    </row>
    <row r="65" spans="4:14" x14ac:dyDescent="0.2">
      <c r="D65" s="18">
        <f t="shared" ca="1" si="3"/>
        <v>0.44079397672826831</v>
      </c>
      <c r="E65" s="33">
        <f t="shared" ca="1" si="4"/>
        <v>42146</v>
      </c>
      <c r="F65" s="47">
        <v>0.25972144512228229</v>
      </c>
      <c r="H65" s="22"/>
      <c r="I65" s="6"/>
      <c r="J65" s="47"/>
      <c r="K65" s="22"/>
      <c r="L65" s="56"/>
      <c r="M65" s="56"/>
      <c r="N65" s="47"/>
    </row>
    <row r="66" spans="4:14" x14ac:dyDescent="0.2">
      <c r="D66" s="18">
        <f t="shared" ca="1" si="3"/>
        <v>0.45995893223819301</v>
      </c>
      <c r="E66" s="33">
        <f t="shared" ca="1" si="4"/>
        <v>42153</v>
      </c>
      <c r="F66" s="47">
        <v>0.26480281168415015</v>
      </c>
      <c r="H66" s="22"/>
      <c r="I66" s="6"/>
      <c r="J66" s="47"/>
      <c r="K66" s="22"/>
      <c r="L66" s="56"/>
      <c r="M66" s="56"/>
      <c r="N66" s="47"/>
    </row>
    <row r="67" spans="4:14" x14ac:dyDescent="0.2">
      <c r="D67" s="18">
        <f t="shared" ca="1" si="3"/>
        <v>0.4791238877481177</v>
      </c>
      <c r="E67" s="33">
        <f t="shared" ca="1" si="4"/>
        <v>42160</v>
      </c>
      <c r="F67" s="47">
        <v>0.26989959436436423</v>
      </c>
      <c r="H67" s="22"/>
      <c r="I67" s="6"/>
      <c r="J67" s="47"/>
      <c r="K67" s="22"/>
      <c r="L67" s="56"/>
      <c r="M67" s="56"/>
      <c r="N67" s="47"/>
    </row>
    <row r="68" spans="4:14" x14ac:dyDescent="0.2">
      <c r="D68" s="18">
        <f t="shared" ca="1" si="3"/>
        <v>0.49828884325804246</v>
      </c>
      <c r="E68" s="33">
        <f t="shared" ca="1" si="4"/>
        <v>42167</v>
      </c>
      <c r="F68" s="47">
        <v>0.275011023941308</v>
      </c>
      <c r="H68" s="22"/>
      <c r="I68" s="6"/>
      <c r="J68" s="47"/>
      <c r="K68" s="22"/>
      <c r="L68" s="56"/>
      <c r="M68" s="56"/>
      <c r="N68" s="47"/>
    </row>
    <row r="69" spans="4:14" x14ac:dyDescent="0.2">
      <c r="D69" s="18">
        <f t="shared" ca="1" si="3"/>
        <v>0.51745379876796715</v>
      </c>
      <c r="E69" s="33">
        <f t="shared" ca="1" si="4"/>
        <v>42174</v>
      </c>
      <c r="F69" s="47">
        <v>0.28017199538269455</v>
      </c>
      <c r="H69" s="22"/>
      <c r="I69" s="6"/>
      <c r="J69" s="47"/>
      <c r="K69" s="22"/>
      <c r="L69" s="56"/>
      <c r="M69" s="56"/>
      <c r="N69" s="47"/>
    </row>
    <row r="70" spans="4:14" x14ac:dyDescent="0.2">
      <c r="D70" s="18">
        <f t="shared" ca="1" si="3"/>
        <v>0.53661875427789185</v>
      </c>
      <c r="E70" s="33">
        <f t="shared" ca="1" si="4"/>
        <v>42181</v>
      </c>
      <c r="F70" s="47">
        <v>0.28544281697207313</v>
      </c>
      <c r="H70" s="22"/>
      <c r="I70" s="6"/>
      <c r="J70" s="47"/>
      <c r="K70" s="22"/>
      <c r="L70" s="56"/>
      <c r="M70" s="56"/>
      <c r="N70" s="47"/>
    </row>
    <row r="71" spans="4:14" x14ac:dyDescent="0.2">
      <c r="D71" s="18">
        <f t="shared" ca="1" si="3"/>
        <v>0.55578370978781655</v>
      </c>
      <c r="E71" s="33">
        <f t="shared" ca="1" si="4"/>
        <v>42188</v>
      </c>
      <c r="F71" s="47">
        <v>0.29082334953451483</v>
      </c>
      <c r="H71" s="22"/>
      <c r="I71" s="6"/>
      <c r="J71" s="47"/>
      <c r="K71" s="22"/>
      <c r="L71" s="56"/>
      <c r="M71" s="56"/>
      <c r="N71" s="47"/>
    </row>
    <row r="72" spans="4:14" x14ac:dyDescent="0.2">
      <c r="D72" s="18">
        <f t="shared" ca="1" si="3"/>
        <v>0.57494866529774125</v>
      </c>
      <c r="E72" s="33">
        <f t="shared" ca="1" si="4"/>
        <v>42195</v>
      </c>
      <c r="F72" s="47">
        <v>0.29631007110434071</v>
      </c>
      <c r="H72" s="22"/>
      <c r="I72" s="6"/>
      <c r="J72" s="47"/>
      <c r="K72" s="22"/>
      <c r="L72" s="56"/>
      <c r="M72" s="56"/>
      <c r="N72" s="47"/>
    </row>
    <row r="73" spans="4:14" x14ac:dyDescent="0.2">
      <c r="D73" s="18">
        <f t="shared" ca="1" si="3"/>
        <v>0.59411362080766594</v>
      </c>
      <c r="E73" s="33">
        <f t="shared" ca="1" si="4"/>
        <v>42202</v>
      </c>
      <c r="F73" s="47">
        <v>0.30189673856850341</v>
      </c>
      <c r="H73" s="22"/>
      <c r="I73" s="6"/>
      <c r="J73" s="47"/>
      <c r="K73" s="22"/>
      <c r="L73" s="56"/>
      <c r="M73" s="56"/>
      <c r="N73" s="47"/>
    </row>
    <row r="74" spans="4:14" x14ac:dyDescent="0.2">
      <c r="D74" s="18">
        <f t="shared" ca="1" si="3"/>
        <v>0.61327857631759064</v>
      </c>
      <c r="E74" s="33">
        <f t="shared" ca="1" si="4"/>
        <v>42209</v>
      </c>
      <c r="F74" s="47">
        <v>0.30757414119873278</v>
      </c>
      <c r="H74" s="22"/>
      <c r="I74" s="6"/>
      <c r="J74" s="47"/>
      <c r="K74" s="22"/>
      <c r="L74" s="56"/>
      <c r="M74" s="56"/>
      <c r="N74" s="47"/>
    </row>
    <row r="75" spans="4:14" x14ac:dyDescent="0.2">
      <c r="D75" s="18">
        <f t="shared" ca="1" si="3"/>
        <v>0.63244353182751545</v>
      </c>
      <c r="E75" s="33">
        <f t="shared" ca="1" si="4"/>
        <v>42216</v>
      </c>
      <c r="F75" s="47">
        <v>0.31332996797744811</v>
      </c>
      <c r="H75" s="22"/>
      <c r="I75" s="6"/>
      <c r="J75" s="47"/>
      <c r="K75" s="22"/>
      <c r="L75" s="56"/>
      <c r="M75" s="56"/>
      <c r="N75" s="47"/>
    </row>
    <row r="76" spans="4:14" x14ac:dyDescent="0.2">
      <c r="D76" s="18">
        <f t="shared" ca="1" si="3"/>
        <v>0.65160848733744015</v>
      </c>
      <c r="E76" s="33">
        <f t="shared" ca="1" si="4"/>
        <v>42223</v>
      </c>
      <c r="F76" s="47">
        <v>0.31914882497461805</v>
      </c>
      <c r="H76" s="44"/>
      <c r="I76" s="7"/>
      <c r="J76" s="45"/>
      <c r="K76" s="44"/>
      <c r="L76" s="20"/>
      <c r="M76" s="20"/>
      <c r="N76" s="45"/>
    </row>
    <row r="77" spans="4:14" x14ac:dyDescent="0.2">
      <c r="D77" s="18">
        <f t="shared" ca="1" si="3"/>
        <v>0.67077344284736484</v>
      </c>
      <c r="E77" s="33">
        <f t="shared" ca="1" si="4"/>
        <v>42230</v>
      </c>
      <c r="F77" s="47">
        <v>0.32501243201383384</v>
      </c>
    </row>
    <row r="78" spans="4:14" x14ac:dyDescent="0.2">
      <c r="D78" s="18">
        <f t="shared" ca="1" si="3"/>
        <v>0.68993839835728954</v>
      </c>
      <c r="E78" s="33">
        <f t="shared" ca="1" si="4"/>
        <v>42237</v>
      </c>
      <c r="F78" s="47">
        <v>0.33090001490595838</v>
      </c>
    </row>
    <row r="79" spans="4:14" x14ac:dyDescent="0.2">
      <c r="D79" s="18">
        <f t="shared" ca="1" si="3"/>
        <v>0.70910335386721424</v>
      </c>
      <c r="E79" s="33">
        <f t="shared" ca="1" si="4"/>
        <v>42244</v>
      </c>
      <c r="F79" s="47">
        <v>0.33678889124880762</v>
      </c>
    </row>
    <row r="80" spans="4:14" x14ac:dyDescent="0.2">
      <c r="D80" s="18">
        <f t="shared" ca="1" si="3"/>
        <v>0.72826830937713893</v>
      </c>
      <c r="E80" s="33">
        <f t="shared" ca="1" si="4"/>
        <v>42251</v>
      </c>
      <c r="F80" s="47">
        <v>0.34265522614216398</v>
      </c>
    </row>
    <row r="81" spans="4:6" x14ac:dyDescent="0.2">
      <c r="D81" s="18">
        <f t="shared" ca="1" si="3"/>
        <v>0.74743326488706363</v>
      </c>
      <c r="E81" s="33">
        <f t="shared" ca="1" si="4"/>
        <v>42258</v>
      </c>
      <c r="F81" s="47">
        <v>0.34847491230841965</v>
      </c>
    </row>
    <row r="82" spans="4:6" x14ac:dyDescent="0.2">
      <c r="D82" s="18">
        <f t="shared" ca="1" si="3"/>
        <v>0.76659822039698833</v>
      </c>
      <c r="E82" s="33">
        <f t="shared" ca="1" si="4"/>
        <v>42265</v>
      </c>
      <c r="F82" s="47">
        <v>0.35422451088072188</v>
      </c>
    </row>
    <row r="83" spans="4:6" x14ac:dyDescent="0.2">
      <c r="D83" s="18">
        <f t="shared" ca="1" si="3"/>
        <v>0.78576317590691303</v>
      </c>
      <c r="E83" s="33">
        <f t="shared" ca="1" si="4"/>
        <v>42272</v>
      </c>
      <c r="F83" s="47">
        <v>0.35988217818367352</v>
      </c>
    </row>
    <row r="84" spans="4:6" x14ac:dyDescent="0.2">
      <c r="D84" s="18">
        <f t="shared" ca="1" si="3"/>
        <v>0.80492813141683783</v>
      </c>
      <c r="E84" s="33">
        <f t="shared" ca="1" si="4"/>
        <v>42279</v>
      </c>
      <c r="F84" s="47">
        <v>0.36542850270371718</v>
      </c>
    </row>
    <row r="85" spans="4:6" x14ac:dyDescent="0.2">
      <c r="D85" s="18">
        <f t="shared" ca="1" si="3"/>
        <v>0.82409308692676253</v>
      </c>
      <c r="E85" s="33">
        <f t="shared" ca="1" si="4"/>
        <v>42286</v>
      </c>
      <c r="F85" s="47">
        <v>0.37084718575140863</v>
      </c>
    </row>
    <row r="86" spans="4:6" x14ac:dyDescent="0.2">
      <c r="D86" s="18">
        <f t="shared" ca="1" si="3"/>
        <v>0.84325804243668723</v>
      </c>
      <c r="E86" s="33">
        <f t="shared" ca="1" si="4"/>
        <v>42293</v>
      </c>
      <c r="F86" s="47">
        <v>0.37612551753371926</v>
      </c>
    </row>
    <row r="87" spans="4:6" x14ac:dyDescent="0.2">
      <c r="D87" s="18">
        <f t="shared" ca="1" si="3"/>
        <v>0.86242299794661192</v>
      </c>
      <c r="E87" s="33">
        <f t="shared" ca="1" si="4"/>
        <v>42300</v>
      </c>
      <c r="F87" s="47">
        <v>0.38125462417042089</v>
      </c>
    </row>
    <row r="88" spans="4:6" x14ac:dyDescent="0.2">
      <c r="D88" s="18">
        <f t="shared" ca="1" si="3"/>
        <v>0.88158795345653662</v>
      </c>
      <c r="E88" s="33">
        <f t="shared" ca="1" si="4"/>
        <v>42307</v>
      </c>
      <c r="F88" s="47">
        <v>0.38622948636019117</v>
      </c>
    </row>
    <row r="89" spans="4:6" x14ac:dyDescent="0.2">
      <c r="D89" s="18">
        <f t="shared" ca="1" si="3"/>
        <v>0.90075290896646132</v>
      </c>
      <c r="E89" s="33">
        <f t="shared" ca="1" si="4"/>
        <v>42314</v>
      </c>
      <c r="F89" s="47">
        <v>0.39104875280984047</v>
      </c>
    </row>
    <row r="90" spans="4:6" x14ac:dyDescent="0.2">
      <c r="D90" s="18">
        <f t="shared" ca="1" si="3"/>
        <v>0.91991786447638602</v>
      </c>
      <c r="E90" s="33">
        <f t="shared" ca="1" si="4"/>
        <v>42321</v>
      </c>
      <c r="F90" s="47">
        <v>0.39571438810345044</v>
      </c>
    </row>
    <row r="91" spans="4:6" x14ac:dyDescent="0.2">
      <c r="D91" s="18">
        <f t="shared" ca="1" si="3"/>
        <v>0.93908281998631071</v>
      </c>
      <c r="E91" s="33">
        <f t="shared" ca="1" si="4"/>
        <v>42328</v>
      </c>
      <c r="F91" s="47">
        <v>0.40023120387958105</v>
      </c>
    </row>
    <row r="92" spans="4:6" x14ac:dyDescent="0.2">
      <c r="D92" s="18">
        <f t="shared" ca="1" si="3"/>
        <v>0.95824777549623541</v>
      </c>
      <c r="E92" s="33">
        <f t="shared" ca="1" si="4"/>
        <v>42335</v>
      </c>
      <c r="F92" s="47">
        <v>0.40460632406221009</v>
      </c>
    </row>
    <row r="93" spans="4:6" x14ac:dyDescent="0.2">
      <c r="D93" s="18">
        <f t="shared" ca="1" si="3"/>
        <v>0.97741273100616022</v>
      </c>
      <c r="E93" s="33">
        <f t="shared" ca="1" si="4"/>
        <v>42342</v>
      </c>
      <c r="F93" s="47">
        <v>0.40884863074267691</v>
      </c>
    </row>
    <row r="94" spans="4:6" x14ac:dyDescent="0.2">
      <c r="D94" s="18">
        <f t="shared" ca="1" si="3"/>
        <v>0.99657768651608492</v>
      </c>
      <c r="E94" s="33">
        <f t="shared" ca="1" si="4"/>
        <v>42349</v>
      </c>
      <c r="F94" s="47">
        <v>0.41296822909942693</v>
      </c>
    </row>
    <row r="95" spans="4:6" x14ac:dyDescent="0.2">
      <c r="D95" s="18">
        <f t="shared" ca="1" si="3"/>
        <v>1.0157426420260096</v>
      </c>
      <c r="E95" s="33">
        <f t="shared" ca="1" si="4"/>
        <v>42356</v>
      </c>
      <c r="F95" s="47">
        <v>0.4169730759043575</v>
      </c>
    </row>
    <row r="96" spans="4:6" x14ac:dyDescent="0.2">
      <c r="D96" s="18">
        <f t="shared" ca="1" si="3"/>
        <v>1.0349075975359343</v>
      </c>
      <c r="E96" s="33">
        <f t="shared" ca="1" si="4"/>
        <v>42363</v>
      </c>
      <c r="F96" s="47">
        <v>0.42086153627515493</v>
      </c>
    </row>
    <row r="97" spans="4:6" x14ac:dyDescent="0.2">
      <c r="D97" s="18">
        <f t="shared" ca="1" si="3"/>
        <v>1.054072553045859</v>
      </c>
      <c r="E97" s="33">
        <f t="shared" ca="1" si="4"/>
        <v>42370</v>
      </c>
      <c r="F97" s="47">
        <v>0.42463126373567872</v>
      </c>
    </row>
    <row r="98" spans="4:6" x14ac:dyDescent="0.2">
      <c r="D98" s="18">
        <f t="shared" ca="1" si="3"/>
        <v>1.0732375085557837</v>
      </c>
      <c r="E98" s="33">
        <f t="shared" ca="1" si="4"/>
        <v>42377</v>
      </c>
      <c r="F98" s="47">
        <v>0.42828032899648472</v>
      </c>
    </row>
    <row r="99" spans="4:6" x14ac:dyDescent="0.2">
      <c r="D99" s="18">
        <f t="shared" ca="1" si="3"/>
        <v>1.0924024640657084</v>
      </c>
      <c r="E99" s="33">
        <f t="shared" ca="1" si="4"/>
        <v>42384</v>
      </c>
      <c r="F99" s="47">
        <v>0.43180723905129276</v>
      </c>
    </row>
    <row r="100" spans="4:6" x14ac:dyDescent="0.2">
      <c r="D100" s="18">
        <f t="shared" ca="1" si="3"/>
        <v>1.1115674195756331</v>
      </c>
      <c r="E100" s="33">
        <f t="shared" ca="1" si="4"/>
        <v>42391</v>
      </c>
      <c r="F100" s="47">
        <v>0.43521098977351469</v>
      </c>
    </row>
    <row r="101" spans="4:6" x14ac:dyDescent="0.2">
      <c r="D101" s="18">
        <f t="shared" ca="1" si="3"/>
        <v>1.1307323750855578</v>
      </c>
      <c r="E101" s="33">
        <f t="shared" ca="1" si="4"/>
        <v>42398</v>
      </c>
      <c r="F101" s="47">
        <v>0.43849111825479437</v>
      </c>
    </row>
    <row r="102" spans="4:6" x14ac:dyDescent="0.2">
      <c r="D102" s="18">
        <f t="shared" ca="1" si="3"/>
        <v>1.1498973305954825</v>
      </c>
      <c r="E102" s="33">
        <f t="shared" ca="1" si="4"/>
        <v>42405</v>
      </c>
      <c r="F102" s="47">
        <v>0.4416477539280525</v>
      </c>
    </row>
    <row r="103" spans="4:6" x14ac:dyDescent="0.2">
      <c r="D103" s="18">
        <f t="shared" ca="1" si="3"/>
        <v>1.1690622861054072</v>
      </c>
      <c r="E103" s="33">
        <f t="shared" ca="1" si="4"/>
        <v>42412</v>
      </c>
      <c r="F103" s="47">
        <v>0.44468166740760001</v>
      </c>
    </row>
    <row r="104" spans="4:6" x14ac:dyDescent="0.2">
      <c r="D104" s="18">
        <f t="shared" ca="1" si="3"/>
        <v>1.1882272416153319</v>
      </c>
      <c r="E104" s="33">
        <f t="shared" ca="1" si="4"/>
        <v>42419</v>
      </c>
      <c r="F104" s="47">
        <v>0.44759431588445725</v>
      </c>
    </row>
    <row r="105" spans="4:6" x14ac:dyDescent="0.2">
      <c r="D105" s="18">
        <f t="shared" ca="1" si="3"/>
        <v>1.2073921971252566</v>
      </c>
      <c r="E105" s="33">
        <f t="shared" ca="1" si="4"/>
        <v>42426</v>
      </c>
      <c r="F105" s="47">
        <v>0.45038788384259226</v>
      </c>
    </row>
    <row r="106" spans="4:6" x14ac:dyDescent="0.2">
      <c r="D106" s="18">
        <f t="shared" ref="D106:D169" ca="1" si="5">(E106-$E$42)/365.25</f>
        <v>1.2265571526351813</v>
      </c>
      <c r="E106" s="33">
        <f t="shared" ca="1" si="4"/>
        <v>42433</v>
      </c>
      <c r="F106" s="47">
        <v>0.45306531781801807</v>
      </c>
    </row>
    <row r="107" spans="4:6" x14ac:dyDescent="0.2">
      <c r="D107" s="18">
        <f t="shared" ca="1" si="5"/>
        <v>1.2457221081451062</v>
      </c>
      <c r="E107" s="33">
        <f t="shared" ref="E107:E170" ca="1" si="6">E106+7</f>
        <v>42440</v>
      </c>
      <c r="F107" s="47">
        <v>0.45563035391406942</v>
      </c>
    </row>
    <row r="108" spans="4:6" x14ac:dyDescent="0.2">
      <c r="D108" s="18">
        <f t="shared" ca="1" si="5"/>
        <v>1.2648870636550309</v>
      </c>
      <c r="E108" s="33">
        <f t="shared" ca="1" si="6"/>
        <v>42447</v>
      </c>
      <c r="F108" s="47">
        <v>0.45808753681857867</v>
      </c>
    </row>
    <row r="109" spans="4:6" x14ac:dyDescent="0.2">
      <c r="D109" s="18">
        <f t="shared" ca="1" si="5"/>
        <v>1.2840520191649556</v>
      </c>
      <c r="E109" s="33">
        <f t="shared" ca="1" si="6"/>
        <v>42454</v>
      </c>
      <c r="F109" s="47">
        <v>0.46044222914690025</v>
      </c>
    </row>
    <row r="110" spans="4:6" x14ac:dyDescent="0.2">
      <c r="D110" s="18">
        <f t="shared" ca="1" si="5"/>
        <v>1.3032169746748803</v>
      </c>
      <c r="E110" s="33">
        <f t="shared" ca="1" si="6"/>
        <v>42461</v>
      </c>
      <c r="F110" s="47">
        <v>0.46270061006199953</v>
      </c>
    </row>
    <row r="111" spans="4:6" x14ac:dyDescent="0.2">
      <c r="D111" s="18">
        <f t="shared" ca="1" si="5"/>
        <v>1.322381930184805</v>
      </c>
      <c r="E111" s="33">
        <f t="shared" ca="1" si="6"/>
        <v>42468</v>
      </c>
      <c r="F111" s="47">
        <v>0.46486966230033144</v>
      </c>
    </row>
    <row r="112" spans="4:6" x14ac:dyDescent="0.2">
      <c r="D112" s="18">
        <f t="shared" ca="1" si="5"/>
        <v>1.3415468856947297</v>
      </c>
      <c r="E112" s="33">
        <f t="shared" ca="1" si="6"/>
        <v>42475</v>
      </c>
      <c r="F112" s="47">
        <v>0.46695714695871388</v>
      </c>
    </row>
    <row r="113" spans="4:6" x14ac:dyDescent="0.2">
      <c r="D113" s="18">
        <f t="shared" ca="1" si="5"/>
        <v>1.3607118412046544</v>
      </c>
      <c r="E113" s="33">
        <f t="shared" ca="1" si="6"/>
        <v>42482</v>
      </c>
      <c r="F113" s="47">
        <v>0.46897156566884834</v>
      </c>
    </row>
    <row r="114" spans="4:6" x14ac:dyDescent="0.2">
      <c r="D114" s="18">
        <f t="shared" ca="1" si="5"/>
        <v>1.3798767967145791</v>
      </c>
      <c r="E114" s="33">
        <f t="shared" ca="1" si="6"/>
        <v>42489</v>
      </c>
      <c r="F114" s="47">
        <v>0.47092211009570528</v>
      </c>
    </row>
    <row r="115" spans="4:6" x14ac:dyDescent="0.2">
      <c r="D115" s="18">
        <f t="shared" ca="1" si="5"/>
        <v>1.3990417522245038</v>
      </c>
      <c r="E115" s="33">
        <f t="shared" ca="1" si="6"/>
        <v>42496</v>
      </c>
      <c r="F115" s="47">
        <v>0.47281859903397999</v>
      </c>
    </row>
    <row r="116" spans="4:6" x14ac:dyDescent="0.2">
      <c r="D116" s="18">
        <f t="shared" ca="1" si="5"/>
        <v>1.4182067077344285</v>
      </c>
      <c r="E116" s="33">
        <f t="shared" ca="1" si="6"/>
        <v>42503</v>
      </c>
      <c r="F116" s="47">
        <v>0.47467140373105132</v>
      </c>
    </row>
    <row r="117" spans="4:6" x14ac:dyDescent="0.2">
      <c r="D117" s="18">
        <f t="shared" ca="1" si="5"/>
        <v>1.4373716632443532</v>
      </c>
      <c r="E117" s="33">
        <f t="shared" ca="1" si="6"/>
        <v>42510</v>
      </c>
      <c r="F117" s="47">
        <v>0.47649136242113438</v>
      </c>
    </row>
    <row r="118" spans="4:6" x14ac:dyDescent="0.2">
      <c r="D118" s="18">
        <f t="shared" ca="1" si="5"/>
        <v>1.4565366187542779</v>
      </c>
      <c r="E118" s="33">
        <f t="shared" ca="1" si="6"/>
        <v>42517</v>
      </c>
      <c r="F118" s="47">
        <v>0.4782896853980938</v>
      </c>
    </row>
    <row r="119" spans="4:6" x14ac:dyDescent="0.2">
      <c r="D119" s="18">
        <f t="shared" ca="1" si="5"/>
        <v>1.4757015742642026</v>
      </c>
      <c r="E119" s="33">
        <f t="shared" ca="1" si="6"/>
        <v>42524</v>
      </c>
      <c r="F119" s="47">
        <v>0.48007785226780875</v>
      </c>
    </row>
    <row r="120" spans="4:6" x14ac:dyDescent="0.2">
      <c r="D120" s="18">
        <f t="shared" ca="1" si="5"/>
        <v>1.4948665297741273</v>
      </c>
      <c r="E120" s="33">
        <f t="shared" ca="1" si="6"/>
        <v>42531</v>
      </c>
      <c r="F120" s="47">
        <v>0.48186750328971351</v>
      </c>
    </row>
    <row r="121" spans="4:6" x14ac:dyDescent="0.2">
      <c r="D121" s="18">
        <f t="shared" ca="1" si="5"/>
        <v>1.514031485284052</v>
      </c>
      <c r="E121" s="33">
        <f t="shared" ca="1" si="6"/>
        <v>42538</v>
      </c>
      <c r="F121" s="47">
        <v>0.48367032692752904</v>
      </c>
    </row>
    <row r="122" spans="4:6" x14ac:dyDescent="0.2">
      <c r="D122" s="18">
        <f t="shared" ca="1" si="5"/>
        <v>1.5331964407939767</v>
      </c>
      <c r="E122" s="33">
        <f t="shared" ca="1" si="6"/>
        <v>42545</v>
      </c>
      <c r="F122" s="47">
        <v>0.48549794587013201</v>
      </c>
    </row>
    <row r="123" spans="4:6" x14ac:dyDescent="0.2">
      <c r="D123" s="18">
        <f t="shared" ca="1" si="5"/>
        <v>1.5523613963039014</v>
      </c>
      <c r="E123" s="33">
        <f t="shared" ca="1" si="6"/>
        <v>42552</v>
      </c>
      <c r="F123" s="47">
        <v>0.48736180384728928</v>
      </c>
    </row>
    <row r="124" spans="4:6" x14ac:dyDescent="0.2">
      <c r="D124" s="18">
        <f t="shared" ca="1" si="5"/>
        <v>1.5715263518138261</v>
      </c>
      <c r="E124" s="33">
        <f t="shared" ca="1" si="6"/>
        <v>42559</v>
      </c>
      <c r="F124" s="47">
        <v>0.48927305554787598</v>
      </c>
    </row>
    <row r="125" spans="4:6" x14ac:dyDescent="0.2">
      <c r="D125" s="18">
        <f t="shared" ca="1" si="5"/>
        <v>1.5906913073237507</v>
      </c>
      <c r="E125" s="33">
        <f t="shared" ca="1" si="6"/>
        <v>42566</v>
      </c>
      <c r="F125" s="47">
        <v>0.4912424618507662</v>
      </c>
    </row>
    <row r="126" spans="4:6" x14ac:dyDescent="0.2">
      <c r="D126" s="18">
        <f t="shared" ca="1" si="5"/>
        <v>1.6098562628336757</v>
      </c>
      <c r="E126" s="33">
        <f t="shared" ca="1" si="6"/>
        <v>42573</v>
      </c>
      <c r="F126" s="47">
        <v>0.49328029240561011</v>
      </c>
    </row>
    <row r="127" spans="4:6" x14ac:dyDescent="0.2">
      <c r="D127" s="18">
        <f t="shared" ca="1" si="5"/>
        <v>1.6290212183436004</v>
      </c>
      <c r="E127" s="33">
        <f t="shared" ca="1" si="6"/>
        <v>42580</v>
      </c>
      <c r="F127" s="47">
        <v>0.4953962373609318</v>
      </c>
    </row>
    <row r="128" spans="4:6" x14ac:dyDescent="0.2">
      <c r="D128" s="18">
        <f t="shared" ca="1" si="5"/>
        <v>1.6481861738535251</v>
      </c>
      <c r="E128" s="33">
        <f t="shared" ca="1" si="6"/>
        <v>42587</v>
      </c>
      <c r="F128" s="47">
        <v>0.49759932974236326</v>
      </c>
    </row>
    <row r="129" spans="4:6" x14ac:dyDescent="0.2">
      <c r="D129" s="18">
        <f t="shared" ca="1" si="5"/>
        <v>1.6673511293634498</v>
      </c>
      <c r="E129" s="33">
        <f t="shared" ca="1" si="6"/>
        <v>42594</v>
      </c>
      <c r="F129" s="47">
        <v>0.49989787964884908</v>
      </c>
    </row>
    <row r="130" spans="4:6" x14ac:dyDescent="0.2">
      <c r="D130" s="18">
        <f t="shared" ca="1" si="5"/>
        <v>1.6865160848733745</v>
      </c>
      <c r="E130" s="33">
        <f t="shared" ca="1" si="6"/>
        <v>42601</v>
      </c>
      <c r="F130" s="47">
        <v>0.50229942107515368</v>
      </c>
    </row>
    <row r="131" spans="4:6" x14ac:dyDescent="0.2">
      <c r="D131" s="18">
        <f t="shared" ca="1" si="5"/>
        <v>1.7056810403832992</v>
      </c>
      <c r="E131" s="33">
        <f t="shared" ca="1" si="6"/>
        <v>42608</v>
      </c>
      <c r="F131" s="47">
        <v>0.50481067180129857</v>
      </c>
    </row>
    <row r="132" spans="4:6" x14ac:dyDescent="0.2">
      <c r="D132" s="18">
        <f t="shared" ca="1" si="5"/>
        <v>1.7248459958932238</v>
      </c>
      <c r="E132" s="33">
        <f t="shared" ca="1" si="6"/>
        <v>42615</v>
      </c>
      <c r="F132" s="47">
        <v>0.50743750642928787</v>
      </c>
    </row>
    <row r="133" spans="4:6" x14ac:dyDescent="0.2">
      <c r="D133" s="18">
        <f t="shared" ca="1" si="5"/>
        <v>1.7440109514031485</v>
      </c>
      <c r="E133" s="33">
        <f t="shared" ca="1" si="6"/>
        <v>42622</v>
      </c>
      <c r="F133" s="47">
        <v>0.51018494230883982</v>
      </c>
    </row>
    <row r="134" spans="4:6" x14ac:dyDescent="0.2">
      <c r="D134" s="18">
        <f t="shared" ca="1" si="5"/>
        <v>1.7631759069130732</v>
      </c>
      <c r="E134" s="33">
        <f t="shared" ca="1" si="6"/>
        <v>42629</v>
      </c>
      <c r="F134" s="47">
        <v>0.51305713778875373</v>
      </c>
    </row>
    <row r="135" spans="4:6" x14ac:dyDescent="0.2">
      <c r="D135" s="18">
        <f t="shared" ca="1" si="5"/>
        <v>1.7823408624229979</v>
      </c>
      <c r="E135" s="33">
        <f t="shared" ca="1" si="6"/>
        <v>42636</v>
      </c>
      <c r="F135" s="47">
        <v>0.5160574019682832</v>
      </c>
    </row>
    <row r="136" spans="4:6" x14ac:dyDescent="0.2">
      <c r="D136" s="18">
        <f t="shared" ca="1" si="5"/>
        <v>1.8015058179329226</v>
      </c>
      <c r="E136" s="33">
        <f t="shared" ca="1" si="6"/>
        <v>42643</v>
      </c>
      <c r="F136" s="47">
        <v>0.51918821490969258</v>
      </c>
    </row>
    <row r="137" spans="4:6" x14ac:dyDescent="0.2">
      <c r="D137" s="18">
        <f t="shared" ca="1" si="5"/>
        <v>1.8206707734428473</v>
      </c>
      <c r="E137" s="33">
        <f t="shared" ca="1" si="6"/>
        <v>42650</v>
      </c>
      <c r="F137" s="47">
        <v>0.5224512571123876</v>
      </c>
    </row>
    <row r="138" spans="4:6" x14ac:dyDescent="0.2">
      <c r="D138" s="18">
        <f t="shared" ca="1" si="5"/>
        <v>1.839835728952772</v>
      </c>
      <c r="E138" s="33">
        <f t="shared" ca="1" si="6"/>
        <v>42657</v>
      </c>
      <c r="F138" s="47">
        <v>0.52584744694105678</v>
      </c>
    </row>
    <row r="139" spans="4:6" x14ac:dyDescent="0.2">
      <c r="D139" s="18">
        <f t="shared" ca="1" si="5"/>
        <v>1.8590006844626967</v>
      </c>
      <c r="E139" s="33">
        <f t="shared" ca="1" si="6"/>
        <v>42664</v>
      </c>
      <c r="F139" s="47">
        <v>0.5293769846431583</v>
      </c>
    </row>
    <row r="140" spans="4:6" x14ac:dyDescent="0.2">
      <c r="D140" s="18">
        <f t="shared" ca="1" si="5"/>
        <v>1.8781656399726214</v>
      </c>
      <c r="E140" s="33">
        <f t="shared" ca="1" si="6"/>
        <v>42671</v>
      </c>
      <c r="F140" s="47">
        <v>0.53303940158077456</v>
      </c>
    </row>
    <row r="141" spans="4:6" x14ac:dyDescent="0.2">
      <c r="D141" s="18">
        <f t="shared" ca="1" si="5"/>
        <v>1.8973305954825461</v>
      </c>
      <c r="E141" s="33">
        <f t="shared" ca="1" si="6"/>
        <v>42678</v>
      </c>
      <c r="F141" s="47">
        <v>0.53683361333275903</v>
      </c>
    </row>
    <row r="142" spans="4:6" x14ac:dyDescent="0.2">
      <c r="D142" s="18">
        <f t="shared" ca="1" si="5"/>
        <v>1.9164955509924708</v>
      </c>
      <c r="E142" s="33">
        <f t="shared" ca="1" si="6"/>
        <v>42685</v>
      </c>
      <c r="F142" s="47">
        <v>0.54075797538862358</v>
      </c>
    </row>
    <row r="143" spans="4:6" x14ac:dyDescent="0.2">
      <c r="D143" s="18">
        <f t="shared" ca="1" si="5"/>
        <v>1.9356605065023955</v>
      </c>
      <c r="E143" s="33">
        <f t="shared" ca="1" si="6"/>
        <v>42692</v>
      </c>
      <c r="F143" s="47">
        <v>0.54481034024866704</v>
      </c>
    </row>
    <row r="144" spans="4:6" x14ac:dyDescent="0.2">
      <c r="D144" s="18">
        <f t="shared" ca="1" si="5"/>
        <v>1.9548254620123204</v>
      </c>
      <c r="E144" s="33">
        <f t="shared" ca="1" si="6"/>
        <v>42699</v>
      </c>
      <c r="F144" s="47">
        <v>0.54898811485825894</v>
      </c>
    </row>
    <row r="145" spans="4:6" x14ac:dyDescent="0.2">
      <c r="D145" s="18">
        <f t="shared" ca="1" si="5"/>
        <v>1.9739904175222451</v>
      </c>
      <c r="E145" s="33">
        <f t="shared" ca="1" si="6"/>
        <v>42706</v>
      </c>
      <c r="F145" s="47">
        <v>0.55328831743109019</v>
      </c>
    </row>
    <row r="146" spans="4:6" x14ac:dyDescent="0.2">
      <c r="D146" s="18">
        <f t="shared" ca="1" si="5"/>
        <v>1.9931553730321698</v>
      </c>
      <c r="E146" s="33">
        <f t="shared" ca="1" si="6"/>
        <v>42713</v>
      </c>
      <c r="F146" s="47">
        <v>0.55770763285031821</v>
      </c>
    </row>
    <row r="147" spans="4:6" x14ac:dyDescent="0.2">
      <c r="D147" s="18">
        <f t="shared" ca="1" si="5"/>
        <v>2.0123203285420943</v>
      </c>
      <c r="E147" s="33">
        <f t="shared" ca="1" si="6"/>
        <v>42720</v>
      </c>
      <c r="F147" s="47">
        <v>0.56223971916627735</v>
      </c>
    </row>
    <row r="148" spans="4:6" x14ac:dyDescent="0.2">
      <c r="D148" s="18">
        <f t="shared" ca="1" si="5"/>
        <v>2.0314852840520192</v>
      </c>
      <c r="E148" s="33">
        <f t="shared" ca="1" si="6"/>
        <v>42727</v>
      </c>
      <c r="F148" s="47">
        <v>0.56687448343779911</v>
      </c>
    </row>
    <row r="149" spans="4:6" x14ac:dyDescent="0.2">
      <c r="D149" s="18">
        <f t="shared" ca="1" si="5"/>
        <v>2.0506502395619437</v>
      </c>
      <c r="E149" s="33">
        <f t="shared" ca="1" si="6"/>
        <v>42734</v>
      </c>
      <c r="F149" s="47">
        <v>0.5716145216278582</v>
      </c>
    </row>
    <row r="150" spans="4:6" x14ac:dyDescent="0.2">
      <c r="D150" s="18">
        <f t="shared" ca="1" si="5"/>
        <v>2.0698151950718686</v>
      </c>
      <c r="E150" s="33">
        <f t="shared" ca="1" si="6"/>
        <v>42741</v>
      </c>
      <c r="F150" s="47">
        <v>0.576463220011868</v>
      </c>
    </row>
    <row r="151" spans="4:6" x14ac:dyDescent="0.2">
      <c r="D151" s="18">
        <f t="shared" ca="1" si="5"/>
        <v>2.0889801505817931</v>
      </c>
      <c r="E151" s="33">
        <f t="shared" ca="1" si="6"/>
        <v>42748</v>
      </c>
      <c r="F151" s="47">
        <v>0.58142369756705503</v>
      </c>
    </row>
    <row r="152" spans="4:6" x14ac:dyDescent="0.2">
      <c r="D152" s="18">
        <f t="shared" ca="1" si="5"/>
        <v>2.108145106091718</v>
      </c>
      <c r="E152" s="33">
        <f t="shared" ca="1" si="6"/>
        <v>42755</v>
      </c>
      <c r="F152" s="47">
        <v>0.58649875568201892</v>
      </c>
    </row>
    <row r="153" spans="4:6" x14ac:dyDescent="0.2">
      <c r="D153" s="18">
        <f t="shared" ca="1" si="5"/>
        <v>2.1273100616016429</v>
      </c>
      <c r="E153" s="33">
        <f t="shared" ca="1" si="6"/>
        <v>42762</v>
      </c>
      <c r="F153" s="47">
        <v>0.591690826205863</v>
      </c>
    </row>
    <row r="154" spans="4:6" x14ac:dyDescent="0.2">
      <c r="D154" s="18">
        <f t="shared" ca="1" si="5"/>
        <v>2.1464750171115674</v>
      </c>
      <c r="E154" s="33">
        <f t="shared" ca="1" si="6"/>
        <v>42769</v>
      </c>
      <c r="F154" s="47">
        <v>0.59700191853866613</v>
      </c>
    </row>
    <row r="155" spans="4:6" x14ac:dyDescent="0.2">
      <c r="D155" s="18">
        <f t="shared" ca="1" si="5"/>
        <v>2.1656399726214923</v>
      </c>
      <c r="E155" s="33">
        <f t="shared" ca="1" si="6"/>
        <v>42776</v>
      </c>
      <c r="F155" s="47">
        <v>0.60243356659057223</v>
      </c>
    </row>
    <row r="156" spans="4:6" x14ac:dyDescent="0.2">
      <c r="D156" s="18">
        <f t="shared" ca="1" si="5"/>
        <v>2.1848049281314168</v>
      </c>
      <c r="E156" s="33">
        <f t="shared" ca="1" si="6"/>
        <v>42783</v>
      </c>
      <c r="F156" s="47">
        <v>0.60798677655700173</v>
      </c>
    </row>
    <row r="157" spans="4:6" x14ac:dyDescent="0.2">
      <c r="D157" s="18">
        <f t="shared" ca="1" si="5"/>
        <v>2.2039698836413417</v>
      </c>
      <c r="E157" s="33">
        <f t="shared" ca="1" si="6"/>
        <v>42790</v>
      </c>
      <c r="F157" s="47">
        <v>0.61366197656670696</v>
      </c>
    </row>
    <row r="158" spans="4:6" x14ac:dyDescent="0.2">
      <c r="D158" s="18">
        <f t="shared" ca="1" si="5"/>
        <v>2.2231348391512662</v>
      </c>
      <c r="E158" s="33">
        <f t="shared" ca="1" si="6"/>
        <v>42797</v>
      </c>
      <c r="F158" s="47">
        <v>0.61945896935138101</v>
      </c>
    </row>
    <row r="159" spans="4:6" x14ac:dyDescent="0.2">
      <c r="D159" s="18">
        <f t="shared" ca="1" si="5"/>
        <v>2.2422997946611911</v>
      </c>
      <c r="E159" s="33">
        <f t="shared" ca="1" si="6"/>
        <v>42804</v>
      </c>
      <c r="F159" s="47">
        <v>0.62537688915365786</v>
      </c>
    </row>
    <row r="160" spans="4:6" x14ac:dyDescent="0.2">
      <c r="D160" s="18">
        <f t="shared" ca="1" si="5"/>
        <v>2.2614647501711156</v>
      </c>
      <c r="E160" s="33">
        <f t="shared" ca="1" si="6"/>
        <v>42811</v>
      </c>
      <c r="F160" s="47">
        <v>0.63141416412805418</v>
      </c>
    </row>
    <row r="161" spans="4:6" x14ac:dyDescent="0.2">
      <c r="D161" s="18">
        <f t="shared" ca="1" si="5"/>
        <v>2.2806297056810405</v>
      </c>
      <c r="E161" s="33">
        <f t="shared" ca="1" si="6"/>
        <v>42818</v>
      </c>
      <c r="F161" s="47">
        <v>0.63756848549053768</v>
      </c>
    </row>
    <row r="162" spans="4:6" x14ac:dyDescent="0.2">
      <c r="D162" s="18">
        <f t="shared" ca="1" si="5"/>
        <v>2.299794661190965</v>
      </c>
      <c r="E162" s="33">
        <f t="shared" ca="1" si="6"/>
        <v>42825</v>
      </c>
      <c r="F162" s="47">
        <v>0.64383678463163374</v>
      </c>
    </row>
    <row r="163" spans="4:6" x14ac:dyDescent="0.2">
      <c r="D163" s="18">
        <f t="shared" ca="1" si="5"/>
        <v>2.3189596167008899</v>
      </c>
      <c r="E163" s="33">
        <f t="shared" ca="1" si="6"/>
        <v>42832</v>
      </c>
      <c r="F163" s="47">
        <v>0.65021521932138815</v>
      </c>
    </row>
    <row r="164" spans="4:6" x14ac:dyDescent="0.2">
      <c r="D164" s="18">
        <f t="shared" ca="1" si="5"/>
        <v>2.3381245722108144</v>
      </c>
      <c r="E164" s="33">
        <f t="shared" ca="1" si="6"/>
        <v>42839</v>
      </c>
      <c r="F164" s="47">
        <v>0.6566991699998922</v>
      </c>
    </row>
    <row r="165" spans="4:6" x14ac:dyDescent="0.2">
      <c r="D165" s="18">
        <f t="shared" ca="1" si="5"/>
        <v>2.3572895277207393</v>
      </c>
      <c r="E165" s="33">
        <f t="shared" ca="1" si="6"/>
        <v>42846</v>
      </c>
      <c r="F165" s="47">
        <v>0.66328324696456853</v>
      </c>
    </row>
    <row r="166" spans="4:6" x14ac:dyDescent="0.2">
      <c r="D166" s="18">
        <f t="shared" ca="1" si="5"/>
        <v>2.3764544832306638</v>
      </c>
      <c r="E166" s="33">
        <f t="shared" ca="1" si="6"/>
        <v>42853</v>
      </c>
      <c r="F166" s="47">
        <v>0.66996130903761697</v>
      </c>
    </row>
    <row r="167" spans="4:6" x14ac:dyDescent="0.2">
      <c r="D167" s="18">
        <f t="shared" ca="1" si="5"/>
        <v>2.3956194387405887</v>
      </c>
      <c r="E167" s="33">
        <f t="shared" ca="1" si="6"/>
        <v>42860</v>
      </c>
      <c r="F167" s="47">
        <v>0.67672649402924312</v>
      </c>
    </row>
    <row r="168" spans="4:6" x14ac:dyDescent="0.2">
      <c r="D168" s="18">
        <f t="shared" ca="1" si="5"/>
        <v>2.4147843942505132</v>
      </c>
      <c r="E168" s="33">
        <f t="shared" ca="1" si="6"/>
        <v>42867</v>
      </c>
      <c r="F168" s="47">
        <v>0.68357126101259236</v>
      </c>
    </row>
    <row r="169" spans="4:6" x14ac:dyDescent="0.2">
      <c r="D169" s="18">
        <f t="shared" ca="1" si="5"/>
        <v>2.4339493497604381</v>
      </c>
      <c r="E169" s="33">
        <f t="shared" ca="1" si="6"/>
        <v>42874</v>
      </c>
      <c r="F169" s="47">
        <v>0.69048744410517415</v>
      </c>
    </row>
    <row r="170" spans="4:6" x14ac:dyDescent="0.2">
      <c r="D170" s="18">
        <f t="shared" ref="D170:D233" ca="1" si="7">(E170-$E$42)/365.25</f>
        <v>2.4531143052703626</v>
      </c>
      <c r="E170" s="33">
        <f t="shared" ca="1" si="6"/>
        <v>42881</v>
      </c>
      <c r="F170" s="47">
        <v>0.69746631712155061</v>
      </c>
    </row>
    <row r="171" spans="4:6" x14ac:dyDescent="0.2">
      <c r="D171" s="18">
        <f t="shared" ca="1" si="7"/>
        <v>2.4722792607802875</v>
      </c>
      <c r="E171" s="33">
        <f t="shared" ref="E171:E234" ca="1" si="8">E170+7</f>
        <v>42888</v>
      </c>
      <c r="F171" s="47">
        <v>0.70449866813714646</v>
      </c>
    </row>
    <row r="172" spans="4:6" x14ac:dyDescent="0.2">
      <c r="D172" s="18">
        <f t="shared" ca="1" si="7"/>
        <v>2.4914442162902124</v>
      </c>
      <c r="E172" s="33">
        <f t="shared" ca="1" si="8"/>
        <v>42895</v>
      </c>
      <c r="F172" s="47">
        <v>0.71157488269779812</v>
      </c>
    </row>
    <row r="173" spans="4:6" x14ac:dyDescent="0.2">
      <c r="D173" s="18">
        <f t="shared" ca="1" si="7"/>
        <v>2.5106091718001369</v>
      </c>
      <c r="E173" s="33">
        <f t="shared" ca="1" si="8"/>
        <v>42902</v>
      </c>
      <c r="F173" s="47">
        <v>0.7186850341384371</v>
      </c>
    </row>
    <row r="174" spans="4:6" x14ac:dyDescent="0.2">
      <c r="D174" s="18">
        <f t="shared" ca="1" si="7"/>
        <v>2.5297741273100618</v>
      </c>
      <c r="E174" s="33">
        <f t="shared" ca="1" si="8"/>
        <v>42909</v>
      </c>
      <c r="F174" s="47">
        <v>0.72581897925012717</v>
      </c>
    </row>
    <row r="175" spans="4:6" x14ac:dyDescent="0.2">
      <c r="D175" s="18">
        <f t="shared" ca="1" si="7"/>
        <v>2.5489390828199863</v>
      </c>
      <c r="E175" s="33">
        <f t="shared" ca="1" si="8"/>
        <v>42916</v>
      </c>
      <c r="F175" s="47">
        <v>0.73296645736858801</v>
      </c>
    </row>
    <row r="176" spans="4:6" x14ac:dyDescent="0.2">
      <c r="D176" s="18">
        <f t="shared" ca="1" si="7"/>
        <v>2.5681040383299112</v>
      </c>
      <c r="E176" s="33">
        <f t="shared" ca="1" si="8"/>
        <v>42923</v>
      </c>
      <c r="F176" s="47">
        <v>0.74011719085737104</v>
      </c>
    </row>
    <row r="177" spans="4:6" x14ac:dyDescent="0.2">
      <c r="D177" s="18">
        <f t="shared" ca="1" si="7"/>
        <v>2.5872689938398357</v>
      </c>
      <c r="E177" s="33">
        <f t="shared" ca="1" si="8"/>
        <v>42930</v>
      </c>
      <c r="F177" s="47">
        <v>0.74726098492970161</v>
      </c>
    </row>
    <row r="178" spans="4:6" x14ac:dyDescent="0.2">
      <c r="D178" s="18">
        <f t="shared" ca="1" si="7"/>
        <v>2.6064339493497606</v>
      </c>
      <c r="E178" s="33">
        <f t="shared" ca="1" si="8"/>
        <v>42937</v>
      </c>
      <c r="F178" s="47">
        <v>0.75438782479551802</v>
      </c>
    </row>
    <row r="179" spans="4:6" x14ac:dyDescent="0.2">
      <c r="D179" s="18">
        <f t="shared" ca="1" si="7"/>
        <v>2.6255989048596851</v>
      </c>
      <c r="E179" s="33">
        <f t="shared" ca="1" si="8"/>
        <v>42944</v>
      </c>
      <c r="F179" s="47">
        <v>0.76148796823154141</v>
      </c>
    </row>
    <row r="180" spans="4:6" x14ac:dyDescent="0.2">
      <c r="D180" s="18">
        <f t="shared" ca="1" si="7"/>
        <v>2.64476386036961</v>
      </c>
      <c r="E180" s="33">
        <f t="shared" ca="1" si="8"/>
        <v>42951</v>
      </c>
      <c r="F180" s="47">
        <v>0.76855203184584886</v>
      </c>
    </row>
    <row r="181" spans="4:6" x14ac:dyDescent="0.2">
      <c r="D181" s="18">
        <f t="shared" ca="1" si="7"/>
        <v>2.6639288158795345</v>
      </c>
      <c r="E181" s="33">
        <f t="shared" ca="1" si="8"/>
        <v>42958</v>
      </c>
      <c r="F181" s="47">
        <v>0.77557106953490484</v>
      </c>
    </row>
    <row r="182" spans="4:6" x14ac:dyDescent="0.2">
      <c r="D182" s="18">
        <f t="shared" ca="1" si="7"/>
        <v>2.6830937713894594</v>
      </c>
      <c r="E182" s="33">
        <f t="shared" ca="1" si="8"/>
        <v>42965</v>
      </c>
      <c r="F182" s="47">
        <v>0.78253664189852778</v>
      </c>
    </row>
    <row r="183" spans="4:6" x14ac:dyDescent="0.2">
      <c r="D183" s="18">
        <f t="shared" ca="1" si="7"/>
        <v>2.7022587268993838</v>
      </c>
      <c r="E183" s="33">
        <f t="shared" ca="1" si="8"/>
        <v>42972</v>
      </c>
      <c r="F183" s="47">
        <v>0.78944087567354426</v>
      </c>
    </row>
    <row r="184" spans="4:6" x14ac:dyDescent="0.2">
      <c r="D184" s="18">
        <f t="shared" ca="1" si="7"/>
        <v>2.7214236824093088</v>
      </c>
      <c r="E184" s="33">
        <f t="shared" ca="1" si="8"/>
        <v>42979</v>
      </c>
      <c r="F184" s="47">
        <v>0.7962765125559863</v>
      </c>
    </row>
    <row r="185" spans="4:6" x14ac:dyDescent="0.2">
      <c r="D185" s="18">
        <f t="shared" ca="1" si="7"/>
        <v>2.7405886379192332</v>
      </c>
      <c r="E185" s="33">
        <f t="shared" ca="1" si="8"/>
        <v>42986</v>
      </c>
      <c r="F185" s="47">
        <v>0.80303694709108064</v>
      </c>
    </row>
    <row r="186" spans="4:6" x14ac:dyDescent="0.2">
      <c r="D186" s="18">
        <f t="shared" ca="1" si="7"/>
        <v>2.7597535934291582</v>
      </c>
      <c r="E186" s="33">
        <f t="shared" ca="1" si="8"/>
        <v>42993</v>
      </c>
      <c r="F186" s="47">
        <v>0.809716253607354</v>
      </c>
    </row>
    <row r="187" spans="4:6" x14ac:dyDescent="0.2">
      <c r="D187" s="18">
        <f t="shared" ca="1" si="7"/>
        <v>2.7789185489390826</v>
      </c>
      <c r="E187" s="33">
        <f t="shared" ca="1" si="8"/>
        <v>43000</v>
      </c>
      <c r="F187" s="47">
        <v>0.81630920244519456</v>
      </c>
    </row>
    <row r="188" spans="4:6" x14ac:dyDescent="0.2">
      <c r="D188" s="18">
        <f t="shared" ca="1" si="7"/>
        <v>2.7980835044490076</v>
      </c>
      <c r="E188" s="33">
        <f t="shared" ca="1" si="8"/>
        <v>43007</v>
      </c>
      <c r="F188" s="47">
        <v>0.82281126597243481</v>
      </c>
    </row>
    <row r="189" spans="4:6" x14ac:dyDescent="0.2">
      <c r="D189" s="18">
        <f t="shared" ca="1" si="7"/>
        <v>2.817248459958932</v>
      </c>
      <c r="E189" s="33">
        <f t="shared" ca="1" si="8"/>
        <v>43014</v>
      </c>
      <c r="F189" s="47">
        <v>0.82921861508375638</v>
      </c>
    </row>
    <row r="190" spans="4:6" x14ac:dyDescent="0.2">
      <c r="D190" s="18">
        <f t="shared" ca="1" si="7"/>
        <v>2.8364134154688569</v>
      </c>
      <c r="E190" s="33">
        <f t="shared" ca="1" si="8"/>
        <v>43021</v>
      </c>
      <c r="F190" s="47">
        <v>0.83552810704317848</v>
      </c>
    </row>
    <row r="191" spans="4:6" x14ac:dyDescent="0.2">
      <c r="D191" s="18">
        <f t="shared" ca="1" si="7"/>
        <v>2.8555783709787819</v>
      </c>
      <c r="E191" s="33">
        <f t="shared" ca="1" si="8"/>
        <v>43028</v>
      </c>
      <c r="F191" s="47">
        <v>0.84173726564819873</v>
      </c>
    </row>
    <row r="192" spans="4:6" x14ac:dyDescent="0.2">
      <c r="D192" s="18">
        <f t="shared" ca="1" si="7"/>
        <v>2.8747433264887063</v>
      </c>
      <c r="E192" s="33">
        <f t="shared" ca="1" si="8"/>
        <v>43035</v>
      </c>
      <c r="F192" s="47">
        <v>0.84784425477108594</v>
      </c>
    </row>
    <row r="193" spans="4:6" x14ac:dyDescent="0.2">
      <c r="D193" s="18">
        <f t="shared" ca="1" si="7"/>
        <v>2.8939082819986313</v>
      </c>
      <c r="E193" s="33">
        <f t="shared" ca="1" si="8"/>
        <v>43042</v>
      </c>
      <c r="F193" s="47">
        <v>0.85384784636985422</v>
      </c>
    </row>
    <row r="194" spans="4:6" x14ac:dyDescent="0.2">
      <c r="D194" s="18">
        <f t="shared" ca="1" si="7"/>
        <v>2.9130732375085557</v>
      </c>
      <c r="E194" s="33">
        <f t="shared" ca="1" si="8"/>
        <v>43049</v>
      </c>
      <c r="F194" s="47">
        <v>0.85974738406261808</v>
      </c>
    </row>
    <row r="195" spans="4:6" x14ac:dyDescent="0.2">
      <c r="D195" s="18">
        <f t="shared" ca="1" si="7"/>
        <v>2.9322381930184807</v>
      </c>
      <c r="E195" s="33">
        <f t="shared" ca="1" si="8"/>
        <v>43056</v>
      </c>
      <c r="F195" s="47">
        <v>0.86554274332911596</v>
      </c>
    </row>
    <row r="196" spans="4:6" x14ac:dyDescent="0.2">
      <c r="D196" s="18">
        <f t="shared" ca="1" si="7"/>
        <v>2.9514031485284051</v>
      </c>
      <c r="E196" s="33">
        <f t="shared" ca="1" si="8"/>
        <v>43063</v>
      </c>
      <c r="F196" s="47">
        <v>0.87123428934778113</v>
      </c>
    </row>
    <row r="197" spans="4:6" x14ac:dyDescent="0.2">
      <c r="D197" s="18">
        <f t="shared" ca="1" si="7"/>
        <v>2.97056810403833</v>
      </c>
      <c r="E197" s="33">
        <f t="shared" ca="1" si="8"/>
        <v>43070</v>
      </c>
      <c r="F197" s="47">
        <v>0.87682283340140466</v>
      </c>
    </row>
    <row r="198" spans="4:6" x14ac:dyDescent="0.2">
      <c r="D198" s="18">
        <f t="shared" ca="1" si="7"/>
        <v>2.9897330595482545</v>
      </c>
      <c r="E198" s="33">
        <f t="shared" ca="1" si="8"/>
        <v>43077</v>
      </c>
      <c r="F198" s="47">
        <v>0.88230958869479803</v>
      </c>
    </row>
    <row r="199" spans="4:6" x14ac:dyDescent="0.2">
      <c r="D199" s="18">
        <f t="shared" ca="1" si="7"/>
        <v>3.0088980150581794</v>
      </c>
      <c r="E199" s="33">
        <f t="shared" ca="1" si="8"/>
        <v>43084</v>
      </c>
      <c r="F199" s="47">
        <v>0.88770702068620111</v>
      </c>
    </row>
    <row r="200" spans="4:6" x14ac:dyDescent="0.2">
      <c r="D200" s="18">
        <f t="shared" ca="1" si="7"/>
        <v>3.0280629705681039</v>
      </c>
      <c r="E200" s="33">
        <f t="shared" ca="1" si="8"/>
        <v>43091</v>
      </c>
      <c r="F200" s="47">
        <v>0.89309179452507126</v>
      </c>
    </row>
    <row r="201" spans="4:6" x14ac:dyDescent="0.2">
      <c r="D201" s="18">
        <f t="shared" ca="1" si="7"/>
        <v>3.0472279260780288</v>
      </c>
      <c r="E201" s="33">
        <f t="shared" ca="1" si="8"/>
        <v>43098</v>
      </c>
      <c r="F201" s="47">
        <v>0.89847803261814718</v>
      </c>
    </row>
    <row r="202" spans="4:6" x14ac:dyDescent="0.2">
      <c r="D202" s="18">
        <f t="shared" ca="1" si="7"/>
        <v>3.0663928815879533</v>
      </c>
      <c r="E202" s="33">
        <f t="shared" ca="1" si="8"/>
        <v>43105</v>
      </c>
      <c r="F202" s="47">
        <v>0.90386521892402105</v>
      </c>
    </row>
    <row r="203" spans="4:6" x14ac:dyDescent="0.2">
      <c r="D203" s="18">
        <f t="shared" ca="1" si="7"/>
        <v>3.0855578370978782</v>
      </c>
      <c r="E203" s="33">
        <f t="shared" ca="1" si="8"/>
        <v>43112</v>
      </c>
      <c r="F203" s="47">
        <v>0.90925281666153268</v>
      </c>
    </row>
    <row r="204" spans="4:6" x14ac:dyDescent="0.2">
      <c r="D204" s="18">
        <f t="shared" ca="1" si="7"/>
        <v>3.1047227926078027</v>
      </c>
      <c r="E204" s="33">
        <f t="shared" ca="1" si="8"/>
        <v>43119</v>
      </c>
      <c r="F204" s="47">
        <v>0.91464026836084911</v>
      </c>
    </row>
    <row r="205" spans="4:6" x14ac:dyDescent="0.2">
      <c r="D205" s="18">
        <f t="shared" ca="1" si="7"/>
        <v>3.1238877481177276</v>
      </c>
      <c r="E205" s="33">
        <f t="shared" ca="1" si="8"/>
        <v>43126</v>
      </c>
      <c r="F205" s="47">
        <v>0.92002699597796656</v>
      </c>
    </row>
    <row r="206" spans="4:6" x14ac:dyDescent="0.2">
      <c r="D206" s="18">
        <f t="shared" ca="1" si="7"/>
        <v>3.1430527036276521</v>
      </c>
      <c r="E206" s="33">
        <f t="shared" ca="1" si="8"/>
        <v>43133</v>
      </c>
      <c r="F206" s="47">
        <v>0.92541240107636569</v>
      </c>
    </row>
    <row r="207" spans="4:6" x14ac:dyDescent="0.2">
      <c r="D207" s="18">
        <f t="shared" ca="1" si="7"/>
        <v>3.162217659137577</v>
      </c>
      <c r="E207" s="33">
        <f t="shared" ca="1" si="8"/>
        <v>43140</v>
      </c>
      <c r="F207" s="47">
        <v>0.93079586507947198</v>
      </c>
    </row>
    <row r="208" spans="4:6" x14ac:dyDescent="0.2">
      <c r="D208" s="18">
        <f t="shared" ca="1" si="7"/>
        <v>3.1813826146475015</v>
      </c>
      <c r="E208" s="33">
        <f t="shared" ca="1" si="8"/>
        <v>43147</v>
      </c>
      <c r="F208" s="47">
        <v>0.93617674959744057</v>
      </c>
    </row>
    <row r="209" spans="4:6" x14ac:dyDescent="0.2">
      <c r="D209" s="18">
        <f t="shared" ca="1" si="7"/>
        <v>3.2005475701574264</v>
      </c>
      <c r="E209" s="33">
        <f t="shared" ca="1" si="8"/>
        <v>43154</v>
      </c>
      <c r="F209" s="47">
        <v>0.94155439683163367</v>
      </c>
    </row>
    <row r="210" spans="4:6" x14ac:dyDescent="0.2">
      <c r="D210" s="18">
        <f t="shared" ca="1" si="7"/>
        <v>3.2197125256673513</v>
      </c>
      <c r="E210" s="33">
        <f t="shared" ca="1" si="8"/>
        <v>43161</v>
      </c>
      <c r="F210" s="47">
        <v>0.94692813005994958</v>
      </c>
    </row>
    <row r="211" spans="4:6" x14ac:dyDescent="0.2">
      <c r="D211" s="18">
        <f t="shared" ca="1" si="7"/>
        <v>3.2388774811772758</v>
      </c>
      <c r="E211" s="33">
        <f t="shared" ca="1" si="8"/>
        <v>43168</v>
      </c>
      <c r="F211" s="47">
        <v>0.95229725420593814</v>
      </c>
    </row>
    <row r="212" spans="4:6" x14ac:dyDescent="0.2">
      <c r="D212" s="18">
        <f t="shared" ca="1" si="7"/>
        <v>3.2580424366872007</v>
      </c>
      <c r="E212" s="33">
        <f t="shared" ca="1" si="8"/>
        <v>43175</v>
      </c>
      <c r="F212" s="47">
        <v>0.95766105649434663</v>
      </c>
    </row>
    <row r="213" spans="4:6" x14ac:dyDescent="0.2">
      <c r="D213" s="18">
        <f t="shared" ca="1" si="7"/>
        <v>3.2772073921971252</v>
      </c>
      <c r="E213" s="33">
        <f t="shared" ca="1" si="8"/>
        <v>43182</v>
      </c>
      <c r="F213" s="47">
        <v>0.96301880719543131</v>
      </c>
    </row>
    <row r="214" spans="4:6" x14ac:dyDescent="0.2">
      <c r="D214" s="18">
        <f t="shared" ca="1" si="7"/>
        <v>3.2963723477070501</v>
      </c>
      <c r="E214" s="33">
        <f t="shared" ca="1" si="8"/>
        <v>43189</v>
      </c>
      <c r="F214" s="47">
        <v>0.9683697604599919</v>
      </c>
    </row>
    <row r="215" spans="4:6" x14ac:dyDescent="0.2">
      <c r="D215" s="18">
        <f t="shared" ca="1" si="7"/>
        <v>3.3155373032169746</v>
      </c>
      <c r="E215" s="33">
        <f t="shared" ca="1" si="8"/>
        <v>43196</v>
      </c>
      <c r="F215" s="47">
        <v>0.97371315524670288</v>
      </c>
    </row>
    <row r="216" spans="4:6" x14ac:dyDescent="0.2">
      <c r="D216" s="18">
        <f t="shared" ca="1" si="7"/>
        <v>3.3347022587268995</v>
      </c>
      <c r="E216" s="33">
        <f t="shared" ca="1" si="8"/>
        <v>43203</v>
      </c>
      <c r="F216" s="47">
        <v>0.97904821634283945</v>
      </c>
    </row>
    <row r="217" spans="4:6" x14ac:dyDescent="0.2">
      <c r="D217" s="18">
        <f t="shared" ca="1" si="7"/>
        <v>3.353867214236824</v>
      </c>
      <c r="E217" s="33">
        <f t="shared" ca="1" si="8"/>
        <v>43210</v>
      </c>
      <c r="F217" s="47">
        <v>0.98437415547903406</v>
      </c>
    </row>
    <row r="218" spans="4:6" x14ac:dyDescent="0.2">
      <c r="D218" s="18">
        <f t="shared" ca="1" si="7"/>
        <v>3.3730321697467489</v>
      </c>
      <c r="E218" s="33">
        <f t="shared" ca="1" si="8"/>
        <v>43217</v>
      </c>
      <c r="F218" s="47">
        <v>0.98969017253814329</v>
      </c>
    </row>
    <row r="219" spans="4:6" x14ac:dyDescent="0.2">
      <c r="D219" s="18">
        <f t="shared" ca="1" si="7"/>
        <v>3.3921971252566734</v>
      </c>
      <c r="E219" s="33">
        <f t="shared" ca="1" si="8"/>
        <v>43224</v>
      </c>
      <c r="F219" s="47">
        <v>0.99499545685776125</v>
      </c>
    </row>
    <row r="220" spans="4:6" x14ac:dyDescent="0.2">
      <c r="D220" s="18">
        <f t="shared" ca="1" si="7"/>
        <v>3.4113620807665983</v>
      </c>
      <c r="E220" s="33">
        <f t="shared" ca="1" si="8"/>
        <v>43231</v>
      </c>
      <c r="F220" s="47">
        <v>1.0002891886252845</v>
      </c>
    </row>
    <row r="221" spans="4:6" x14ac:dyDescent="0.2">
      <c r="D221" s="18">
        <f t="shared" ca="1" si="7"/>
        <v>3.4305270362765228</v>
      </c>
      <c r="E221" s="33">
        <f t="shared" ca="1" si="8"/>
        <v>43238</v>
      </c>
      <c r="F221" s="47">
        <v>1.0055705403638222</v>
      </c>
    </row>
    <row r="222" spans="4:6" x14ac:dyDescent="0.2">
      <c r="D222" s="18">
        <f t="shared" ca="1" si="7"/>
        <v>3.4496919917864477</v>
      </c>
      <c r="E222" s="33">
        <f t="shared" ca="1" si="8"/>
        <v>43245</v>
      </c>
      <c r="F222" s="47">
        <v>1.0108386785065608</v>
      </c>
    </row>
    <row r="223" spans="4:6" x14ac:dyDescent="0.2">
      <c r="D223" s="18">
        <f t="shared" ca="1" si="7"/>
        <v>3.4688569472963722</v>
      </c>
      <c r="E223" s="33">
        <f t="shared" ca="1" si="8"/>
        <v>43252</v>
      </c>
      <c r="F223" s="47">
        <v>1.0160927650565064</v>
      </c>
    </row>
    <row r="224" spans="4:6" x14ac:dyDescent="0.2">
      <c r="D224" s="18">
        <f t="shared" ca="1" si="7"/>
        <v>3.4880219028062971</v>
      </c>
      <c r="E224" s="33">
        <f t="shared" ca="1" si="8"/>
        <v>43259</v>
      </c>
      <c r="F224" s="47">
        <v>1.0213319593278343</v>
      </c>
    </row>
    <row r="225" spans="4:6" x14ac:dyDescent="0.2">
      <c r="D225" s="18">
        <f t="shared" ca="1" si="7"/>
        <v>3.5071868583162216</v>
      </c>
      <c r="E225" s="33">
        <f t="shared" ca="1" si="8"/>
        <v>43266</v>
      </c>
      <c r="F225" s="47">
        <v>1.0265554197643283</v>
      </c>
    </row>
    <row r="226" spans="4:6" x14ac:dyDescent="0.2">
      <c r="D226" s="18">
        <f t="shared" ca="1" si="7"/>
        <v>3.5263518138261465</v>
      </c>
      <c r="E226" s="33">
        <f t="shared" ca="1" si="8"/>
        <v>43273</v>
      </c>
      <c r="F226" s="47">
        <v>1.0317623058296868</v>
      </c>
    </row>
    <row r="227" spans="4:6" x14ac:dyDescent="0.2">
      <c r="D227" s="18">
        <f t="shared" ca="1" si="7"/>
        <v>3.5455167693360714</v>
      </c>
      <c r="E227" s="33">
        <f t="shared" ca="1" si="8"/>
        <v>43280</v>
      </c>
      <c r="F227" s="47">
        <v>1.0369517799637369</v>
      </c>
    </row>
    <row r="228" spans="4:6" x14ac:dyDescent="0.2">
      <c r="D228" s="18">
        <f t="shared" ca="1" si="7"/>
        <v>3.5646817248459959</v>
      </c>
      <c r="E228" s="33">
        <f t="shared" ca="1" si="8"/>
        <v>43287</v>
      </c>
      <c r="F228" s="47">
        <v>1.0421230095978782</v>
      </c>
    </row>
    <row r="229" spans="4:6" x14ac:dyDescent="0.2">
      <c r="D229" s="18">
        <f t="shared" ca="1" si="7"/>
        <v>3.5838466803559208</v>
      </c>
      <c r="E229" s="33">
        <f t="shared" ca="1" si="8"/>
        <v>43294</v>
      </c>
      <c r="F229" s="47">
        <v>1.0472751692223823</v>
      </c>
    </row>
    <row r="230" spans="4:6" x14ac:dyDescent="0.2">
      <c r="D230" s="18">
        <f t="shared" ca="1" si="7"/>
        <v>3.6030116358658453</v>
      </c>
      <c r="E230" s="33">
        <f t="shared" ca="1" si="8"/>
        <v>43301</v>
      </c>
      <c r="F230" s="47">
        <v>1.0524074424974841</v>
      </c>
    </row>
    <row r="231" spans="4:6" x14ac:dyDescent="0.2">
      <c r="D231" s="18">
        <f t="shared" ca="1" si="7"/>
        <v>3.6221765913757702</v>
      </c>
      <c r="E231" s="33">
        <f t="shared" ca="1" si="8"/>
        <v>43308</v>
      </c>
      <c r="F231" s="47">
        <v>1.0575190243995825</v>
      </c>
    </row>
    <row r="232" spans="4:6" x14ac:dyDescent="0.2">
      <c r="D232" s="18">
        <f t="shared" ca="1" si="7"/>
        <v>3.6413415468856947</v>
      </c>
      <c r="E232" s="33">
        <f t="shared" ca="1" si="8"/>
        <v>43315</v>
      </c>
      <c r="F232" s="47">
        <v>1.0626091233932282</v>
      </c>
    </row>
    <row r="233" spans="4:6" x14ac:dyDescent="0.2">
      <c r="D233" s="18">
        <f t="shared" ca="1" si="7"/>
        <v>3.6605065023956196</v>
      </c>
      <c r="E233" s="33">
        <f t="shared" ca="1" si="8"/>
        <v>43322</v>
      </c>
      <c r="F233" s="47">
        <v>1.0676769636190695</v>
      </c>
    </row>
    <row r="234" spans="4:6" x14ac:dyDescent="0.2">
      <c r="D234" s="18">
        <f t="shared" ref="D234:D297" ca="1" si="9">(E234-$E$42)/365.25</f>
        <v>3.6796714579055441</v>
      </c>
      <c r="E234" s="33">
        <f t="shared" ca="1" si="8"/>
        <v>43329</v>
      </c>
      <c r="F234" s="47">
        <v>1.0727217870873877</v>
      </c>
    </row>
    <row r="235" spans="4:6" x14ac:dyDescent="0.2">
      <c r="D235" s="18">
        <f t="shared" ca="1" si="9"/>
        <v>3.698836413415469</v>
      </c>
      <c r="E235" s="33">
        <f t="shared" ref="E235:E298" ca="1" si="10">E234+7</f>
        <v>43336</v>
      </c>
      <c r="F235" s="47">
        <v>1.0777428558664763</v>
      </c>
    </row>
    <row r="236" spans="4:6" x14ac:dyDescent="0.2">
      <c r="D236" s="18">
        <f t="shared" ca="1" si="9"/>
        <v>3.7180013689253935</v>
      </c>
      <c r="E236" s="33">
        <f t="shared" ca="1" si="10"/>
        <v>43343</v>
      </c>
      <c r="F236" s="47">
        <v>1.0827394542547271</v>
      </c>
    </row>
    <row r="237" spans="4:6" x14ac:dyDescent="0.2">
      <c r="D237" s="18">
        <f t="shared" ca="1" si="9"/>
        <v>3.7371663244353184</v>
      </c>
      <c r="E237" s="33">
        <f t="shared" ca="1" si="10"/>
        <v>43350</v>
      </c>
      <c r="F237" s="47">
        <v>1.0877108909250419</v>
      </c>
    </row>
    <row r="238" spans="4:6" x14ac:dyDescent="0.2">
      <c r="D238" s="18">
        <f t="shared" ca="1" si="9"/>
        <v>3.7563312799452429</v>
      </c>
      <c r="E238" s="33">
        <f t="shared" ca="1" si="10"/>
        <v>43357</v>
      </c>
      <c r="F238" s="47">
        <v>1.0926565010300071</v>
      </c>
    </row>
    <row r="239" spans="4:6" x14ac:dyDescent="0.2">
      <c r="D239" s="18">
        <f t="shared" ca="1" si="9"/>
        <v>3.7754962354551678</v>
      </c>
      <c r="E239" s="33">
        <f t="shared" ca="1" si="10"/>
        <v>43364</v>
      </c>
      <c r="F239" s="47">
        <v>1.0975756482561678</v>
      </c>
    </row>
    <row r="240" spans="4:6" x14ac:dyDescent="0.2">
      <c r="D240" s="18">
        <f t="shared" ca="1" si="9"/>
        <v>3.7946611909650922</v>
      </c>
      <c r="E240" s="33">
        <f t="shared" ca="1" si="10"/>
        <v>43371</v>
      </c>
      <c r="F240" s="47">
        <v>1.1024677268157754</v>
      </c>
    </row>
    <row r="241" spans="4:6" x14ac:dyDescent="0.2">
      <c r="D241" s="18">
        <f t="shared" ca="1" si="9"/>
        <v>3.8138261464750172</v>
      </c>
      <c r="E241" s="33">
        <f t="shared" ca="1" si="10"/>
        <v>43378</v>
      </c>
      <c r="F241" s="47">
        <v>1.1073321633644688</v>
      </c>
    </row>
    <row r="242" spans="4:6" x14ac:dyDescent="0.2">
      <c r="D242" s="18">
        <f t="shared" ca="1" si="9"/>
        <v>3.8329911019849416</v>
      </c>
      <c r="E242" s="33">
        <f t="shared" ca="1" si="10"/>
        <v>43385</v>
      </c>
      <c r="F242" s="47">
        <v>1.1121684188335959</v>
      </c>
    </row>
    <row r="243" spans="4:6" x14ac:dyDescent="0.2">
      <c r="D243" s="18">
        <f t="shared" ca="1" si="9"/>
        <v>3.8521560574948666</v>
      </c>
      <c r="E243" s="33">
        <f t="shared" ca="1" si="10"/>
        <v>43392</v>
      </c>
      <c r="F243" s="47">
        <v>1.1169759901661842</v>
      </c>
    </row>
    <row r="244" spans="4:6" x14ac:dyDescent="0.2">
      <c r="D244" s="18">
        <f t="shared" ca="1" si="9"/>
        <v>3.871321013004791</v>
      </c>
      <c r="E244" s="33">
        <f t="shared" ca="1" si="10"/>
        <v>43399</v>
      </c>
      <c r="F244" s="47">
        <v>1.1217544119460101</v>
      </c>
    </row>
    <row r="245" spans="4:6" x14ac:dyDescent="0.2">
      <c r="D245" s="18">
        <f t="shared" ca="1" si="9"/>
        <v>3.890485968514716</v>
      </c>
      <c r="E245" s="33">
        <f t="shared" ca="1" si="10"/>
        <v>43406</v>
      </c>
      <c r="F245" s="47">
        <v>1.1265032579097363</v>
      </c>
    </row>
    <row r="246" spans="4:6" x14ac:dyDescent="0.2">
      <c r="D246" s="18">
        <f t="shared" ca="1" si="9"/>
        <v>3.9096509240246409</v>
      </c>
      <c r="E246" s="33">
        <f t="shared" ca="1" si="10"/>
        <v>43413</v>
      </c>
      <c r="F246" s="47">
        <v>1.1312221423327267</v>
      </c>
    </row>
    <row r="247" spans="4:6" x14ac:dyDescent="0.2">
      <c r="D247" s="18">
        <f t="shared" ca="1" si="9"/>
        <v>3.9288158795345653</v>
      </c>
      <c r="E247" s="33">
        <f t="shared" ca="1" si="10"/>
        <v>43420</v>
      </c>
      <c r="F247" s="47">
        <v>1.135910721279864</v>
      </c>
    </row>
    <row r="248" spans="4:6" x14ac:dyDescent="0.2">
      <c r="D248" s="18">
        <f t="shared" ca="1" si="9"/>
        <v>3.9479808350444903</v>
      </c>
      <c r="E248" s="33">
        <f t="shared" ca="1" si="10"/>
        <v>43427</v>
      </c>
      <c r="F248" s="47">
        <v>1.1405686937135027</v>
      </c>
    </row>
    <row r="249" spans="4:6" x14ac:dyDescent="0.2">
      <c r="D249" s="18">
        <f t="shared" ca="1" si="9"/>
        <v>3.9671457905544147</v>
      </c>
      <c r="E249" s="33">
        <f t="shared" ca="1" si="10"/>
        <v>43434</v>
      </c>
      <c r="F249" s="47">
        <v>1.1451958024515918</v>
      </c>
    </row>
    <row r="250" spans="4:6" x14ac:dyDescent="0.2">
      <c r="D250" s="18">
        <f t="shared" ca="1" si="9"/>
        <v>3.9863107460643397</v>
      </c>
      <c r="E250" s="33">
        <f t="shared" ca="1" si="10"/>
        <v>43441</v>
      </c>
      <c r="F250" s="47">
        <v>1.1497918349699561</v>
      </c>
    </row>
    <row r="251" spans="4:6" x14ac:dyDescent="0.2">
      <c r="D251" s="18">
        <f t="shared" ca="1" si="9"/>
        <v>4.0054757015742641</v>
      </c>
      <c r="E251" s="33">
        <f t="shared" ca="1" si="10"/>
        <v>43448</v>
      </c>
      <c r="F251" s="47">
        <v>1.1543566240437499</v>
      </c>
    </row>
    <row r="252" spans="4:6" x14ac:dyDescent="0.2">
      <c r="D252" s="18">
        <f t="shared" ca="1" si="9"/>
        <v>4.0246406570841886</v>
      </c>
      <c r="E252" s="33">
        <f t="shared" ca="1" si="10"/>
        <v>43455</v>
      </c>
      <c r="F252" s="47">
        <v>1.15889004822418</v>
      </c>
    </row>
    <row r="253" spans="4:6" x14ac:dyDescent="0.2">
      <c r="D253" s="18">
        <f t="shared" ca="1" si="9"/>
        <v>4.043805612594114</v>
      </c>
      <c r="E253" s="33">
        <f t="shared" ca="1" si="10"/>
        <v>43462</v>
      </c>
      <c r="F253" s="47">
        <v>1.1633920321477016</v>
      </c>
    </row>
    <row r="254" spans="4:6" x14ac:dyDescent="0.2">
      <c r="D254" s="18">
        <f t="shared" ca="1" si="9"/>
        <v>4.0629705681040384</v>
      </c>
      <c r="E254" s="33">
        <f t="shared" ca="1" si="10"/>
        <v>43469</v>
      </c>
      <c r="F254" s="47">
        <v>1.1678625466760371</v>
      </c>
    </row>
    <row r="255" spans="4:6" x14ac:dyDescent="0.2">
      <c r="D255" s="18">
        <f t="shared" ca="1" si="9"/>
        <v>4.0821355236139629</v>
      </c>
      <c r="E255" s="33">
        <f t="shared" ca="1" si="10"/>
        <v>43476</v>
      </c>
      <c r="F255" s="47">
        <v>1.1723016088665323</v>
      </c>
    </row>
    <row r="256" spans="4:6" x14ac:dyDescent="0.2">
      <c r="D256" s="18">
        <f t="shared" ca="1" si="9"/>
        <v>4.1013004791238874</v>
      </c>
      <c r="E256" s="33">
        <f t="shared" ca="1" si="10"/>
        <v>43483</v>
      </c>
      <c r="F256" s="47">
        <v>1.176709281773513</v>
      </c>
    </row>
    <row r="257" spans="4:6" x14ac:dyDescent="0.2">
      <c r="D257" s="18">
        <f t="shared" ca="1" si="9"/>
        <v>4.1204654346338128</v>
      </c>
      <c r="E257" s="33">
        <f t="shared" ca="1" si="10"/>
        <v>43490</v>
      </c>
      <c r="F257" s="47">
        <v>1.1810856740824647</v>
      </c>
    </row>
    <row r="258" spans="4:6" x14ac:dyDescent="0.2">
      <c r="D258" s="18">
        <f t="shared" ca="1" si="9"/>
        <v>4.1396303901437372</v>
      </c>
      <c r="E258" s="33">
        <f t="shared" ca="1" si="10"/>
        <v>43497</v>
      </c>
      <c r="F258" s="47">
        <v>1.1854309395799822</v>
      </c>
    </row>
    <row r="259" spans="4:6" x14ac:dyDescent="0.2">
      <c r="D259" s="18">
        <f t="shared" ca="1" si="9"/>
        <v>4.1587953456536617</v>
      </c>
      <c r="E259" s="33">
        <f t="shared" ca="1" si="10"/>
        <v>43504</v>
      </c>
      <c r="F259" s="47">
        <v>1.1897452764635288</v>
      </c>
    </row>
    <row r="260" spans="4:6" x14ac:dyDescent="0.2">
      <c r="D260" s="18">
        <f t="shared" ca="1" si="9"/>
        <v>4.1779603011635862</v>
      </c>
      <c r="E260" s="33">
        <f t="shared" ca="1" si="10"/>
        <v>43511</v>
      </c>
      <c r="F260" s="47">
        <v>1.1940289264960853</v>
      </c>
    </row>
    <row r="261" spans="4:6" x14ac:dyDescent="0.2">
      <c r="D261" s="18">
        <f t="shared" ca="1" si="9"/>
        <v>4.1971252566735116</v>
      </c>
      <c r="E261" s="33">
        <f t="shared" ca="1" si="10"/>
        <v>43518</v>
      </c>
      <c r="F261" s="47">
        <v>1.1982821740117662</v>
      </c>
    </row>
    <row r="262" spans="4:6" x14ac:dyDescent="0.2">
      <c r="D262" s="18">
        <f t="shared" ca="1" si="9"/>
        <v>4.216290212183436</v>
      </c>
      <c r="E262" s="33">
        <f t="shared" ca="1" si="10"/>
        <v>43525</v>
      </c>
      <c r="F262" s="47">
        <v>1.2025053447793927</v>
      </c>
    </row>
    <row r="263" spans="4:6" x14ac:dyDescent="0.2">
      <c r="D263" s="18">
        <f t="shared" ca="1" si="9"/>
        <v>4.2354551676933605</v>
      </c>
      <c r="E263" s="33">
        <f t="shared" ca="1" si="10"/>
        <v>43532</v>
      </c>
      <c r="F263" s="47">
        <v>1.2066988047318625</v>
      </c>
    </row>
    <row r="264" spans="4:6" x14ac:dyDescent="0.2">
      <c r="D264" s="18">
        <f t="shared" ca="1" si="9"/>
        <v>4.2546201232032859</v>
      </c>
      <c r="E264" s="33">
        <f t="shared" ca="1" si="10"/>
        <v>43539</v>
      </c>
      <c r="F264" s="47">
        <v>1.2108629585699131</v>
      </c>
    </row>
    <row r="265" spans="4:6" x14ac:dyDescent="0.2">
      <c r="D265" s="18">
        <f t="shared" ca="1" si="9"/>
        <v>4.2737850787132103</v>
      </c>
      <c r="E265" s="33">
        <f t="shared" ca="1" si="10"/>
        <v>43546</v>
      </c>
      <c r="F265" s="47">
        <v>1.2149982482495507</v>
      </c>
    </row>
    <row r="266" spans="4:6" x14ac:dyDescent="0.2">
      <c r="D266" s="18">
        <f t="shared" ca="1" si="9"/>
        <v>4.2929500342231348</v>
      </c>
      <c r="E266" s="33">
        <f t="shared" ca="1" si="10"/>
        <v>43553</v>
      </c>
      <c r="F266" s="47">
        <v>1.2191051513629907</v>
      </c>
    </row>
    <row r="267" spans="4:6" x14ac:dyDescent="0.2">
      <c r="D267" s="18">
        <f t="shared" ca="1" si="9"/>
        <v>4.3121149897330593</v>
      </c>
      <c r="E267" s="33">
        <f t="shared" ca="1" si="10"/>
        <v>43560</v>
      </c>
      <c r="F267" s="47">
        <v>1.2231841794234324</v>
      </c>
    </row>
    <row r="268" spans="4:6" x14ac:dyDescent="0.2">
      <c r="D268" s="18">
        <f t="shared" ca="1" si="9"/>
        <v>4.3312799452429847</v>
      </c>
      <c r="E268" s="33">
        <f t="shared" ca="1" si="10"/>
        <v>43567</v>
      </c>
      <c r="F268" s="47">
        <v>1.2272358760643705</v>
      </c>
    </row>
    <row r="269" spans="4:6" x14ac:dyDescent="0.2">
      <c r="D269" s="18">
        <f t="shared" ca="1" si="9"/>
        <v>4.3504449007529091</v>
      </c>
      <c r="E269" s="33">
        <f t="shared" ca="1" si="10"/>
        <v>43574</v>
      </c>
      <c r="F269" s="47">
        <v>1.2312608151644167</v>
      </c>
    </row>
    <row r="270" spans="4:6" x14ac:dyDescent="0.2">
      <c r="D270" s="18">
        <f t="shared" ca="1" si="9"/>
        <v>4.3696098562628336</v>
      </c>
      <c r="E270" s="33">
        <f t="shared" ca="1" si="10"/>
        <v>43581</v>
      </c>
      <c r="F270" s="47">
        <v>1.2352595989087871</v>
      </c>
    </row>
    <row r="271" spans="4:6" x14ac:dyDescent="0.2">
      <c r="D271" s="18">
        <f t="shared" ca="1" si="9"/>
        <v>4.3887748117727581</v>
      </c>
      <c r="E271" s="33">
        <f t="shared" ca="1" si="10"/>
        <v>43588</v>
      </c>
      <c r="F271" s="47">
        <v>1.2392328557986725</v>
      </c>
    </row>
    <row r="272" spans="4:6" x14ac:dyDescent="0.2">
      <c r="D272" s="18">
        <f t="shared" ca="1" si="9"/>
        <v>4.4079397672826834</v>
      </c>
      <c r="E272" s="33">
        <f t="shared" ca="1" si="10"/>
        <v>43595</v>
      </c>
      <c r="F272" s="47">
        <v>1.2431812386196994</v>
      </c>
    </row>
    <row r="273" spans="4:6" x14ac:dyDescent="0.2">
      <c r="D273" s="18">
        <f t="shared" ca="1" si="9"/>
        <v>4.4271047227926079</v>
      </c>
      <c r="E273" s="33">
        <f t="shared" ca="1" si="10"/>
        <v>43602</v>
      </c>
      <c r="F273" s="47">
        <v>1.2471054223805753</v>
      </c>
    </row>
    <row r="274" spans="4:6" x14ac:dyDescent="0.2">
      <c r="D274" s="18">
        <f t="shared" ca="1" si="9"/>
        <v>4.4462696783025324</v>
      </c>
      <c r="E274" s="33">
        <f t="shared" ca="1" si="10"/>
        <v>43609</v>
      </c>
      <c r="F274" s="47">
        <v>1.2510061022327941</v>
      </c>
    </row>
    <row r="275" spans="4:6" x14ac:dyDescent="0.2">
      <c r="D275" s="18">
        <f t="shared" ca="1" si="9"/>
        <v>4.4654346338124569</v>
      </c>
      <c r="E275" s="33">
        <f t="shared" ca="1" si="10"/>
        <v>43616</v>
      </c>
      <c r="F275" s="47">
        <v>1.2548839913820222</v>
      </c>
    </row>
    <row r="276" spans="4:6" x14ac:dyDescent="0.2">
      <c r="D276" s="18">
        <f t="shared" ca="1" si="9"/>
        <v>4.4845995893223822</v>
      </c>
      <c r="E276" s="33">
        <f t="shared" ca="1" si="10"/>
        <v>43623</v>
      </c>
      <c r="F276" s="47">
        <v>1.2587398190014052</v>
      </c>
    </row>
    <row r="277" spans="4:6" x14ac:dyDescent="0.2">
      <c r="D277" s="18">
        <f t="shared" ca="1" si="9"/>
        <v>4.5037645448323067</v>
      </c>
      <c r="E277" s="33">
        <f t="shared" ca="1" si="10"/>
        <v>43630</v>
      </c>
      <c r="F277" s="47">
        <v>1.2625743281566177</v>
      </c>
    </row>
    <row r="278" spans="4:6" x14ac:dyDescent="0.2">
      <c r="D278" s="18">
        <f t="shared" ca="1" si="9"/>
        <v>4.5229295003422312</v>
      </c>
      <c r="E278" s="33">
        <f t="shared" ca="1" si="10"/>
        <v>43637</v>
      </c>
      <c r="F278" s="47">
        <v>1.2663882737520027</v>
      </c>
    </row>
    <row r="279" spans="4:6" x14ac:dyDescent="0.2">
      <c r="D279" s="18">
        <f t="shared" ca="1" si="9"/>
        <v>4.5420944558521557</v>
      </c>
      <c r="E279" s="33">
        <f t="shared" ca="1" si="10"/>
        <v>43644</v>
      </c>
      <c r="F279" s="47">
        <v>1.2701824205065977</v>
      </c>
    </row>
    <row r="280" spans="4:6" x14ac:dyDescent="0.2">
      <c r="D280" s="18">
        <f t="shared" ca="1" si="9"/>
        <v>4.561259411362081</v>
      </c>
      <c r="E280" s="33">
        <f t="shared" ca="1" si="10"/>
        <v>43651</v>
      </c>
      <c r="F280" s="47">
        <v>1.2739575409682737</v>
      </c>
    </row>
    <row r="281" spans="4:6" x14ac:dyDescent="0.2">
      <c r="D281" s="18">
        <f t="shared" ca="1" si="9"/>
        <v>4.5804243668720055</v>
      </c>
      <c r="E281" s="33">
        <f t="shared" ca="1" si="10"/>
        <v>43658</v>
      </c>
      <c r="F281" s="47">
        <v>1.2777144135735938</v>
      </c>
    </row>
    <row r="282" spans="4:6" x14ac:dyDescent="0.2">
      <c r="D282" s="18">
        <f t="shared" ca="1" si="9"/>
        <v>4.59958932238193</v>
      </c>
      <c r="E282" s="33">
        <f t="shared" ca="1" si="10"/>
        <v>43665</v>
      </c>
      <c r="F282" s="47">
        <v>1.2814538207603552</v>
      </c>
    </row>
    <row r="283" spans="4:6" x14ac:dyDescent="0.2">
      <c r="D283" s="18">
        <f t="shared" ca="1" si="9"/>
        <v>4.6187542778918553</v>
      </c>
      <c r="E283" s="33">
        <f t="shared" ca="1" si="10"/>
        <v>43672</v>
      </c>
      <c r="F283" s="47">
        <v>1.285176547139117</v>
      </c>
    </row>
    <row r="284" spans="4:6" x14ac:dyDescent="0.2">
      <c r="D284" s="18">
        <f t="shared" ca="1" si="9"/>
        <v>4.6379192334017798</v>
      </c>
      <c r="E284" s="33">
        <f t="shared" ca="1" si="10"/>
        <v>43679</v>
      </c>
      <c r="F284" s="47">
        <v>1.2888833777293409</v>
      </c>
    </row>
    <row r="285" spans="4:6" x14ac:dyDescent="0.2">
      <c r="D285" s="18">
        <f t="shared" ca="1" si="9"/>
        <v>4.6570841889117043</v>
      </c>
      <c r="E285" s="33">
        <f t="shared" ca="1" si="10"/>
        <v>43686</v>
      </c>
      <c r="F285" s="47">
        <v>1.2925750962650948</v>
      </c>
    </row>
    <row r="286" spans="4:6" x14ac:dyDescent="0.2">
      <c r="D286" s="18">
        <f t="shared" ca="1" si="9"/>
        <v>4.6762491444216288</v>
      </c>
      <c r="E286" s="33">
        <f t="shared" ca="1" si="10"/>
        <v>43693</v>
      </c>
      <c r="F286" s="47">
        <v>1.296252483574587</v>
      </c>
    </row>
    <row r="287" spans="4:6" x14ac:dyDescent="0.2">
      <c r="D287" s="18">
        <f t="shared" ca="1" si="9"/>
        <v>4.6954140999315541</v>
      </c>
      <c r="E287" s="33">
        <f t="shared" ca="1" si="10"/>
        <v>43700</v>
      </c>
      <c r="F287" s="47">
        <v>1.2999163160371396</v>
      </c>
    </row>
    <row r="288" spans="4:6" x14ac:dyDescent="0.2">
      <c r="D288" s="18">
        <f t="shared" ca="1" si="9"/>
        <v>4.7145790554414786</v>
      </c>
      <c r="E288" s="33">
        <f t="shared" ca="1" si="10"/>
        <v>43707</v>
      </c>
      <c r="F288" s="47">
        <v>1.303567364120543</v>
      </c>
    </row>
    <row r="289" spans="4:6" x14ac:dyDescent="0.2">
      <c r="D289" s="18">
        <f t="shared" ca="1" si="9"/>
        <v>4.7337440109514031</v>
      </c>
      <c r="E289" s="33">
        <f t="shared" ca="1" si="10"/>
        <v>43714</v>
      </c>
      <c r="F289" s="47">
        <v>1.3072063910011054</v>
      </c>
    </row>
    <row r="290" spans="4:6" x14ac:dyDescent="0.2">
      <c r="D290" s="18">
        <f t="shared" ca="1" si="9"/>
        <v>4.7529089664613275</v>
      </c>
      <c r="E290" s="33">
        <f t="shared" ca="1" si="10"/>
        <v>43721</v>
      </c>
      <c r="F290" s="47">
        <v>1.3108341512681088</v>
      </c>
    </row>
    <row r="291" spans="4:6" x14ac:dyDescent="0.2">
      <c r="D291" s="18">
        <f t="shared" ca="1" si="9"/>
        <v>4.7720739219712529</v>
      </c>
      <c r="E291" s="33">
        <f t="shared" ca="1" si="10"/>
        <v>43728</v>
      </c>
      <c r="F291" s="47">
        <v>1.314451389713774</v>
      </c>
    </row>
    <row r="292" spans="4:6" x14ac:dyDescent="0.2">
      <c r="D292" s="18">
        <f t="shared" ca="1" si="9"/>
        <v>4.7912388774811774</v>
      </c>
      <c r="E292" s="33">
        <f t="shared" ca="1" si="10"/>
        <v>43735</v>
      </c>
      <c r="F292" s="47">
        <v>1.3180588402093125</v>
      </c>
    </row>
    <row r="293" spans="4:6" x14ac:dyDescent="0.2">
      <c r="D293" s="18">
        <f t="shared" ca="1" si="9"/>
        <v>4.8104038329911019</v>
      </c>
      <c r="E293" s="33">
        <f t="shared" ca="1" si="10"/>
        <v>43742</v>
      </c>
      <c r="F293" s="47">
        <v>1.3216572246671074</v>
      </c>
    </row>
    <row r="294" spans="4:6" x14ac:dyDescent="0.2">
      <c r="D294" s="18">
        <f t="shared" ca="1" si="9"/>
        <v>4.8295687885010263</v>
      </c>
      <c r="E294" s="33">
        <f t="shared" ca="1" si="10"/>
        <v>43749</v>
      </c>
      <c r="F294" s="47">
        <v>1.3252472520885845</v>
      </c>
    </row>
    <row r="295" spans="4:6" x14ac:dyDescent="0.2">
      <c r="D295" s="18">
        <f t="shared" ca="1" si="9"/>
        <v>4.8487337440109517</v>
      </c>
      <c r="E295" s="33">
        <f t="shared" ca="1" si="10"/>
        <v>43756</v>
      </c>
      <c r="F295" s="47">
        <v>1.328829617696895</v>
      </c>
    </row>
    <row r="296" spans="4:6" x14ac:dyDescent="0.2">
      <c r="D296" s="18">
        <f t="shared" ca="1" si="9"/>
        <v>4.8678986995208762</v>
      </c>
      <c r="E296" s="33">
        <f t="shared" ca="1" si="10"/>
        <v>43763</v>
      </c>
      <c r="F296" s="47">
        <v>1.3324050021531169</v>
      </c>
    </row>
    <row r="297" spans="4:6" x14ac:dyDescent="0.2">
      <c r="D297" s="18">
        <f t="shared" ca="1" si="9"/>
        <v>4.8870636550308006</v>
      </c>
      <c r="E297" s="33">
        <f t="shared" ca="1" si="10"/>
        <v>43770</v>
      </c>
      <c r="F297" s="47">
        <v>1.3359740708543166</v>
      </c>
    </row>
    <row r="298" spans="4:6" x14ac:dyDescent="0.2">
      <c r="D298" s="18">
        <f t="shared" ref="D298:D361" ca="1" si="11">(E298-$E$42)/365.25</f>
        <v>4.9062286105407251</v>
      </c>
      <c r="E298" s="33">
        <f t="shared" ca="1" si="10"/>
        <v>43777</v>
      </c>
      <c r="F298" s="47">
        <v>1.3395374733114791</v>
      </c>
    </row>
    <row r="299" spans="4:6" x14ac:dyDescent="0.2">
      <c r="D299" s="18">
        <f t="shared" ca="1" si="11"/>
        <v>4.9253935660506505</v>
      </c>
      <c r="E299" s="33">
        <f t="shared" ref="E299:E362" ca="1" si="12">E298+7</f>
        <v>43784</v>
      </c>
      <c r="F299" s="47">
        <v>1.3430958426050299</v>
      </c>
    </row>
    <row r="300" spans="4:6" x14ac:dyDescent="0.2">
      <c r="D300" s="18">
        <f t="shared" ca="1" si="11"/>
        <v>4.944558521560575</v>
      </c>
      <c r="E300" s="33">
        <f t="shared" ca="1" si="12"/>
        <v>43791</v>
      </c>
      <c r="F300" s="47">
        <v>1.3466497949154079</v>
      </c>
    </row>
    <row r="301" spans="4:6" x14ac:dyDescent="0.2">
      <c r="D301" s="18">
        <f t="shared" ca="1" si="11"/>
        <v>4.9637234770704994</v>
      </c>
      <c r="E301" s="33">
        <f t="shared" ca="1" si="12"/>
        <v>43798</v>
      </c>
      <c r="F301" s="47">
        <v>1.3501999291259426</v>
      </c>
    </row>
    <row r="302" spans="4:6" x14ac:dyDescent="0.2">
      <c r="D302" s="18">
        <f t="shared" ca="1" si="11"/>
        <v>4.9828884325804248</v>
      </c>
      <c r="E302" s="33">
        <f t="shared" ca="1" si="12"/>
        <v>43805</v>
      </c>
      <c r="F302" s="47">
        <v>1.3537468264950931</v>
      </c>
    </row>
    <row r="303" spans="4:6" x14ac:dyDescent="0.2">
      <c r="D303" s="18">
        <f t="shared" ca="1" si="11"/>
        <v>5.0020533880903493</v>
      </c>
      <c r="E303" s="33">
        <f t="shared" ca="1" si="12"/>
        <v>43812</v>
      </c>
      <c r="F303" s="47">
        <v>1.3572909775814783</v>
      </c>
    </row>
    <row r="304" spans="4:6" x14ac:dyDescent="0.2">
      <c r="D304" s="18">
        <f t="shared" ca="1" si="11"/>
        <v>5.0212183436002737</v>
      </c>
      <c r="E304" s="33">
        <f t="shared" ca="1" si="12"/>
        <v>43819</v>
      </c>
      <c r="F304" s="47">
        <v>1.3608251522419821</v>
      </c>
    </row>
    <row r="305" spans="4:6" x14ac:dyDescent="0.2">
      <c r="D305" s="18">
        <f t="shared" ca="1" si="11"/>
        <v>5.0403832991101982</v>
      </c>
      <c r="E305" s="33">
        <f t="shared" ca="1" si="12"/>
        <v>43826</v>
      </c>
      <c r="F305" s="47">
        <v>1.3643438968392749</v>
      </c>
    </row>
    <row r="306" spans="4:6" x14ac:dyDescent="0.2">
      <c r="D306" s="18">
        <f t="shared" ca="1" si="11"/>
        <v>5.0595482546201236</v>
      </c>
      <c r="E306" s="33">
        <f t="shared" ca="1" si="12"/>
        <v>43833</v>
      </c>
      <c r="F306" s="47">
        <v>1.367846667491208</v>
      </c>
    </row>
    <row r="307" spans="4:6" x14ac:dyDescent="0.2">
      <c r="D307" s="18">
        <f t="shared" ca="1" si="11"/>
        <v>5.0787132101300481</v>
      </c>
      <c r="E307" s="33">
        <f t="shared" ca="1" si="12"/>
        <v>43840</v>
      </c>
      <c r="F307" s="47">
        <v>1.3713329178175733</v>
      </c>
    </row>
    <row r="308" spans="4:6" x14ac:dyDescent="0.2">
      <c r="D308" s="18">
        <f t="shared" ca="1" si="11"/>
        <v>5.0978781656399725</v>
      </c>
      <c r="E308" s="33">
        <f t="shared" ca="1" si="12"/>
        <v>43847</v>
      </c>
      <c r="F308" s="47">
        <v>1.3748020998732502</v>
      </c>
    </row>
    <row r="309" spans="4:6" x14ac:dyDescent="0.2">
      <c r="D309" s="18">
        <f t="shared" ca="1" si="11"/>
        <v>5.117043121149897</v>
      </c>
      <c r="E309" s="33">
        <f t="shared" ca="1" si="12"/>
        <v>43854</v>
      </c>
      <c r="F309" s="47">
        <v>1.3782536651393003</v>
      </c>
    </row>
    <row r="310" spans="4:6" x14ac:dyDescent="0.2">
      <c r="D310" s="18">
        <f t="shared" ca="1" si="11"/>
        <v>5.1362080766598224</v>
      </c>
      <c r="E310" s="33">
        <f t="shared" ca="1" si="12"/>
        <v>43861</v>
      </c>
      <c r="F310" s="47">
        <v>1.381687065571811</v>
      </c>
    </row>
    <row r="311" spans="4:6" x14ac:dyDescent="0.2">
      <c r="D311" s="18">
        <f t="shared" ca="1" si="11"/>
        <v>5.1553730321697468</v>
      </c>
      <c r="E311" s="33">
        <f t="shared" ca="1" si="12"/>
        <v>43868</v>
      </c>
      <c r="F311" s="47">
        <v>1.3851017547079318</v>
      </c>
    </row>
    <row r="312" spans="4:6" x14ac:dyDescent="0.2">
      <c r="D312" s="18">
        <f t="shared" ca="1" si="11"/>
        <v>5.1745379876796713</v>
      </c>
      <c r="E312" s="33">
        <f t="shared" ca="1" si="12"/>
        <v>43875</v>
      </c>
      <c r="F312" s="47">
        <v>1.3884971888281805</v>
      </c>
    </row>
    <row r="313" spans="4:6" x14ac:dyDescent="0.2">
      <c r="D313" s="18">
        <f t="shared" ca="1" si="11"/>
        <v>5.1937029431895958</v>
      </c>
      <c r="E313" s="33">
        <f t="shared" ca="1" si="12"/>
        <v>43882</v>
      </c>
      <c r="F313" s="47">
        <v>1.3918728281737254</v>
      </c>
    </row>
    <row r="314" spans="4:6" x14ac:dyDescent="0.2">
      <c r="D314" s="18">
        <f t="shared" ca="1" si="11"/>
        <v>5.2128678986995212</v>
      </c>
      <c r="E314" s="33">
        <f t="shared" ca="1" si="12"/>
        <v>43889</v>
      </c>
      <c r="F314" s="47">
        <v>1.3952281382169434</v>
      </c>
    </row>
    <row r="315" spans="4:6" x14ac:dyDescent="0.2">
      <c r="D315" s="18">
        <f t="shared" ca="1" si="11"/>
        <v>5.2320328542094456</v>
      </c>
      <c r="E315" s="33">
        <f t="shared" ca="1" si="12"/>
        <v>43896</v>
      </c>
      <c r="F315" s="47">
        <v>1.3985625909831059</v>
      </c>
    </row>
    <row r="316" spans="4:6" x14ac:dyDescent="0.2">
      <c r="D316" s="18">
        <f t="shared" ca="1" si="11"/>
        <v>5.2511978097193701</v>
      </c>
      <c r="E316" s="33">
        <f t="shared" ca="1" si="12"/>
        <v>43903</v>
      </c>
      <c r="F316" s="47">
        <v>1.4018756664206145</v>
      </c>
    </row>
    <row r="317" spans="4:6" x14ac:dyDescent="0.2">
      <c r="D317" s="18">
        <f t="shared" ca="1" si="11"/>
        <v>5.2703627652292946</v>
      </c>
      <c r="E317" s="33">
        <f t="shared" ca="1" si="12"/>
        <v>43910</v>
      </c>
      <c r="F317" s="47">
        <v>1.4051668538167508</v>
      </c>
    </row>
    <row r="318" spans="4:6" x14ac:dyDescent="0.2">
      <c r="D318" s="18">
        <f t="shared" ca="1" si="11"/>
        <v>5.28952772073922</v>
      </c>
      <c r="E318" s="33">
        <f t="shared" ca="1" si="12"/>
        <v>43917</v>
      </c>
      <c r="F318" s="47">
        <v>1.4084356532554012</v>
      </c>
    </row>
    <row r="319" spans="4:6" x14ac:dyDescent="0.2">
      <c r="D319" s="18">
        <f t="shared" ca="1" si="11"/>
        <v>5.3086926762491444</v>
      </c>
      <c r="E319" s="33">
        <f t="shared" ca="1" si="12"/>
        <v>43924</v>
      </c>
      <c r="F319" s="47">
        <v>1.4116815771127569</v>
      </c>
    </row>
    <row r="320" spans="4:6" x14ac:dyDescent="0.2">
      <c r="D320" s="18">
        <f t="shared" ca="1" si="11"/>
        <v>5.3278576317590689</v>
      </c>
      <c r="E320" s="33">
        <f t="shared" ca="1" si="12"/>
        <v>43931</v>
      </c>
      <c r="F320" s="47">
        <v>1.4149041515864864</v>
      </c>
    </row>
    <row r="321" spans="4:6" x14ac:dyDescent="0.2">
      <c r="D321" s="18">
        <f t="shared" ca="1" si="11"/>
        <v>5.3470225872689943</v>
      </c>
      <c r="E321" s="33">
        <f t="shared" ca="1" si="12"/>
        <v>43938</v>
      </c>
      <c r="F321" s="47">
        <v>1.4181029182533802</v>
      </c>
    </row>
    <row r="322" spans="4:6" x14ac:dyDescent="0.2">
      <c r="D322" s="18">
        <f t="shared" ca="1" si="11"/>
        <v>5.3661875427789187</v>
      </c>
      <c r="E322" s="33">
        <f t="shared" ca="1" si="12"/>
        <v>43945</v>
      </c>
      <c r="F322" s="47">
        <v>1.4212774356499802</v>
      </c>
    </row>
    <row r="323" spans="4:6" x14ac:dyDescent="0.2">
      <c r="D323" s="18">
        <f t="shared" ca="1" si="11"/>
        <v>5.3853524982888432</v>
      </c>
      <c r="E323" s="33">
        <f t="shared" ca="1" si="12"/>
        <v>43952</v>
      </c>
      <c r="F323" s="47">
        <v>1.4244272808702156</v>
      </c>
    </row>
    <row r="324" spans="4:6" x14ac:dyDescent="0.2">
      <c r="D324" s="18">
        <f t="shared" ca="1" si="11"/>
        <v>5.4045174537987677</v>
      </c>
      <c r="E324" s="33">
        <f t="shared" ca="1" si="12"/>
        <v>43959</v>
      </c>
      <c r="F324" s="47">
        <v>1.4275520511736071</v>
      </c>
    </row>
    <row r="325" spans="4:6" x14ac:dyDescent="0.2">
      <c r="D325" s="18">
        <f t="shared" ca="1" si="11"/>
        <v>5.4236824093086931</v>
      </c>
      <c r="E325" s="33">
        <f t="shared" ca="1" si="12"/>
        <v>43966</v>
      </c>
      <c r="F325" s="47">
        <v>1.4306513655971342</v>
      </c>
    </row>
    <row r="326" spans="4:6" x14ac:dyDescent="0.2">
      <c r="D326" s="18">
        <f t="shared" ca="1" si="11"/>
        <v>5.4428473648186175</v>
      </c>
      <c r="E326" s="33">
        <f t="shared" ca="1" si="12"/>
        <v>43973</v>
      </c>
      <c r="F326" s="47">
        <v>1.4337248665634448</v>
      </c>
    </row>
    <row r="327" spans="4:6" x14ac:dyDescent="0.2">
      <c r="D327" s="18">
        <f t="shared" ca="1" si="11"/>
        <v>5.462012320328542</v>
      </c>
      <c r="E327" s="33">
        <f t="shared" ca="1" si="12"/>
        <v>43980</v>
      </c>
      <c r="F327" s="47">
        <v>1.4367722214776784</v>
      </c>
    </row>
    <row r="328" spans="4:6" x14ac:dyDescent="0.2">
      <c r="D328" s="18">
        <f t="shared" ca="1" si="11"/>
        <v>5.4811772758384665</v>
      </c>
      <c r="E328" s="33">
        <f t="shared" ca="1" si="12"/>
        <v>43987</v>
      </c>
      <c r="F328" s="47">
        <v>1.4397931243048312</v>
      </c>
    </row>
    <row r="329" spans="4:6" x14ac:dyDescent="0.2">
      <c r="D329" s="18">
        <f t="shared" ca="1" si="11"/>
        <v>5.5003422313483918</v>
      </c>
      <c r="E329" s="33">
        <f t="shared" ca="1" si="12"/>
        <v>43994</v>
      </c>
      <c r="F329" s="47">
        <v>1.4427872971192519</v>
      </c>
    </row>
    <row r="330" spans="4:6" x14ac:dyDescent="0.2">
      <c r="D330" s="18">
        <f t="shared" ca="1" si="11"/>
        <v>5.5195071868583163</v>
      </c>
      <c r="E330" s="33">
        <f t="shared" ca="1" si="12"/>
        <v>44001</v>
      </c>
      <c r="F330" s="47">
        <v>1.4457544916176115</v>
      </c>
    </row>
    <row r="331" spans="4:6" x14ac:dyDescent="0.2">
      <c r="D331" s="18">
        <f t="shared" ca="1" si="11"/>
        <v>5.5386721423682408</v>
      </c>
      <c r="E331" s="33">
        <f t="shared" ca="1" si="12"/>
        <v>44008</v>
      </c>
      <c r="F331" s="47">
        <v>1.4486944905864683</v>
      </c>
    </row>
    <row r="332" spans="4:6" x14ac:dyDescent="0.2">
      <c r="D332" s="18">
        <f t="shared" ca="1" si="11"/>
        <v>5.5578370978781653</v>
      </c>
      <c r="E332" s="33">
        <f t="shared" ca="1" si="12"/>
        <v>44015</v>
      </c>
      <c r="F332" s="47">
        <v>1.4516071093153999</v>
      </c>
    </row>
    <row r="333" spans="4:6" x14ac:dyDescent="0.2">
      <c r="D333" s="18">
        <f t="shared" ca="1" si="11"/>
        <v>5.5770020533880906</v>
      </c>
      <c r="E333" s="33">
        <f t="shared" ca="1" si="12"/>
        <v>44022</v>
      </c>
      <c r="F333" s="47">
        <v>1.4544921969465947</v>
      </c>
    </row>
    <row r="334" spans="4:6" x14ac:dyDescent="0.2">
      <c r="D334" s="18">
        <f t="shared" ca="1" si="11"/>
        <v>5.5961670088980151</v>
      </c>
      <c r="E334" s="33">
        <f t="shared" ca="1" si="12"/>
        <v>44029</v>
      </c>
      <c r="F334" s="47">
        <v>1.4573496377517854</v>
      </c>
    </row>
    <row r="335" spans="4:6" x14ac:dyDescent="0.2">
      <c r="D335" s="18">
        <f t="shared" ca="1" si="11"/>
        <v>5.6153319644079396</v>
      </c>
      <c r="E335" s="33">
        <f t="shared" ca="1" si="12"/>
        <v>44036</v>
      </c>
      <c r="F335" s="47">
        <v>1.4601793523274651</v>
      </c>
    </row>
    <row r="336" spans="4:6" x14ac:dyDescent="0.2">
      <c r="D336" s="18">
        <f t="shared" ca="1" si="11"/>
        <v>5.6344969199178641</v>
      </c>
      <c r="E336" s="33">
        <f t="shared" ca="1" si="12"/>
        <v>44043</v>
      </c>
      <c r="F336" s="47">
        <v>1.4629812986994732</v>
      </c>
    </row>
    <row r="337" spans="4:6" x14ac:dyDescent="0.2">
      <c r="D337" s="18">
        <f t="shared" ca="1" si="11"/>
        <v>5.6536618754277894</v>
      </c>
      <c r="E337" s="33">
        <f t="shared" ca="1" si="12"/>
        <v>44050</v>
      </c>
      <c r="F337" s="47">
        <v>1.4657554733282812</v>
      </c>
    </row>
    <row r="338" spans="4:6" x14ac:dyDescent="0.2">
      <c r="D338" s="18">
        <f t="shared" ca="1" si="11"/>
        <v>5.6728268309377139</v>
      </c>
      <c r="E338" s="33">
        <f t="shared" ca="1" si="12"/>
        <v>44057</v>
      </c>
      <c r="F338" s="47">
        <v>1.4685019120065865</v>
      </c>
    </row>
    <row r="339" spans="4:6" x14ac:dyDescent="0.2">
      <c r="D339" s="18">
        <f t="shared" ca="1" si="11"/>
        <v>5.6919917864476384</v>
      </c>
      <c r="E339" s="33">
        <f t="shared" ca="1" si="12"/>
        <v>44064</v>
      </c>
      <c r="F339" s="47">
        <v>1.4712206906412515</v>
      </c>
    </row>
    <row r="340" spans="4:6" x14ac:dyDescent="0.2">
      <c r="D340" s="18">
        <f t="shared" ca="1" si="11"/>
        <v>5.7111567419575637</v>
      </c>
      <c r="E340" s="33">
        <f t="shared" ca="1" si="12"/>
        <v>44071</v>
      </c>
      <c r="F340" s="47">
        <v>1.4739119259120941</v>
      </c>
    </row>
    <row r="341" spans="4:6" x14ac:dyDescent="0.2">
      <c r="D341" s="18">
        <f t="shared" ca="1" si="11"/>
        <v>5.7303216974674882</v>
      </c>
      <c r="E341" s="33">
        <f t="shared" ca="1" si="12"/>
        <v>44078</v>
      </c>
      <c r="F341" s="47">
        <v>1.476575775800592</v>
      </c>
    </row>
    <row r="342" spans="4:6" x14ac:dyDescent="0.2">
      <c r="D342" s="18">
        <f t="shared" ca="1" si="11"/>
        <v>5.7494866529774127</v>
      </c>
      <c r="E342" s="33">
        <f t="shared" ca="1" si="12"/>
        <v>44085</v>
      </c>
      <c r="F342" s="47">
        <v>1.4792124399822288</v>
      </c>
    </row>
    <row r="343" spans="4:6" x14ac:dyDescent="0.2">
      <c r="D343" s="18">
        <f t="shared" ca="1" si="11"/>
        <v>5.7686516084873372</v>
      </c>
      <c r="E343" s="33">
        <f t="shared" ca="1" si="12"/>
        <v>44092</v>
      </c>
      <c r="F343" s="47">
        <v>1.4818221600769159</v>
      </c>
    </row>
    <row r="344" spans="4:6" x14ac:dyDescent="0.2">
      <c r="D344" s="18">
        <f t="shared" ca="1" si="11"/>
        <v>5.7878165639972625</v>
      </c>
      <c r="E344" s="33">
        <f t="shared" ca="1" si="12"/>
        <v>44099</v>
      </c>
      <c r="F344" s="47">
        <v>1.4844052197527362</v>
      </c>
    </row>
    <row r="345" spans="4:6" x14ac:dyDescent="0.2">
      <c r="D345" s="18">
        <f t="shared" ca="1" si="11"/>
        <v>5.806981519507187</v>
      </c>
      <c r="E345" s="33">
        <f t="shared" ca="1" si="12"/>
        <v>44106</v>
      </c>
      <c r="F345" s="47">
        <v>1.4869619446791045</v>
      </c>
    </row>
    <row r="346" spans="4:6" x14ac:dyDescent="0.2">
      <c r="D346" s="18">
        <f t="shared" ca="1" si="11"/>
        <v>5.8261464750171115</v>
      </c>
      <c r="E346" s="33">
        <f t="shared" ca="1" si="12"/>
        <v>44113</v>
      </c>
      <c r="F346" s="47">
        <v>1.4894927023263806</v>
      </c>
    </row>
    <row r="347" spans="4:6" x14ac:dyDescent="0.2">
      <c r="D347" s="18">
        <f t="shared" ca="1" si="11"/>
        <v>5.8453114305270359</v>
      </c>
      <c r="E347" s="33">
        <f t="shared" ca="1" si="12"/>
        <v>44120</v>
      </c>
      <c r="F347" s="47">
        <v>1.4919979016099256</v>
      </c>
    </row>
    <row r="348" spans="4:6" x14ac:dyDescent="0.2">
      <c r="D348" s="18">
        <f t="shared" ca="1" si="11"/>
        <v>5.8644763860369613</v>
      </c>
      <c r="E348" s="33">
        <f t="shared" ca="1" si="12"/>
        <v>44127</v>
      </c>
      <c r="F348" s="47">
        <v>1.4944779923776288</v>
      </c>
    </row>
    <row r="349" spans="4:6" x14ac:dyDescent="0.2">
      <c r="D349" s="18">
        <f t="shared" ca="1" si="11"/>
        <v>5.8836413415468858</v>
      </c>
      <c r="E349" s="33">
        <f t="shared" ca="1" si="12"/>
        <v>44134</v>
      </c>
      <c r="F349" s="47">
        <v>1.4969334647409631</v>
      </c>
    </row>
    <row r="350" spans="4:6" x14ac:dyDescent="0.2">
      <c r="D350" s="18">
        <f t="shared" ca="1" si="11"/>
        <v>5.9028062970568103</v>
      </c>
      <c r="E350" s="33">
        <f t="shared" ca="1" si="12"/>
        <v>44141</v>
      </c>
      <c r="F350" s="47">
        <v>1.499364848250714</v>
      </c>
    </row>
    <row r="351" spans="4:6" x14ac:dyDescent="0.2">
      <c r="D351" s="18">
        <f t="shared" ca="1" si="11"/>
        <v>5.9219712525667347</v>
      </c>
      <c r="E351" s="33">
        <f t="shared" ca="1" si="12"/>
        <v>44148</v>
      </c>
      <c r="F351" s="47">
        <v>1.5017727109195942</v>
      </c>
    </row>
    <row r="352" spans="4:6" x14ac:dyDescent="0.2">
      <c r="D352" s="18">
        <f t="shared" ca="1" si="11"/>
        <v>5.9411362080766601</v>
      </c>
      <c r="E352" s="33">
        <f t="shared" ca="1" si="12"/>
        <v>44155</v>
      </c>
      <c r="F352" s="47">
        <v>1.5041576580950458</v>
      </c>
    </row>
    <row r="353" spans="4:6" x14ac:dyDescent="0.2">
      <c r="D353" s="18">
        <f t="shared" ca="1" si="11"/>
        <v>5.9603011635865846</v>
      </c>
      <c r="E353" s="33">
        <f t="shared" ca="1" si="12"/>
        <v>44162</v>
      </c>
      <c r="F353" s="47">
        <v>1.5065203311865902</v>
      </c>
    </row>
    <row r="354" spans="4:6" x14ac:dyDescent="0.2">
      <c r="D354" s="18">
        <f t="shared" ca="1" si="11"/>
        <v>5.979466119096509</v>
      </c>
      <c r="E354" s="33">
        <f t="shared" ca="1" si="12"/>
        <v>44169</v>
      </c>
      <c r="F354" s="47">
        <v>1.5088614062531345</v>
      </c>
    </row>
    <row r="355" spans="4:6" x14ac:dyDescent="0.2">
      <c r="D355" s="18">
        <f t="shared" ca="1" si="11"/>
        <v>5.9986310746064335</v>
      </c>
      <c r="E355" s="33">
        <f t="shared" ca="1" si="12"/>
        <v>44176</v>
      </c>
      <c r="F355" s="47">
        <v>1.5111815924566294</v>
      </c>
    </row>
    <row r="356" spans="4:6" x14ac:dyDescent="0.2">
      <c r="D356" s="18">
        <f t="shared" ca="1" si="11"/>
        <v>6.0177960301163589</v>
      </c>
      <c r="E356" s="33">
        <f t="shared" ca="1" si="12"/>
        <v>44183</v>
      </c>
      <c r="F356" s="47">
        <v>1.5134816303894592</v>
      </c>
    </row>
    <row r="357" spans="4:6" x14ac:dyDescent="0.2">
      <c r="D357" s="18">
        <f t="shared" ca="1" si="11"/>
        <v>6.0369609856262834</v>
      </c>
      <c r="E357" s="33">
        <f t="shared" ca="1" si="12"/>
        <v>44190</v>
      </c>
      <c r="F357" s="47">
        <v>1.5157622902837999</v>
      </c>
    </row>
    <row r="358" spans="4:6" x14ac:dyDescent="0.2">
      <c r="D358" s="18">
        <f t="shared" ca="1" si="11"/>
        <v>6.0561259411362078</v>
      </c>
      <c r="E358" s="33">
        <f t="shared" ca="1" si="12"/>
        <v>44197</v>
      </c>
      <c r="F358" s="47">
        <v>1.5180243701120468</v>
      </c>
    </row>
    <row r="359" spans="4:6" x14ac:dyDescent="0.2">
      <c r="D359" s="18">
        <f t="shared" ca="1" si="11"/>
        <v>6.0752908966461332</v>
      </c>
      <c r="E359" s="33">
        <f t="shared" ca="1" si="12"/>
        <v>44204</v>
      </c>
      <c r="F359" s="47">
        <v>1.5202686935881238</v>
      </c>
    </row>
    <row r="360" spans="4:6" x14ac:dyDescent="0.2">
      <c r="D360" s="18">
        <f t="shared" ca="1" si="11"/>
        <v>6.0944558521560577</v>
      </c>
      <c r="E360" s="33">
        <f t="shared" ca="1" si="12"/>
        <v>44211</v>
      </c>
      <c r="F360" s="47">
        <v>1.5224961080801804</v>
      </c>
    </row>
    <row r="361" spans="4:6" x14ac:dyDescent="0.2">
      <c r="D361" s="18">
        <f t="shared" ca="1" si="11"/>
        <v>6.1136208076659821</v>
      </c>
      <c r="E361" s="33">
        <f t="shared" ca="1" si="12"/>
        <v>44218</v>
      </c>
      <c r="F361" s="47">
        <v>1.5247074824457154</v>
      </c>
    </row>
    <row r="362" spans="4:6" x14ac:dyDescent="0.2">
      <c r="D362" s="18">
        <f t="shared" ref="D362:D425" ca="1" si="13">(E362-$E$42)/365.25</f>
        <v>6.1327857631759066</v>
      </c>
      <c r="E362" s="33">
        <f t="shared" ca="1" si="12"/>
        <v>44225</v>
      </c>
      <c r="F362" s="47">
        <v>1.5269037048006611</v>
      </c>
    </row>
    <row r="363" spans="4:6" x14ac:dyDescent="0.2">
      <c r="D363" s="18">
        <f t="shared" ca="1" si="13"/>
        <v>6.151950718685832</v>
      </c>
      <c r="E363" s="33">
        <f t="shared" ref="E363:E426" ca="1" si="14">E362+7</f>
        <v>44232</v>
      </c>
      <c r="F363" s="47">
        <v>1.5290856802342936</v>
      </c>
    </row>
    <row r="364" spans="4:6" x14ac:dyDescent="0.2">
      <c r="D364" s="18">
        <f t="shared" ca="1" si="13"/>
        <v>6.1711156741957565</v>
      </c>
      <c r="E364" s="33">
        <f t="shared" ca="1" si="14"/>
        <v>44239</v>
      </c>
      <c r="F364" s="47">
        <v>1.5312543284821261</v>
      </c>
    </row>
    <row r="365" spans="4:6" x14ac:dyDescent="0.2">
      <c r="D365" s="18">
        <f t="shared" ca="1" si="13"/>
        <v>6.1902806297056809</v>
      </c>
      <c r="E365" s="33">
        <f t="shared" ca="1" si="14"/>
        <v>44246</v>
      </c>
      <c r="F365" s="47">
        <v>1.5334105815690453</v>
      </c>
    </row>
    <row r="366" spans="4:6" x14ac:dyDescent="0.2">
      <c r="D366" s="18">
        <f t="shared" ca="1" si="13"/>
        <v>6.2094455852156054</v>
      </c>
      <c r="E366" s="33">
        <f t="shared" ca="1" si="14"/>
        <v>44253</v>
      </c>
      <c r="F366" s="47">
        <v>1.5355553814350236</v>
      </c>
    </row>
    <row r="367" spans="4:6" x14ac:dyDescent="0.2">
      <c r="D367" s="18">
        <f t="shared" ca="1" si="13"/>
        <v>6.2286105407255308</v>
      </c>
      <c r="E367" s="33">
        <f t="shared" ca="1" si="14"/>
        <v>44260</v>
      </c>
      <c r="F367" s="47">
        <v>1.5376896775556466</v>
      </c>
    </row>
    <row r="368" spans="4:6" x14ac:dyDescent="0.2">
      <c r="D368" s="18">
        <f t="shared" ca="1" si="13"/>
        <v>6.2477754962354553</v>
      </c>
      <c r="E368" s="33">
        <f t="shared" ca="1" si="14"/>
        <v>44267</v>
      </c>
      <c r="F368" s="47">
        <v>1.5398144245695304</v>
      </c>
    </row>
    <row r="369" spans="4:6" x14ac:dyDescent="0.2">
      <c r="D369" s="18">
        <f t="shared" ca="1" si="13"/>
        <v>6.2669404517453797</v>
      </c>
      <c r="E369" s="33">
        <f t="shared" ca="1" si="14"/>
        <v>44274</v>
      </c>
      <c r="F369" s="47">
        <v>1.5419305799244292</v>
      </c>
    </row>
    <row r="370" spans="4:6" x14ac:dyDescent="0.2">
      <c r="D370" s="18">
        <f t="shared" ca="1" si="13"/>
        <v>6.2861054072553042</v>
      </c>
      <c r="E370" s="33">
        <f t="shared" ca="1" si="14"/>
        <v>44281</v>
      </c>
      <c r="F370" s="47">
        <v>1.5440391015534505</v>
      </c>
    </row>
    <row r="371" spans="4:6" x14ac:dyDescent="0.2">
      <c r="D371" s="18">
        <f t="shared" ca="1" si="13"/>
        <v>6.3052703627652296</v>
      </c>
      <c r="E371" s="33">
        <f t="shared" ca="1" si="14"/>
        <v>44288</v>
      </c>
      <c r="F371" s="47">
        <v>1.5461409455923572</v>
      </c>
    </row>
    <row r="372" spans="4:6" x14ac:dyDescent="0.2">
      <c r="D372" s="18">
        <f t="shared" ca="1" si="13"/>
        <v>6.324435318275154</v>
      </c>
      <c r="E372" s="33">
        <f t="shared" ca="1" si="14"/>
        <v>44295</v>
      </c>
      <c r="F372" s="47">
        <v>1.548237064148368</v>
      </c>
    </row>
    <row r="373" spans="4:6" x14ac:dyDescent="0.2">
      <c r="D373" s="18">
        <f t="shared" ca="1" si="13"/>
        <v>6.3436002737850785</v>
      </c>
      <c r="E373" s="33">
        <f t="shared" ca="1" si="14"/>
        <v>44302</v>
      </c>
      <c r="F373" s="47">
        <v>1.5503284031302884</v>
      </c>
    </row>
    <row r="374" spans="4:6" x14ac:dyDescent="0.2">
      <c r="D374" s="18">
        <f t="shared" ca="1" si="13"/>
        <v>6.362765229295003</v>
      </c>
      <c r="E374" s="33">
        <f t="shared" ca="1" si="14"/>
        <v>44309</v>
      </c>
      <c r="F374" s="47">
        <v>1.5524159001490849</v>
      </c>
    </row>
    <row r="375" spans="4:6" x14ac:dyDescent="0.2">
      <c r="D375" s="18">
        <f t="shared" ca="1" si="13"/>
        <v>6.3819301848049284</v>
      </c>
      <c r="E375" s="33">
        <f t="shared" ca="1" si="14"/>
        <v>44316</v>
      </c>
      <c r="F375" s="47">
        <v>1.5545004824973272</v>
      </c>
    </row>
    <row r="376" spans="4:6" x14ac:dyDescent="0.2">
      <c r="D376" s="18">
        <f t="shared" ca="1" si="13"/>
        <v>6.4010951403148528</v>
      </c>
      <c r="E376" s="33">
        <f t="shared" ca="1" si="14"/>
        <v>44323</v>
      </c>
      <c r="F376" s="47">
        <v>1.5565830652151087</v>
      </c>
    </row>
    <row r="377" spans="4:6" x14ac:dyDescent="0.2">
      <c r="D377" s="18">
        <f t="shared" ca="1" si="13"/>
        <v>6.4202600958247773</v>
      </c>
      <c r="E377" s="33">
        <f t="shared" ca="1" si="14"/>
        <v>44330</v>
      </c>
      <c r="F377" s="47">
        <v>1.5586645492492646</v>
      </c>
    </row>
    <row r="378" spans="4:6" x14ac:dyDescent="0.2">
      <c r="D378" s="18">
        <f t="shared" ca="1" si="13"/>
        <v>6.4394250513347027</v>
      </c>
      <c r="E378" s="33">
        <f t="shared" ca="1" si="14"/>
        <v>44337</v>
      </c>
      <c r="F378" s="47">
        <v>1.5607458197118602</v>
      </c>
    </row>
    <row r="379" spans="4:6" x14ac:dyDescent="0.2">
      <c r="D379" s="18">
        <f t="shared" ca="1" si="13"/>
        <v>6.4585900068446271</v>
      </c>
      <c r="E379" s="33">
        <f t="shared" ca="1" si="14"/>
        <v>44344</v>
      </c>
      <c r="F379" s="47">
        <v>1.5628277442430694</v>
      </c>
    </row>
    <row r="380" spans="4:6" x14ac:dyDescent="0.2">
      <c r="D380" s="18">
        <f t="shared" ca="1" si="13"/>
        <v>6.4777549623545516</v>
      </c>
      <c r="E380" s="33">
        <f t="shared" ca="1" si="14"/>
        <v>44351</v>
      </c>
      <c r="F380" s="47">
        <v>1.5649111714827024</v>
      </c>
    </row>
    <row r="381" spans="4:6" x14ac:dyDescent="0.2">
      <c r="D381" s="18">
        <f t="shared" ca="1" si="13"/>
        <v>6.4969199178644761</v>
      </c>
      <c r="E381" s="33">
        <f t="shared" ca="1" si="14"/>
        <v>44358</v>
      </c>
      <c r="F381" s="47">
        <v>1.5669969296537876</v>
      </c>
    </row>
    <row r="382" spans="4:6" x14ac:dyDescent="0.2">
      <c r="D382" s="18">
        <f t="shared" ca="1" si="13"/>
        <v>6.5160848733744015</v>
      </c>
      <c r="E382" s="33">
        <f t="shared" ca="1" si="14"/>
        <v>44365</v>
      </c>
      <c r="F382" s="47">
        <v>1.5690858252607633</v>
      </c>
    </row>
    <row r="383" spans="4:6" x14ac:dyDescent="0.2">
      <c r="D383" s="18">
        <f t="shared" ca="1" si="13"/>
        <v>6.5352498288843259</v>
      </c>
      <c r="E383" s="33">
        <f t="shared" ca="1" si="14"/>
        <v>44372</v>
      </c>
      <c r="F383" s="47">
        <v>1.571178641904007</v>
      </c>
    </row>
    <row r="384" spans="4:6" x14ac:dyDescent="0.2">
      <c r="D384" s="18">
        <f t="shared" ca="1" si="13"/>
        <v>6.5544147843942504</v>
      </c>
      <c r="E384" s="33">
        <f t="shared" ca="1" si="14"/>
        <v>44379</v>
      </c>
      <c r="F384" s="47">
        <v>1.5732761392116363</v>
      </c>
    </row>
    <row r="385" spans="4:6" x14ac:dyDescent="0.2">
      <c r="D385" s="18">
        <f t="shared" ca="1" si="13"/>
        <v>6.5735797399041749</v>
      </c>
      <c r="E385" s="33">
        <f t="shared" ca="1" si="14"/>
        <v>44386</v>
      </c>
      <c r="F385" s="47">
        <v>1.5753790518887407</v>
      </c>
    </row>
    <row r="386" spans="4:6" x14ac:dyDescent="0.2">
      <c r="D386" s="18">
        <f t="shared" ca="1" si="13"/>
        <v>6.5927446954141002</v>
      </c>
      <c r="E386" s="33">
        <f t="shared" ca="1" si="14"/>
        <v>44393</v>
      </c>
      <c r="F386" s="47">
        <v>1.5774880888834792</v>
      </c>
    </row>
    <row r="387" spans="4:6" x14ac:dyDescent="0.2">
      <c r="D387" s="18">
        <f t="shared" ca="1" si="13"/>
        <v>6.6119096509240247</v>
      </c>
      <c r="E387" s="33">
        <f t="shared" ca="1" si="14"/>
        <v>44400</v>
      </c>
      <c r="F387" s="47">
        <v>1.5796039326687965</v>
      </c>
    </row>
    <row r="388" spans="4:6" x14ac:dyDescent="0.2">
      <c r="D388" s="18">
        <f t="shared" ca="1" si="13"/>
        <v>6.6310746064339492</v>
      </c>
      <c r="E388" s="33">
        <f t="shared" ca="1" si="14"/>
        <v>44407</v>
      </c>
      <c r="F388" s="47">
        <v>1.5817272386378616</v>
      </c>
    </row>
    <row r="389" spans="4:6" x14ac:dyDescent="0.2">
      <c r="D389" s="18">
        <f t="shared" ca="1" si="13"/>
        <v>6.6502395619438737</v>
      </c>
      <c r="E389" s="33">
        <f t="shared" ca="1" si="14"/>
        <v>44414</v>
      </c>
      <c r="F389" s="47">
        <v>1.5838586346107686</v>
      </c>
    </row>
    <row r="390" spans="4:6" x14ac:dyDescent="0.2">
      <c r="D390" s="18">
        <f t="shared" ca="1" si="13"/>
        <v>6.669404517453799</v>
      </c>
      <c r="E390" s="33">
        <f t="shared" ca="1" si="14"/>
        <v>44421</v>
      </c>
      <c r="F390" s="47">
        <v>1.5859987204494752</v>
      </c>
    </row>
    <row r="391" spans="4:6" x14ac:dyDescent="0.2">
      <c r="D391" s="18">
        <f t="shared" ca="1" si="13"/>
        <v>6.6885694729637235</v>
      </c>
      <c r="E391" s="33">
        <f t="shared" ca="1" si="14"/>
        <v>44428</v>
      </c>
      <c r="F391" s="47">
        <v>1.5881480677775095</v>
      </c>
    </row>
    <row r="392" spans="4:6" x14ac:dyDescent="0.2">
      <c r="D392" s="18">
        <f t="shared" ca="1" si="13"/>
        <v>6.707734428473648</v>
      </c>
      <c r="E392" s="33">
        <f t="shared" ca="1" si="14"/>
        <v>44435</v>
      </c>
      <c r="F392" s="47">
        <v>1.5903072198005221</v>
      </c>
    </row>
    <row r="393" spans="4:6" x14ac:dyDescent="0.2">
      <c r="D393" s="18">
        <f t="shared" ca="1" si="13"/>
        <v>6.7268993839835725</v>
      </c>
      <c r="E393" s="33">
        <f t="shared" ca="1" si="14"/>
        <v>44442</v>
      </c>
      <c r="F393" s="47">
        <v>1.5924766912234207</v>
      </c>
    </row>
    <row r="394" spans="4:6" x14ac:dyDescent="0.2">
      <c r="D394" s="18">
        <f t="shared" ca="1" si="13"/>
        <v>6.7460643394934978</v>
      </c>
      <c r="E394" s="33">
        <f t="shared" ca="1" si="14"/>
        <v>44449</v>
      </c>
      <c r="F394" s="47">
        <v>1.5946569682594884</v>
      </c>
    </row>
    <row r="395" spans="4:6" x14ac:dyDescent="0.2">
      <c r="D395" s="18">
        <f t="shared" ca="1" si="13"/>
        <v>6.7652292950034223</v>
      </c>
      <c r="E395" s="33">
        <f t="shared" ca="1" si="14"/>
        <v>44456</v>
      </c>
      <c r="F395" s="47">
        <v>1.5968485087266502</v>
      </c>
    </row>
    <row r="396" spans="4:6" x14ac:dyDescent="0.2">
      <c r="D396" s="18">
        <f t="shared" ca="1" si="13"/>
        <v>6.7843942505133468</v>
      </c>
      <c r="E396" s="33">
        <f t="shared" ca="1" si="14"/>
        <v>44463</v>
      </c>
      <c r="F396" s="47">
        <v>1.5990517422258272</v>
      </c>
    </row>
    <row r="397" spans="4:6" x14ac:dyDescent="0.2">
      <c r="D397" s="18">
        <f t="shared" ca="1" si="13"/>
        <v>6.8035592060232721</v>
      </c>
      <c r="E397" s="33">
        <f t="shared" ca="1" si="14"/>
        <v>44470</v>
      </c>
      <c r="F397" s="47">
        <v>1.6012670703961898</v>
      </c>
    </row>
    <row r="398" spans="4:6" x14ac:dyDescent="0.2">
      <c r="D398" s="18">
        <f t="shared" ca="1" si="13"/>
        <v>6.8227241615331966</v>
      </c>
      <c r="E398" s="33">
        <f t="shared" ca="1" si="14"/>
        <v>44477</v>
      </c>
      <c r="F398" s="47">
        <v>1.6034948672419806</v>
      </c>
    </row>
    <row r="399" spans="4:6" x14ac:dyDescent="0.2">
      <c r="D399" s="18">
        <f t="shared" ca="1" si="13"/>
        <v>6.8418891170431211</v>
      </c>
      <c r="E399" s="33">
        <f t="shared" ca="1" si="14"/>
        <v>44484</v>
      </c>
      <c r="F399" s="47">
        <v>1.6057354795255485</v>
      </c>
    </row>
    <row r="400" spans="4:6" x14ac:dyDescent="0.2">
      <c r="D400" s="18">
        <f t="shared" ca="1" si="13"/>
        <v>6.8610540725530456</v>
      </c>
      <c r="E400" s="33">
        <f t="shared" ca="1" si="14"/>
        <v>44491</v>
      </c>
      <c r="F400" s="47">
        <v>1.6079892272212011</v>
      </c>
    </row>
    <row r="401" spans="4:6" x14ac:dyDescent="0.2">
      <c r="D401" s="18">
        <f t="shared" ca="1" si="13"/>
        <v>6.8802190280629709</v>
      </c>
      <c r="E401" s="33">
        <f t="shared" ca="1" si="14"/>
        <v>44498</v>
      </c>
      <c r="F401" s="47">
        <v>1.6102564040245011</v>
      </c>
    </row>
    <row r="402" spans="4:6" x14ac:dyDescent="0.2">
      <c r="D402" s="18">
        <f t="shared" ca="1" si="13"/>
        <v>6.8993839835728954</v>
      </c>
      <c r="E402" s="33">
        <f t="shared" ca="1" si="14"/>
        <v>44505</v>
      </c>
      <c r="F402" s="47">
        <v>1.6125372779116982</v>
      </c>
    </row>
    <row r="403" spans="4:6" x14ac:dyDescent="0.2">
      <c r="D403" s="18">
        <f t="shared" ca="1" si="13"/>
        <v>6.9185489390828199</v>
      </c>
      <c r="E403" s="33">
        <f t="shared" ca="1" si="14"/>
        <v>44512</v>
      </c>
      <c r="F403" s="47">
        <v>1.6148320917440684</v>
      </c>
    </row>
    <row r="404" spans="4:6" x14ac:dyDescent="0.2">
      <c r="D404" s="18">
        <f t="shared" ca="1" si="13"/>
        <v>6.9377138945927443</v>
      </c>
      <c r="E404" s="33">
        <f t="shared" ca="1" si="14"/>
        <v>44519</v>
      </c>
      <c r="F404" s="47">
        <v>1.6171410639120565</v>
      </c>
    </row>
    <row r="405" spans="4:6" x14ac:dyDescent="0.2">
      <c r="D405" s="18">
        <f t="shared" ca="1" si="13"/>
        <v>6.9568788501026697</v>
      </c>
      <c r="E405" s="33">
        <f t="shared" ca="1" si="14"/>
        <v>44526</v>
      </c>
      <c r="F405" s="47">
        <v>1.6194643890142522</v>
      </c>
    </row>
    <row r="406" spans="4:6" x14ac:dyDescent="0.2">
      <c r="D406" s="18">
        <f t="shared" ca="1" si="13"/>
        <v>6.9760438056125942</v>
      </c>
      <c r="E406" s="33">
        <f t="shared" ca="1" si="14"/>
        <v>44533</v>
      </c>
      <c r="F406" s="47">
        <v>1.6218022385664044</v>
      </c>
    </row>
    <row r="407" spans="4:6" x14ac:dyDescent="0.2">
      <c r="D407" s="18">
        <f t="shared" ca="1" si="13"/>
        <v>6.9952087611225187</v>
      </c>
      <c r="E407" s="33">
        <f t="shared" ca="1" si="14"/>
        <v>44540</v>
      </c>
      <c r="F407" s="47">
        <v>1.6241547617358612</v>
      </c>
    </row>
    <row r="408" spans="4:6" x14ac:dyDescent="0.2">
      <c r="D408" s="18">
        <f t="shared" ca="1" si="13"/>
        <v>7.0143737166324431</v>
      </c>
      <c r="E408" s="33">
        <f t="shared" ca="1" si="14"/>
        <v>44547</v>
      </c>
      <c r="F408" s="47">
        <v>1.6265183476138925</v>
      </c>
    </row>
    <row r="409" spans="4:6" x14ac:dyDescent="0.2">
      <c r="D409" s="18">
        <f t="shared" ca="1" si="13"/>
        <v>7.0335386721423685</v>
      </c>
      <c r="E409" s="33">
        <f t="shared" ca="1" si="14"/>
        <v>44554</v>
      </c>
      <c r="F409" s="47">
        <v>1.6288838878488485</v>
      </c>
    </row>
    <row r="410" spans="4:6" x14ac:dyDescent="0.2">
      <c r="D410" s="18">
        <f t="shared" ca="1" si="13"/>
        <v>7.052703627652293</v>
      </c>
      <c r="E410" s="33">
        <f t="shared" ca="1" si="14"/>
        <v>44561</v>
      </c>
      <c r="F410" s="47">
        <v>1.6312509164532576</v>
      </c>
    </row>
    <row r="411" spans="4:6" x14ac:dyDescent="0.2">
      <c r="D411" s="18">
        <f t="shared" ca="1" si="13"/>
        <v>7.0718685831622174</v>
      </c>
      <c r="E411" s="33">
        <f t="shared" ca="1" si="14"/>
        <v>44568</v>
      </c>
      <c r="F411" s="47">
        <v>1.6336193790855655</v>
      </c>
    </row>
    <row r="412" spans="4:6" x14ac:dyDescent="0.2">
      <c r="D412" s="18">
        <f t="shared" ca="1" si="13"/>
        <v>7.0910335386721428</v>
      </c>
      <c r="E412" s="33">
        <f t="shared" ca="1" si="14"/>
        <v>44575</v>
      </c>
      <c r="F412" s="47">
        <v>1.635989219300211</v>
      </c>
    </row>
    <row r="413" spans="4:6" x14ac:dyDescent="0.2">
      <c r="D413" s="18">
        <f t="shared" ca="1" si="13"/>
        <v>7.1101984941820673</v>
      </c>
      <c r="E413" s="33">
        <f t="shared" ca="1" si="14"/>
        <v>44582</v>
      </c>
      <c r="F413" s="47">
        <v>1.638360378528612</v>
      </c>
    </row>
    <row r="414" spans="4:6" x14ac:dyDescent="0.2">
      <c r="D414" s="18">
        <f t="shared" ca="1" si="13"/>
        <v>7.1293634496919918</v>
      </c>
      <c r="E414" s="33">
        <f t="shared" ca="1" si="14"/>
        <v>44589</v>
      </c>
      <c r="F414" s="47">
        <v>1.6407327960621356</v>
      </c>
    </row>
    <row r="415" spans="4:6" x14ac:dyDescent="0.2">
      <c r="D415" s="18">
        <f t="shared" ca="1" si="13"/>
        <v>7.1485284052019162</v>
      </c>
      <c r="E415" s="33">
        <f t="shared" ca="1" si="14"/>
        <v>44596</v>
      </c>
      <c r="F415" s="47">
        <v>1.6431064090371781</v>
      </c>
    </row>
    <row r="416" spans="4:6" x14ac:dyDescent="0.2">
      <c r="D416" s="18">
        <f t="shared" ca="1" si="13"/>
        <v>7.1676933607118416</v>
      </c>
      <c r="E416" s="33">
        <f t="shared" ca="1" si="14"/>
        <v>44603</v>
      </c>
      <c r="F416" s="47">
        <v>1.6454811524224657</v>
      </c>
    </row>
    <row r="417" spans="4:6" x14ac:dyDescent="0.2">
      <c r="D417" s="18">
        <f t="shared" ca="1" si="13"/>
        <v>7.1868583162217661</v>
      </c>
      <c r="E417" s="33">
        <f t="shared" ca="1" si="14"/>
        <v>44610</v>
      </c>
      <c r="F417" s="47">
        <v>1.6478569590087053</v>
      </c>
    </row>
    <row r="418" spans="4:6" x14ac:dyDescent="0.2">
      <c r="D418" s="18">
        <f t="shared" ca="1" si="13"/>
        <v>7.2060232717316905</v>
      </c>
      <c r="E418" s="33">
        <f t="shared" ca="1" si="14"/>
        <v>44617</v>
      </c>
      <c r="F418" s="47">
        <v>1.6502337594007013</v>
      </c>
    </row>
    <row r="419" spans="4:6" x14ac:dyDescent="0.2">
      <c r="D419" s="18">
        <f t="shared" ca="1" si="13"/>
        <v>7.225188227241615</v>
      </c>
      <c r="E419" s="33">
        <f t="shared" ca="1" si="14"/>
        <v>44624</v>
      </c>
      <c r="F419" s="47">
        <v>1.6526114820120577</v>
      </c>
    </row>
    <row r="420" spans="4:6" x14ac:dyDescent="0.2">
      <c r="D420" s="18">
        <f t="shared" ca="1" si="13"/>
        <v>7.2443531827515404</v>
      </c>
      <c r="E420" s="33">
        <f t="shared" ca="1" si="14"/>
        <v>44631</v>
      </c>
      <c r="F420" s="47">
        <v>1.6549900530625929</v>
      </c>
    </row>
    <row r="421" spans="4:6" x14ac:dyDescent="0.2">
      <c r="D421" s="18">
        <f t="shared" ca="1" si="13"/>
        <v>7.2635181382614649</v>
      </c>
      <c r="E421" s="33">
        <f t="shared" ca="1" si="14"/>
        <v>44638</v>
      </c>
      <c r="F421" s="47">
        <v>1.6573693965785758</v>
      </c>
    </row>
    <row r="422" spans="4:6" x14ac:dyDescent="0.2">
      <c r="D422" s="18">
        <f t="shared" ca="1" si="13"/>
        <v>7.2826830937713893</v>
      </c>
      <c r="E422" s="33">
        <f t="shared" ca="1" si="14"/>
        <v>44645</v>
      </c>
      <c r="F422" s="47">
        <v>1.6597494343959103</v>
      </c>
    </row>
    <row r="423" spans="4:6" x14ac:dyDescent="0.2">
      <c r="D423" s="18">
        <f t="shared" ca="1" si="13"/>
        <v>7.3018480492813138</v>
      </c>
      <c r="E423" s="33">
        <f t="shared" ca="1" si="14"/>
        <v>44652</v>
      </c>
      <c r="F423" s="47">
        <v>1.6621300861663775</v>
      </c>
    </row>
    <row r="424" spans="4:6" x14ac:dyDescent="0.2">
      <c r="D424" s="18">
        <f t="shared" ca="1" si="13"/>
        <v>7.3210130047912392</v>
      </c>
      <c r="E424" s="33">
        <f t="shared" ca="1" si="14"/>
        <v>44659</v>
      </c>
      <c r="F424" s="47">
        <v>1.6645112693670563</v>
      </c>
    </row>
    <row r="425" spans="4:6" x14ac:dyDescent="0.2">
      <c r="D425" s="18">
        <f t="shared" ca="1" si="13"/>
        <v>7.3401779603011637</v>
      </c>
      <c r="E425" s="33">
        <f t="shared" ca="1" si="14"/>
        <v>44666</v>
      </c>
      <c r="F425" s="47">
        <v>1.6668928993130263</v>
      </c>
    </row>
    <row r="426" spans="4:6" x14ac:dyDescent="0.2">
      <c r="D426" s="18">
        <f t="shared" ref="D426:D489" ca="1" si="15">(E426-$E$42)/365.25</f>
        <v>7.3593429158110881</v>
      </c>
      <c r="E426" s="33">
        <f t="shared" ca="1" si="14"/>
        <v>44673</v>
      </c>
      <c r="F426" s="47">
        <v>1.669274889173467</v>
      </c>
    </row>
    <row r="427" spans="4:6" x14ac:dyDescent="0.2">
      <c r="D427" s="18">
        <f t="shared" ca="1" si="15"/>
        <v>7.3785078713210126</v>
      </c>
      <c r="E427" s="33">
        <f t="shared" ref="E427:E490" ca="1" si="16">E426+7</f>
        <v>44680</v>
      </c>
      <c r="F427" s="47">
        <v>1.6716571499912551</v>
      </c>
    </row>
    <row r="428" spans="4:6" x14ac:dyDescent="0.2">
      <c r="D428" s="18">
        <f t="shared" ca="1" si="15"/>
        <v>7.397672826830938</v>
      </c>
      <c r="E428" s="33">
        <f t="shared" ca="1" si="16"/>
        <v>44687</v>
      </c>
      <c r="F428" s="47">
        <v>1.6740395907061552</v>
      </c>
    </row>
    <row r="429" spans="4:6" x14ac:dyDescent="0.2">
      <c r="D429" s="18">
        <f t="shared" ca="1" si="15"/>
        <v>7.4168377823408624</v>
      </c>
      <c r="E429" s="33">
        <f t="shared" ca="1" si="16"/>
        <v>44694</v>
      </c>
      <c r="F429" s="47">
        <v>1.6764221181817096</v>
      </c>
    </row>
    <row r="430" spans="4:6" x14ac:dyDescent="0.2">
      <c r="D430" s="18">
        <f t="shared" ca="1" si="15"/>
        <v>7.4360027378507869</v>
      </c>
      <c r="E430" s="33">
        <f t="shared" ca="1" si="16"/>
        <v>44701</v>
      </c>
      <c r="F430" s="47">
        <v>1.6788046372359049</v>
      </c>
    </row>
    <row r="431" spans="4:6" x14ac:dyDescent="0.2">
      <c r="D431" s="18">
        <f t="shared" ca="1" si="15"/>
        <v>7.4551676933607123</v>
      </c>
      <c r="E431" s="33">
        <f t="shared" ca="1" si="16"/>
        <v>44708</v>
      </c>
      <c r="F431" s="47">
        <v>1.6811870506757092</v>
      </c>
    </row>
    <row r="432" spans="4:6" x14ac:dyDescent="0.2">
      <c r="D432" s="18">
        <f t="shared" ca="1" si="15"/>
        <v>7.4743326488706368</v>
      </c>
      <c r="E432" s="33">
        <f t="shared" ca="1" si="16"/>
        <v>44715</v>
      </c>
      <c r="F432" s="47">
        <v>1.6835692593355471</v>
      </c>
    </row>
    <row r="433" spans="4:6" x14ac:dyDescent="0.2">
      <c r="D433" s="18">
        <f t="shared" ca="1" si="15"/>
        <v>7.4934976043805612</v>
      </c>
      <c r="E433" s="33">
        <f t="shared" ca="1" si="16"/>
        <v>44722</v>
      </c>
      <c r="F433" s="47">
        <v>1.6859511621197907</v>
      </c>
    </row>
    <row r="434" spans="4:6" x14ac:dyDescent="0.2">
      <c r="D434" s="18">
        <f t="shared" ca="1" si="15"/>
        <v>7.5126625598904857</v>
      </c>
      <c r="E434" s="33">
        <f t="shared" ca="1" si="16"/>
        <v>44729</v>
      </c>
      <c r="F434" s="47">
        <v>1.6883326560493275</v>
      </c>
    </row>
    <row r="435" spans="4:6" x14ac:dyDescent="0.2">
      <c r="D435" s="18">
        <f t="shared" ca="1" si="15"/>
        <v>7.5318275154004111</v>
      </c>
      <c r="E435" s="33">
        <f t="shared" ca="1" si="16"/>
        <v>44736</v>
      </c>
      <c r="F435" s="47">
        <v>1.6907136363122481</v>
      </c>
    </row>
    <row r="436" spans="4:6" x14ac:dyDescent="0.2">
      <c r="D436" s="18">
        <f t="shared" ca="1" si="15"/>
        <v>7.5509924709103355</v>
      </c>
      <c r="E436" s="33">
        <f t="shared" ca="1" si="16"/>
        <v>44743</v>
      </c>
      <c r="F436" s="47">
        <v>1.6930939963187195</v>
      </c>
    </row>
    <row r="437" spans="4:6" x14ac:dyDescent="0.2">
      <c r="D437" s="18">
        <f t="shared" ca="1" si="15"/>
        <v>7.57015742642026</v>
      </c>
      <c r="E437" s="33">
        <f t="shared" ca="1" si="16"/>
        <v>44750</v>
      </c>
      <c r="F437" s="47">
        <v>1.6954736277600564</v>
      </c>
    </row>
    <row r="438" spans="4:6" x14ac:dyDescent="0.2">
      <c r="D438" s="18">
        <f t="shared" ca="1" si="15"/>
        <v>7.5893223819301845</v>
      </c>
      <c r="E438" s="33">
        <f t="shared" ca="1" si="16"/>
        <v>44757</v>
      </c>
      <c r="F438" s="47">
        <v>1.6978524206720342</v>
      </c>
    </row>
    <row r="439" spans="4:6" x14ac:dyDescent="0.2">
      <c r="D439" s="18">
        <f t="shared" ca="1" si="15"/>
        <v>7.6084873374401099</v>
      </c>
      <c r="E439" s="33">
        <f t="shared" ca="1" si="16"/>
        <v>44764</v>
      </c>
      <c r="F439" s="47">
        <v>1.7002302635024478</v>
      </c>
    </row>
    <row r="440" spans="4:6" x14ac:dyDescent="0.2">
      <c r="D440" s="18">
        <f t="shared" ca="1" si="15"/>
        <v>7.6276522929500343</v>
      </c>
      <c r="E440" s="33">
        <f t="shared" ca="1" si="16"/>
        <v>44771</v>
      </c>
      <c r="F440" s="47">
        <v>1.7026070431829246</v>
      </c>
    </row>
    <row r="441" spans="4:6" x14ac:dyDescent="0.2">
      <c r="D441" s="18">
        <f t="shared" ca="1" si="15"/>
        <v>7.6468172484599588</v>
      </c>
      <c r="E441" s="33">
        <f t="shared" ca="1" si="16"/>
        <v>44778</v>
      </c>
      <c r="F441" s="47">
        <v>1.7049826452049803</v>
      </c>
    </row>
    <row r="442" spans="4:6" x14ac:dyDescent="0.2">
      <c r="D442" s="18">
        <f t="shared" ca="1" si="15"/>
        <v>7.6659822039698833</v>
      </c>
      <c r="E442" s="33">
        <f t="shared" ca="1" si="16"/>
        <v>44785</v>
      </c>
      <c r="F442" s="47">
        <v>1.7073569537003066</v>
      </c>
    </row>
    <row r="443" spans="4:6" x14ac:dyDescent="0.2">
      <c r="D443" s="18">
        <f t="shared" ca="1" si="15"/>
        <v>7.6851471594798086</v>
      </c>
      <c r="E443" s="33">
        <f t="shared" ca="1" si="16"/>
        <v>44792</v>
      </c>
      <c r="F443" s="47">
        <v>1.7097298515252464</v>
      </c>
    </row>
    <row r="444" spans="4:6" x14ac:dyDescent="0.2">
      <c r="D444" s="18">
        <f t="shared" ca="1" si="15"/>
        <v>7.7043121149897331</v>
      </c>
      <c r="E444" s="33">
        <f t="shared" ca="1" si="16"/>
        <v>44799</v>
      </c>
      <c r="F444" s="47">
        <v>1.7121012203494184</v>
      </c>
    </row>
    <row r="445" spans="4:6" x14ac:dyDescent="0.2">
      <c r="D445" s="18">
        <f t="shared" ca="1" si="15"/>
        <v>7.7234770704996576</v>
      </c>
      <c r="E445" s="33">
        <f t="shared" ca="1" si="16"/>
        <v>44806</v>
      </c>
      <c r="F445" s="47">
        <v>1.714470940748434</v>
      </c>
    </row>
    <row r="446" spans="4:6" x14ac:dyDescent="0.2">
      <c r="D446" s="18">
        <f t="shared" ca="1" si="15"/>
        <v>7.7426420260095821</v>
      </c>
      <c r="E446" s="33">
        <f t="shared" ca="1" si="16"/>
        <v>44813</v>
      </c>
      <c r="F446" s="47">
        <v>1.7168388923006321</v>
      </c>
    </row>
    <row r="447" spans="4:6" x14ac:dyDescent="0.2">
      <c r="D447" s="18">
        <f t="shared" ca="1" si="15"/>
        <v>7.7618069815195074</v>
      </c>
      <c r="E447" s="33">
        <f t="shared" ca="1" si="16"/>
        <v>44820</v>
      </c>
      <c r="F447" s="47">
        <v>1.7192049536877483</v>
      </c>
    </row>
    <row r="448" spans="4:6" x14ac:dyDescent="0.2">
      <c r="D448" s="18">
        <f t="shared" ca="1" si="15"/>
        <v>7.7809719370294319</v>
      </c>
      <c r="E448" s="33">
        <f t="shared" ca="1" si="16"/>
        <v>44827</v>
      </c>
      <c r="F448" s="47">
        <v>1.7215690027994091</v>
      </c>
    </row>
    <row r="449" spans="4:6" x14ac:dyDescent="0.2">
      <c r="D449" s="18">
        <f t="shared" ca="1" si="15"/>
        <v>7.8001368925393564</v>
      </c>
      <c r="E449" s="33">
        <f t="shared" ca="1" si="16"/>
        <v>44834</v>
      </c>
      <c r="F449" s="47">
        <v>1.7239309168413604</v>
      </c>
    </row>
    <row r="450" spans="4:6" x14ac:dyDescent="0.2">
      <c r="D450" s="18">
        <f t="shared" ca="1" si="15"/>
        <v>7.8193018480492817</v>
      </c>
      <c r="E450" s="33">
        <f t="shared" ca="1" si="16"/>
        <v>44841</v>
      </c>
      <c r="F450" s="47">
        <v>1.726290572447273</v>
      </c>
    </row>
    <row r="451" spans="4:6" x14ac:dyDescent="0.2">
      <c r="D451" s="18">
        <f t="shared" ca="1" si="15"/>
        <v>7.8384668035592062</v>
      </c>
      <c r="E451" s="33">
        <f t="shared" ca="1" si="16"/>
        <v>44848</v>
      </c>
      <c r="F451" s="47">
        <v>1.728647845794008</v>
      </c>
    </row>
    <row r="452" spans="4:6" x14ac:dyDescent="0.2">
      <c r="D452" s="18">
        <f t="shared" ca="1" si="15"/>
        <v>7.8576317590691307</v>
      </c>
      <c r="E452" s="33">
        <f t="shared" ca="1" si="16"/>
        <v>44855</v>
      </c>
      <c r="F452" s="47">
        <v>1.7310026127201699</v>
      </c>
    </row>
    <row r="453" spans="4:6" x14ac:dyDescent="0.2">
      <c r="D453" s="18">
        <f t="shared" ca="1" si="15"/>
        <v>7.8767967145790552</v>
      </c>
      <c r="E453" s="33">
        <f t="shared" ca="1" si="16"/>
        <v>44862</v>
      </c>
      <c r="F453" s="47">
        <v>1.7333547488477827</v>
      </c>
    </row>
    <row r="454" spans="4:6" x14ac:dyDescent="0.2">
      <c r="D454" s="18">
        <f t="shared" ca="1" si="15"/>
        <v>7.8959616700889805</v>
      </c>
      <c r="E454" s="33">
        <f t="shared" ca="1" si="16"/>
        <v>44869</v>
      </c>
      <c r="F454" s="47">
        <v>1.7357041297069027</v>
      </c>
    </row>
    <row r="455" spans="4:6" x14ac:dyDescent="0.2">
      <c r="D455" s="18">
        <f t="shared" ca="1" si="15"/>
        <v>7.915126625598905</v>
      </c>
      <c r="E455" s="33">
        <f t="shared" ca="1" si="16"/>
        <v>44876</v>
      </c>
      <c r="F455" s="47">
        <v>1.7380506308629731</v>
      </c>
    </row>
    <row r="456" spans="4:6" x14ac:dyDescent="0.2">
      <c r="D456" s="18">
        <f t="shared" ca="1" si="15"/>
        <v>7.9342915811088295</v>
      </c>
      <c r="E456" s="33">
        <f t="shared" ca="1" si="16"/>
        <v>44883</v>
      </c>
      <c r="F456" s="47">
        <v>1.740394128046701</v>
      </c>
    </row>
    <row r="457" spans="4:6" x14ac:dyDescent="0.2">
      <c r="D457" s="18">
        <f t="shared" ca="1" si="15"/>
        <v>7.953456536618754</v>
      </c>
      <c r="E457" s="33">
        <f t="shared" ca="1" si="16"/>
        <v>44890</v>
      </c>
      <c r="F457" s="47">
        <v>1.7427344972862364</v>
      </c>
    </row>
    <row r="458" spans="4:6" x14ac:dyDescent="0.2">
      <c r="D458" s="18">
        <f t="shared" ca="1" si="15"/>
        <v>7.9726214921286793</v>
      </c>
      <c r="E458" s="33">
        <f t="shared" ca="1" si="16"/>
        <v>44897</v>
      </c>
      <c r="F458" s="47">
        <v>1.7450716150414196</v>
      </c>
    </row>
    <row r="459" spans="4:6" x14ac:dyDescent="0.2">
      <c r="D459" s="18">
        <f t="shared" ca="1" si="15"/>
        <v>7.9917864476386038</v>
      </c>
      <c r="E459" s="33">
        <f t="shared" ca="1" si="16"/>
        <v>44904</v>
      </c>
      <c r="F459" s="47">
        <v>1.7474053583398341</v>
      </c>
    </row>
    <row r="460" spans="4:6" x14ac:dyDescent="0.2">
      <c r="D460" s="18">
        <f t="shared" ca="1" si="15"/>
        <v>8.0109514031485283</v>
      </c>
      <c r="E460" s="33">
        <f t="shared" ca="1" si="16"/>
        <v>44911</v>
      </c>
      <c r="F460" s="47">
        <v>1.7497356049144173</v>
      </c>
    </row>
    <row r="461" spans="4:6" x14ac:dyDescent="0.2">
      <c r="D461" s="18">
        <f t="shared" ca="1" si="15"/>
        <v>8.0301163586584536</v>
      </c>
      <c r="E461" s="33">
        <f t="shared" ca="1" si="16"/>
        <v>44918</v>
      </c>
      <c r="F461" s="47">
        <v>1.7520622333423475</v>
      </c>
    </row>
    <row r="462" spans="4:6" x14ac:dyDescent="0.2">
      <c r="D462" s="18">
        <f t="shared" ca="1" si="15"/>
        <v>8.0492813141683772</v>
      </c>
      <c r="E462" s="33">
        <f t="shared" ca="1" si="16"/>
        <v>44925</v>
      </c>
      <c r="F462" s="47">
        <v>1.7543851231849303</v>
      </c>
    </row>
    <row r="463" spans="4:6" x14ac:dyDescent="0.2">
      <c r="D463" s="18">
        <f t="shared" ca="1" si="15"/>
        <v>8.0684462696783026</v>
      </c>
      <c r="E463" s="33">
        <f t="shared" ca="1" si="16"/>
        <v>44932</v>
      </c>
      <c r="F463" s="47">
        <v>1.7567041551281852</v>
      </c>
    </row>
    <row r="464" spans="4:6" x14ac:dyDescent="0.2">
      <c r="D464" s="18">
        <f t="shared" ca="1" si="15"/>
        <v>8.0876112251882279</v>
      </c>
      <c r="E464" s="33">
        <f t="shared" ca="1" si="16"/>
        <v>44939</v>
      </c>
      <c r="F464" s="47">
        <v>1.7590192111238427</v>
      </c>
    </row>
    <row r="465" spans="4:6" x14ac:dyDescent="0.2">
      <c r="D465" s="18">
        <f t="shared" ca="1" si="15"/>
        <v>8.1067761806981515</v>
      </c>
      <c r="E465" s="33">
        <f t="shared" ca="1" si="16"/>
        <v>44946</v>
      </c>
      <c r="F465" s="47">
        <v>1.7613301745304335</v>
      </c>
    </row>
    <row r="466" spans="4:6" x14ac:dyDescent="0.2">
      <c r="D466" s="18">
        <f t="shared" ca="1" si="15"/>
        <v>8.1259411362080769</v>
      </c>
      <c r="E466" s="33">
        <f t="shared" ca="1" si="16"/>
        <v>44953</v>
      </c>
      <c r="F466" s="47">
        <v>1.7636369302541632</v>
      </c>
    </row>
    <row r="467" spans="4:6" x14ac:dyDescent="0.2">
      <c r="D467" s="18">
        <f t="shared" ca="1" si="15"/>
        <v>8.1451060917180005</v>
      </c>
      <c r="E467" s="33">
        <f t="shared" ca="1" si="16"/>
        <v>44960</v>
      </c>
      <c r="F467" s="47">
        <v>1.7659393648892465</v>
      </c>
    </row>
    <row r="468" spans="4:6" x14ac:dyDescent="0.2">
      <c r="D468" s="18">
        <f t="shared" ca="1" si="15"/>
        <v>8.1642710472279258</v>
      </c>
      <c r="E468" s="33">
        <f t="shared" ca="1" si="16"/>
        <v>44967</v>
      </c>
      <c r="F468" s="47">
        <v>1.7682373668573832</v>
      </c>
    </row>
    <row r="469" spans="4:6" x14ac:dyDescent="0.2">
      <c r="D469" s="18">
        <f t="shared" ca="1" si="15"/>
        <v>8.1834360027378512</v>
      </c>
      <c r="E469" s="33">
        <f t="shared" ca="1" si="16"/>
        <v>44974</v>
      </c>
      <c r="F469" s="47">
        <v>1.7705308265460491</v>
      </c>
    </row>
    <row r="470" spans="4:6" x14ac:dyDescent="0.2">
      <c r="D470" s="18">
        <f t="shared" ca="1" si="15"/>
        <v>8.2026009582477748</v>
      </c>
      <c r="E470" s="33">
        <f t="shared" ca="1" si="16"/>
        <v>44981</v>
      </c>
      <c r="F470" s="47">
        <v>1.7728196364452591</v>
      </c>
    </row>
    <row r="471" spans="4:6" x14ac:dyDescent="0.2">
      <c r="D471" s="18">
        <f t="shared" ca="1" si="15"/>
        <v>8.2217659137577002</v>
      </c>
      <c r="E471" s="33">
        <f t="shared" ca="1" si="16"/>
        <v>44988</v>
      </c>
      <c r="F471" s="47">
        <v>1.7751036912824987</v>
      </c>
    </row>
    <row r="472" spans="4:6" x14ac:dyDescent="0.2">
      <c r="D472" s="18">
        <f t="shared" ca="1" si="15"/>
        <v>8.2409308692676255</v>
      </c>
      <c r="E472" s="33">
        <f t="shared" ca="1" si="16"/>
        <v>44995</v>
      </c>
      <c r="F472" s="47">
        <v>1.7773828881554656</v>
      </c>
    </row>
    <row r="473" spans="4:6" x14ac:dyDescent="0.2">
      <c r="D473" s="18">
        <f t="shared" ca="1" si="15"/>
        <v>8.2600958247775491</v>
      </c>
      <c r="E473" s="33">
        <f t="shared" ca="1" si="16"/>
        <v>45002</v>
      </c>
      <c r="F473" s="47">
        <v>1.7796571266623202</v>
      </c>
    </row>
    <row r="474" spans="4:6" x14ac:dyDescent="0.2">
      <c r="D474" s="18">
        <f t="shared" ca="1" si="15"/>
        <v>8.2792607802874745</v>
      </c>
      <c r="E474" s="33">
        <f t="shared" ca="1" si="16"/>
        <v>45009</v>
      </c>
      <c r="F474" s="47">
        <v>1.7819263090290998</v>
      </c>
    </row>
    <row r="475" spans="4:6" x14ac:dyDescent="0.2">
      <c r="D475" s="18">
        <f t="shared" ca="1" si="15"/>
        <v>8.2984257357973998</v>
      </c>
      <c r="E475" s="33">
        <f t="shared" ca="1" si="16"/>
        <v>45016</v>
      </c>
      <c r="F475" s="47">
        <v>1.7841903402339947</v>
      </c>
    </row>
    <row r="476" spans="4:6" x14ac:dyDescent="0.2">
      <c r="D476" s="18">
        <f t="shared" ca="1" si="15"/>
        <v>8.3175906913073234</v>
      </c>
      <c r="E476" s="33">
        <f t="shared" ca="1" si="16"/>
        <v>45023</v>
      </c>
      <c r="F476" s="47">
        <v>1.7864491281281565</v>
      </c>
    </row>
    <row r="477" spans="4:6" x14ac:dyDescent="0.2">
      <c r="D477" s="18">
        <f t="shared" ca="1" si="15"/>
        <v>8.3367556468172488</v>
      </c>
      <c r="E477" s="33">
        <f t="shared" ca="1" si="16"/>
        <v>45030</v>
      </c>
      <c r="F477" s="47">
        <v>1.7887025835527504</v>
      </c>
    </row>
    <row r="478" spans="4:6" x14ac:dyDescent="0.2">
      <c r="D478" s="18">
        <f t="shared" ca="1" si="15"/>
        <v>8.3559206023271724</v>
      </c>
      <c r="E478" s="33">
        <f t="shared" ca="1" si="16"/>
        <v>45037</v>
      </c>
      <c r="F478" s="47">
        <v>1.7909506204519288</v>
      </c>
    </row>
    <row r="479" spans="4:6" x14ac:dyDescent="0.2">
      <c r="D479" s="18">
        <f t="shared" ca="1" si="15"/>
        <v>8.3750855578370977</v>
      </c>
      <c r="E479" s="33">
        <f t="shared" ca="1" si="16"/>
        <v>45044</v>
      </c>
      <c r="F479" s="47">
        <v>1.7931931559814682</v>
      </c>
    </row>
    <row r="480" spans="4:6" x14ac:dyDescent="0.2">
      <c r="D480" s="18">
        <f t="shared" ca="1" si="15"/>
        <v>8.3942505133470231</v>
      </c>
      <c r="E480" s="33">
        <f t="shared" ca="1" si="16"/>
        <v>45051</v>
      </c>
      <c r="F480" s="47">
        <v>1.7954301106127597</v>
      </c>
    </row>
    <row r="481" spans="4:6" x14ac:dyDescent="0.2">
      <c r="D481" s="18">
        <f t="shared" ca="1" si="15"/>
        <v>8.4134154688569467</v>
      </c>
      <c r="E481" s="33">
        <f t="shared" ca="1" si="16"/>
        <v>45058</v>
      </c>
      <c r="F481" s="47">
        <v>1.7976614082319133</v>
      </c>
    </row>
    <row r="482" spans="4:6" x14ac:dyDescent="0.2">
      <c r="D482" s="18">
        <f t="shared" ca="1" si="15"/>
        <v>8.4325804243668721</v>
      </c>
      <c r="E482" s="33">
        <f t="shared" ca="1" si="16"/>
        <v>45065</v>
      </c>
      <c r="F482" s="47">
        <v>1.7998869762337104</v>
      </c>
    </row>
    <row r="483" spans="4:6" x14ac:dyDescent="0.2">
      <c r="D483" s="18">
        <f t="shared" ca="1" si="15"/>
        <v>8.4517453798767974</v>
      </c>
      <c r="E483" s="33">
        <f t="shared" ca="1" si="16"/>
        <v>45072</v>
      </c>
      <c r="F483" s="47">
        <v>1.8021067456101645</v>
      </c>
    </row>
    <row r="484" spans="4:6" x14ac:dyDescent="0.2">
      <c r="D484" s="18">
        <f t="shared" ca="1" si="15"/>
        <v>8.470910335386721</v>
      </c>
      <c r="E484" s="33">
        <f t="shared" ca="1" si="16"/>
        <v>45079</v>
      </c>
      <c r="F484" s="47">
        <v>1.8043206510334802</v>
      </c>
    </row>
    <row r="485" spans="4:6" x14ac:dyDescent="0.2">
      <c r="D485" s="18">
        <f t="shared" ca="1" si="15"/>
        <v>8.4900752908966464</v>
      </c>
      <c r="E485" s="33">
        <f t="shared" ca="1" si="16"/>
        <v>45086</v>
      </c>
      <c r="F485" s="47">
        <v>1.8065286309331894</v>
      </c>
    </row>
    <row r="486" spans="4:6" x14ac:dyDescent="0.2">
      <c r="D486" s="18">
        <f t="shared" ca="1" si="15"/>
        <v>8.5092402464065717</v>
      </c>
      <c r="E486" s="33">
        <f t="shared" ca="1" si="16"/>
        <v>45093</v>
      </c>
      <c r="F486" s="47">
        <v>1.8087306275672799</v>
      </c>
    </row>
    <row r="487" spans="4:6" x14ac:dyDescent="0.2">
      <c r="D487" s="18">
        <f t="shared" ca="1" si="15"/>
        <v>8.5284052019164953</v>
      </c>
      <c r="E487" s="33">
        <f t="shared" ca="1" si="16"/>
        <v>45100</v>
      </c>
      <c r="F487" s="47">
        <v>1.8109265870871492</v>
      </c>
    </row>
    <row r="488" spans="4:6" x14ac:dyDescent="0.2">
      <c r="D488" s="18">
        <f t="shared" ca="1" si="15"/>
        <v>8.5475701574264207</v>
      </c>
      <c r="E488" s="33">
        <f t="shared" ca="1" si="16"/>
        <v>45107</v>
      </c>
      <c r="F488" s="47">
        <v>1.8131164595962264</v>
      </c>
    </row>
    <row r="489" spans="4:6" x14ac:dyDescent="0.2">
      <c r="D489" s="18">
        <f t="shared" ca="1" si="15"/>
        <v>8.5667351129363443</v>
      </c>
      <c r="E489" s="33">
        <f t="shared" ca="1" si="16"/>
        <v>45114</v>
      </c>
      <c r="F489" s="47">
        <v>1.8153001992021245</v>
      </c>
    </row>
    <row r="490" spans="4:6" x14ac:dyDescent="0.2">
      <c r="D490" s="18">
        <f t="shared" ref="D490:D553" ca="1" si="17">(E490-$E$42)/365.25</f>
        <v>8.5859000684462696</v>
      </c>
      <c r="E490" s="33">
        <f t="shared" ca="1" si="16"/>
        <v>45121</v>
      </c>
      <c r="F490" s="47">
        <v>1.8174777640622182</v>
      </c>
    </row>
    <row r="491" spans="4:6" x14ac:dyDescent="0.2">
      <c r="D491" s="18">
        <f t="shared" ca="1" si="17"/>
        <v>8.605065023956195</v>
      </c>
      <c r="E491" s="33">
        <f t="shared" ref="E491:E554" ca="1" si="18">E490+7</f>
        <v>45128</v>
      </c>
      <c r="F491" s="47">
        <v>1.8196491164225452</v>
      </c>
    </row>
    <row r="492" spans="4:6" x14ac:dyDescent="0.2">
      <c r="D492" s="18">
        <f t="shared" ca="1" si="17"/>
        <v>8.6242299794661186</v>
      </c>
      <c r="E492" s="33">
        <f t="shared" ca="1" si="18"/>
        <v>45135</v>
      </c>
      <c r="F492" s="47">
        <v>1.8218142226499561</v>
      </c>
    </row>
    <row r="493" spans="4:6" x14ac:dyDescent="0.2">
      <c r="D493" s="18">
        <f t="shared" ca="1" si="17"/>
        <v>8.6433949349760439</v>
      </c>
      <c r="E493" s="33">
        <f t="shared" ca="1" si="18"/>
        <v>45142</v>
      </c>
      <c r="F493" s="47">
        <v>1.8239730532574754</v>
      </c>
    </row>
    <row r="494" spans="4:6" x14ac:dyDescent="0.2">
      <c r="D494" s="18">
        <f t="shared" ca="1" si="17"/>
        <v>8.6625598904859693</v>
      </c>
      <c r="E494" s="33">
        <f t="shared" ca="1" si="18"/>
        <v>45149</v>
      </c>
      <c r="F494" s="47">
        <v>1.8261255829228173</v>
      </c>
    </row>
    <row r="495" spans="4:6" x14ac:dyDescent="0.2">
      <c r="D495" s="18">
        <f t="shared" ca="1" si="17"/>
        <v>8.6817248459958929</v>
      </c>
      <c r="E495" s="33">
        <f t="shared" ca="1" si="18"/>
        <v>45156</v>
      </c>
      <c r="F495" s="47">
        <v>1.8282717905000632</v>
      </c>
    </row>
    <row r="496" spans="4:6" x14ac:dyDescent="0.2">
      <c r="D496" s="18">
        <f t="shared" ca="1" si="17"/>
        <v>8.7008898015058183</v>
      </c>
      <c r="E496" s="33">
        <f t="shared" ca="1" si="18"/>
        <v>45163</v>
      </c>
      <c r="F496" s="47">
        <v>1.8304116590245101</v>
      </c>
    </row>
    <row r="497" spans="4:6" x14ac:dyDescent="0.2">
      <c r="D497" s="18">
        <f t="shared" ca="1" si="17"/>
        <v>8.7200547570157418</v>
      </c>
      <c r="E497" s="33">
        <f t="shared" ca="1" si="18"/>
        <v>45170</v>
      </c>
      <c r="F497" s="47">
        <v>1.832545175710707</v>
      </c>
    </row>
    <row r="498" spans="4:6" x14ac:dyDescent="0.2">
      <c r="D498" s="18">
        <f t="shared" ca="1" si="17"/>
        <v>8.7392197125256672</v>
      </c>
      <c r="E498" s="33">
        <f t="shared" ca="1" si="18"/>
        <v>45177</v>
      </c>
      <c r="F498" s="47">
        <v>1.8346723319437452</v>
      </c>
    </row>
    <row r="499" spans="4:6" x14ac:dyDescent="0.2">
      <c r="D499" s="18">
        <f t="shared" ca="1" si="17"/>
        <v>8.7583846680355926</v>
      </c>
      <c r="E499" s="33">
        <f t="shared" ca="1" si="18"/>
        <v>45184</v>
      </c>
      <c r="F499" s="47">
        <v>1.836793123263861</v>
      </c>
    </row>
    <row r="500" spans="4:6" x14ac:dyDescent="0.2">
      <c r="D500" s="18">
        <f t="shared" ca="1" si="17"/>
        <v>8.7775496235455162</v>
      </c>
      <c r="E500" s="33">
        <f t="shared" ca="1" si="18"/>
        <v>45191</v>
      </c>
      <c r="F500" s="47">
        <v>1.8389075493444531</v>
      </c>
    </row>
    <row r="501" spans="4:6" x14ac:dyDescent="0.2">
      <c r="D501" s="18">
        <f t="shared" ca="1" si="17"/>
        <v>8.7967145790554415</v>
      </c>
      <c r="E501" s="33">
        <f t="shared" ca="1" si="18"/>
        <v>45198</v>
      </c>
      <c r="F501" s="47">
        <v>1.8410156139636058</v>
      </c>
    </row>
    <row r="502" spans="4:6" x14ac:dyDescent="0.2">
      <c r="D502" s="18">
        <f t="shared" ca="1" si="17"/>
        <v>8.8158795345653669</v>
      </c>
      <c r="E502" s="33">
        <f t="shared" ca="1" si="18"/>
        <v>45205</v>
      </c>
      <c r="F502" s="47">
        <v>1.8431173249692685</v>
      </c>
    </row>
    <row r="503" spans="4:6" x14ac:dyDescent="0.2">
      <c r="D503" s="18">
        <f t="shared" ca="1" si="17"/>
        <v>8.8350444900752905</v>
      </c>
      <c r="E503" s="33">
        <f t="shared" ca="1" si="18"/>
        <v>45212</v>
      </c>
      <c r="F503" s="47">
        <v>1.8452126942382143</v>
      </c>
    </row>
    <row r="504" spans="4:6" x14ac:dyDescent="0.2">
      <c r="D504" s="18">
        <f t="shared" ca="1" si="17"/>
        <v>8.8542094455852158</v>
      </c>
      <c r="E504" s="33">
        <f t="shared" ca="1" si="18"/>
        <v>45219</v>
      </c>
      <c r="F504" s="47">
        <v>1.8473017376289562</v>
      </c>
    </row>
    <row r="505" spans="4:6" x14ac:dyDescent="0.2">
      <c r="D505" s="18">
        <f t="shared" ca="1" si="17"/>
        <v>8.8733744010951412</v>
      </c>
      <c r="E505" s="33">
        <f t="shared" ca="1" si="18"/>
        <v>45226</v>
      </c>
      <c r="F505" s="47">
        <v>1.849384474928784</v>
      </c>
    </row>
    <row r="506" spans="4:6" x14ac:dyDescent="0.2">
      <c r="D506" s="18">
        <f t="shared" ca="1" si="17"/>
        <v>8.8925393566050648</v>
      </c>
      <c r="E506" s="33">
        <f t="shared" ca="1" si="18"/>
        <v>45233</v>
      </c>
      <c r="F506" s="47">
        <v>1.8514609297951321</v>
      </c>
    </row>
    <row r="507" spans="4:6" x14ac:dyDescent="0.2">
      <c r="D507" s="18">
        <f t="shared" ca="1" si="17"/>
        <v>8.9117043121149901</v>
      </c>
      <c r="E507" s="33">
        <f t="shared" ca="1" si="18"/>
        <v>45240</v>
      </c>
      <c r="F507" s="47">
        <v>1.8535311296914623</v>
      </c>
    </row>
    <row r="508" spans="4:6" x14ac:dyDescent="0.2">
      <c r="D508" s="18">
        <f t="shared" ca="1" si="17"/>
        <v>8.9308692676249137</v>
      </c>
      <c r="E508" s="33">
        <f t="shared" ca="1" si="18"/>
        <v>45247</v>
      </c>
      <c r="F508" s="47">
        <v>1.855595105817907</v>
      </c>
    </row>
    <row r="509" spans="4:6" x14ac:dyDescent="0.2">
      <c r="D509" s="18">
        <f t="shared" ca="1" si="17"/>
        <v>8.9500342231348391</v>
      </c>
      <c r="E509" s="33">
        <f t="shared" ca="1" si="18"/>
        <v>45254</v>
      </c>
      <c r="F509" s="47">
        <v>1.8576528930368774</v>
      </c>
    </row>
    <row r="510" spans="4:6" x14ac:dyDescent="0.2">
      <c r="D510" s="18">
        <f t="shared" ca="1" si="17"/>
        <v>8.9691991786447645</v>
      </c>
      <c r="E510" s="33">
        <f t="shared" ca="1" si="18"/>
        <v>45261</v>
      </c>
      <c r="F510" s="47">
        <v>1.8597045297939043</v>
      </c>
    </row>
    <row r="511" spans="4:6" x14ac:dyDescent="0.2">
      <c r="D511" s="18">
        <f t="shared" ca="1" si="17"/>
        <v>8.988364134154688</v>
      </c>
      <c r="E511" s="33">
        <f t="shared" ca="1" si="18"/>
        <v>45268</v>
      </c>
      <c r="F511" s="47">
        <v>1.8617500580339434</v>
      </c>
    </row>
    <row r="512" spans="4:6" x14ac:dyDescent="0.2">
      <c r="D512" s="18">
        <f t="shared" ca="1" si="17"/>
        <v>9.0075290896646134</v>
      </c>
      <c r="E512" s="33">
        <f t="shared" ca="1" si="18"/>
        <v>45275</v>
      </c>
      <c r="F512" s="47">
        <v>1.8637895231134212</v>
      </c>
    </row>
    <row r="513" spans="4:6" x14ac:dyDescent="0.2">
      <c r="D513" s="18">
        <f t="shared" ca="1" si="17"/>
        <v>9.0266940451745388</v>
      </c>
      <c r="E513" s="33">
        <f t="shared" ca="1" si="18"/>
        <v>45282</v>
      </c>
      <c r="F513" s="47">
        <v>1.8658229737082725</v>
      </c>
    </row>
    <row r="514" spans="4:6" x14ac:dyDescent="0.2">
      <c r="D514" s="18">
        <f t="shared" ca="1" si="17"/>
        <v>9.0458590006844624</v>
      </c>
      <c r="E514" s="33">
        <f t="shared" ca="1" si="18"/>
        <v>45289</v>
      </c>
      <c r="F514" s="47">
        <v>1.8678504617182676</v>
      </c>
    </row>
    <row r="515" spans="4:6" x14ac:dyDescent="0.2">
      <c r="D515" s="18">
        <f t="shared" ca="1" si="17"/>
        <v>9.0650239561943877</v>
      </c>
      <c r="E515" s="33">
        <f t="shared" ca="1" si="18"/>
        <v>45296</v>
      </c>
      <c r="F515" s="47">
        <v>1.8698720421678785</v>
      </c>
    </row>
    <row r="516" spans="4:6" x14ac:dyDescent="0.2">
      <c r="D516" s="18">
        <f t="shared" ca="1" si="17"/>
        <v>9.0841889117043113</v>
      </c>
      <c r="E516" s="33">
        <f t="shared" ca="1" si="18"/>
        <v>45303</v>
      </c>
      <c r="F516" s="47">
        <v>1.8718877731039976</v>
      </c>
    </row>
    <row r="517" spans="4:6" x14ac:dyDescent="0.2">
      <c r="D517" s="18">
        <f t="shared" ca="1" si="17"/>
        <v>9.1033538672142367</v>
      </c>
      <c r="E517" s="33">
        <f t="shared" ca="1" si="18"/>
        <v>45310</v>
      </c>
      <c r="F517" s="47">
        <v>1.8738977154907677</v>
      </c>
    </row>
    <row r="518" spans="4:6" x14ac:dyDescent="0.2">
      <c r="D518" s="18">
        <f t="shared" ca="1" si="17"/>
        <v>9.122518822724162</v>
      </c>
      <c r="E518" s="33">
        <f t="shared" ca="1" si="18"/>
        <v>45317</v>
      </c>
      <c r="F518" s="47">
        <v>1.8759019331018323</v>
      </c>
    </row>
    <row r="519" spans="4:6" x14ac:dyDescent="0.2">
      <c r="D519" s="18">
        <f t="shared" ca="1" si="17"/>
        <v>9.1416837782340856</v>
      </c>
      <c r="E519" s="33">
        <f t="shared" ca="1" si="18"/>
        <v>45324</v>
      </c>
      <c r="F519" s="47">
        <v>1.8779004924102796</v>
      </c>
    </row>
    <row r="520" spans="4:6" x14ac:dyDescent="0.2">
      <c r="D520" s="18">
        <f t="shared" ca="1" si="17"/>
        <v>9.160848733744011</v>
      </c>
      <c r="E520" s="33">
        <f t="shared" ca="1" si="18"/>
        <v>45331</v>
      </c>
      <c r="F520" s="47">
        <v>1.8798934624765726</v>
      </c>
    </row>
    <row r="521" spans="4:6" x14ac:dyDescent="0.2">
      <c r="D521" s="18">
        <f t="shared" ca="1" si="17"/>
        <v>9.1800136892539363</v>
      </c>
      <c r="E521" s="33">
        <f t="shared" ca="1" si="18"/>
        <v>45338</v>
      </c>
      <c r="F521" s="47">
        <v>1.8818809148347542</v>
      </c>
    </row>
    <row r="522" spans="4:6" x14ac:dyDescent="0.2">
      <c r="D522" s="18">
        <f t="shared" ca="1" si="17"/>
        <v>9.1991786447638599</v>
      </c>
      <c r="E522" s="33">
        <f t="shared" ca="1" si="18"/>
        <v>45345</v>
      </c>
      <c r="F522" s="47">
        <v>1.8838629233772033</v>
      </c>
    </row>
    <row r="523" spans="4:6" x14ac:dyDescent="0.2">
      <c r="D523" s="18">
        <f t="shared" ca="1" si="17"/>
        <v>9.2183436002737853</v>
      </c>
      <c r="E523" s="33">
        <f t="shared" ca="1" si="18"/>
        <v>45352</v>
      </c>
      <c r="F523" s="47">
        <v>1.885839564238226</v>
      </c>
    </row>
    <row r="524" spans="4:6" x14ac:dyDescent="0.2">
      <c r="D524" s="18">
        <f t="shared" ca="1" si="17"/>
        <v>9.2375085557837107</v>
      </c>
      <c r="E524" s="33">
        <f t="shared" ca="1" si="18"/>
        <v>45359</v>
      </c>
      <c r="F524" s="47">
        <v>1.8878109156767608</v>
      </c>
    </row>
    <row r="525" spans="4:6" x14ac:dyDescent="0.2">
      <c r="D525" s="18">
        <f t="shared" ca="1" si="17"/>
        <v>9.2566735112936342</v>
      </c>
      <c r="E525" s="33">
        <f t="shared" ca="1" si="18"/>
        <v>45366</v>
      </c>
      <c r="F525" s="47">
        <v>1.8897770579584514</v>
      </c>
    </row>
    <row r="526" spans="4:6" x14ac:dyDescent="0.2">
      <c r="D526" s="18">
        <f t="shared" ca="1" si="17"/>
        <v>9.2758384668035596</v>
      </c>
      <c r="E526" s="33">
        <f t="shared" ca="1" si="18"/>
        <v>45373</v>
      </c>
      <c r="F526" s="47">
        <v>1.8917380732373736</v>
      </c>
    </row>
    <row r="527" spans="4:6" x14ac:dyDescent="0.2">
      <c r="D527" s="18">
        <f t="shared" ca="1" si="17"/>
        <v>9.2950034223134832</v>
      </c>
      <c r="E527" s="33">
        <f t="shared" ca="1" si="18"/>
        <v>45380</v>
      </c>
      <c r="F527" s="47">
        <v>1.8936940454376523</v>
      </c>
    </row>
    <row r="528" spans="4:6" x14ac:dyDescent="0.2">
      <c r="D528" s="18">
        <f t="shared" ca="1" si="17"/>
        <v>9.3141683778234086</v>
      </c>
      <c r="E528" s="33">
        <f t="shared" ca="1" si="18"/>
        <v>45387</v>
      </c>
      <c r="F528" s="47">
        <v>1.8956450601352337</v>
      </c>
    </row>
    <row r="529" spans="4:6" x14ac:dyDescent="0.2">
      <c r="D529" s="18">
        <f t="shared" ca="1" si="17"/>
        <v>9.3333333333333339</v>
      </c>
      <c r="E529" s="33">
        <f t="shared" ca="1" si="18"/>
        <v>45394</v>
      </c>
      <c r="F529" s="47">
        <v>1.8975912044400385</v>
      </c>
    </row>
    <row r="530" spans="4:6" x14ac:dyDescent="0.2">
      <c r="D530" s="18">
        <f t="shared" ca="1" si="17"/>
        <v>9.3524982888432575</v>
      </c>
      <c r="E530" s="33">
        <f t="shared" ca="1" si="18"/>
        <v>45401</v>
      </c>
      <c r="F530" s="47">
        <v>1.8995325668787422</v>
      </c>
    </row>
    <row r="531" spans="4:6" x14ac:dyDescent="0.2">
      <c r="D531" s="18">
        <f t="shared" ca="1" si="17"/>
        <v>9.3716632443531829</v>
      </c>
      <c r="E531" s="33">
        <f t="shared" ca="1" si="18"/>
        <v>45408</v>
      </c>
      <c r="F531" s="47">
        <v>1.901469237278397</v>
      </c>
    </row>
    <row r="532" spans="4:6" x14ac:dyDescent="0.2">
      <c r="D532" s="18">
        <f t="shared" ca="1" si="17"/>
        <v>9.3908281998631082</v>
      </c>
      <c r="E532" s="33">
        <f t="shared" ca="1" si="18"/>
        <v>45415</v>
      </c>
      <c r="F532" s="47">
        <v>1.9034013066511124</v>
      </c>
    </row>
    <row r="533" spans="4:6" x14ac:dyDescent="0.2">
      <c r="D533" s="18">
        <f t="shared" ca="1" si="17"/>
        <v>9.4099931553730318</v>
      </c>
      <c r="E533" s="33">
        <f t="shared" ca="1" si="18"/>
        <v>45422</v>
      </c>
      <c r="F533" s="47">
        <v>1.9053288670799908</v>
      </c>
    </row>
    <row r="534" spans="4:6" x14ac:dyDescent="0.2">
      <c r="D534" s="18">
        <f t="shared" ca="1" si="17"/>
        <v>9.4291581108829572</v>
      </c>
      <c r="E534" s="33">
        <f t="shared" ca="1" si="18"/>
        <v>45429</v>
      </c>
      <c r="F534" s="47">
        <v>1.9072520116065246</v>
      </c>
    </row>
    <row r="535" spans="4:6" x14ac:dyDescent="0.2">
      <c r="D535" s="18">
        <f t="shared" ca="1" si="17"/>
        <v>9.4483230663928808</v>
      </c>
      <c r="E535" s="33">
        <f t="shared" ca="1" si="18"/>
        <v>45436</v>
      </c>
      <c r="F535" s="47">
        <v>1.9091708341196236</v>
      </c>
    </row>
    <row r="536" spans="4:6" x14ac:dyDescent="0.2">
      <c r="D536" s="18">
        <f t="shared" ca="1" si="17"/>
        <v>9.4674880219028061</v>
      </c>
      <c r="E536" s="33">
        <f t="shared" ca="1" si="18"/>
        <v>45443</v>
      </c>
      <c r="F536" s="47">
        <v>1.9110854292464508</v>
      </c>
    </row>
    <row r="537" spans="4:6" x14ac:dyDescent="0.2">
      <c r="D537" s="18">
        <f t="shared" ca="1" si="17"/>
        <v>9.4866529774127315</v>
      </c>
      <c r="E537" s="33">
        <f t="shared" ca="1" si="18"/>
        <v>45450</v>
      </c>
      <c r="F537" s="47">
        <v>1.9129958922452188</v>
      </c>
    </row>
    <row r="538" spans="4:6" x14ac:dyDescent="0.2">
      <c r="D538" s="18">
        <f t="shared" ca="1" si="17"/>
        <v>9.5058179329226551</v>
      </c>
      <c r="E538" s="33">
        <f t="shared" ca="1" si="18"/>
        <v>45457</v>
      </c>
      <c r="F538" s="47">
        <v>1.9149023189001189</v>
      </c>
    </row>
    <row r="539" spans="4:6" x14ac:dyDescent="0.2">
      <c r="D539" s="18">
        <f t="shared" ca="1" si="17"/>
        <v>9.5249828884325805</v>
      </c>
      <c r="E539" s="33">
        <f t="shared" ca="1" si="18"/>
        <v>45464</v>
      </c>
      <c r="F539" s="47">
        <v>1.9168048054184836</v>
      </c>
    </row>
    <row r="540" spans="4:6" x14ac:dyDescent="0.2">
      <c r="D540" s="18">
        <f t="shared" ca="1" si="17"/>
        <v>9.5441478439425058</v>
      </c>
      <c r="E540" s="33">
        <f t="shared" ca="1" si="18"/>
        <v>45471</v>
      </c>
      <c r="F540" s="47">
        <v>1.9187034483303465</v>
      </c>
    </row>
    <row r="541" spans="4:6" x14ac:dyDescent="0.2">
      <c r="D541" s="18">
        <f t="shared" ca="1" si="17"/>
        <v>9.5633127994524294</v>
      </c>
      <c r="E541" s="33">
        <f t="shared" ca="1" si="18"/>
        <v>45478</v>
      </c>
      <c r="F541" s="47">
        <v>1.9205983443904913</v>
      </c>
    </row>
    <row r="542" spans="4:6" x14ac:dyDescent="0.2">
      <c r="D542" s="18">
        <f t="shared" ca="1" si="17"/>
        <v>9.5824777549623548</v>
      </c>
      <c r="E542" s="33">
        <f t="shared" ca="1" si="18"/>
        <v>45485</v>
      </c>
      <c r="F542" s="47">
        <v>1.9224895904831043</v>
      </c>
    </row>
    <row r="543" spans="4:6" x14ac:dyDescent="0.2">
      <c r="D543" s="18">
        <f t="shared" ca="1" si="17"/>
        <v>9.6016427104722801</v>
      </c>
      <c r="E543" s="33">
        <f t="shared" ca="1" si="18"/>
        <v>45492</v>
      </c>
      <c r="F543" s="47">
        <v>1.9243772835291282</v>
      </c>
    </row>
    <row r="544" spans="4:6" x14ac:dyDescent="0.2">
      <c r="D544" s="18">
        <f t="shared" ca="1" si="17"/>
        <v>9.6208076659822037</v>
      </c>
      <c r="E544" s="33">
        <f t="shared" ca="1" si="18"/>
        <v>45499</v>
      </c>
      <c r="F544" s="47">
        <v>1.9262615203963844</v>
      </c>
    </row>
    <row r="545" spans="4:6" x14ac:dyDescent="0.2">
      <c r="D545" s="18">
        <f t="shared" ca="1" si="17"/>
        <v>9.6399726214921291</v>
      </c>
      <c r="E545" s="33">
        <f t="shared" ca="1" si="18"/>
        <v>45506</v>
      </c>
      <c r="F545" s="47">
        <v>1.9281423978125583</v>
      </c>
    </row>
    <row r="546" spans="4:6" x14ac:dyDescent="0.2">
      <c r="D546" s="18">
        <f t="shared" ca="1" si="17"/>
        <v>9.6591375770020527</v>
      </c>
      <c r="E546" s="33">
        <f t="shared" ca="1" si="18"/>
        <v>45513</v>
      </c>
      <c r="F546" s="47">
        <v>1.9300200122810913</v>
      </c>
    </row>
    <row r="547" spans="4:6" x14ac:dyDescent="0.2">
      <c r="D547" s="18">
        <f t="shared" ca="1" si="17"/>
        <v>9.678302532511978</v>
      </c>
      <c r="E547" s="33">
        <f t="shared" ca="1" si="18"/>
        <v>45520</v>
      </c>
      <c r="F547" s="47">
        <v>1.9318944600000469</v>
      </c>
    </row>
    <row r="548" spans="4:6" x14ac:dyDescent="0.2">
      <c r="D548" s="18">
        <f t="shared" ca="1" si="17"/>
        <v>9.6974674880219034</v>
      </c>
      <c r="E548" s="33">
        <f t="shared" ca="1" si="18"/>
        <v>45527</v>
      </c>
      <c r="F548" s="47">
        <v>1.9337658367839827</v>
      </c>
    </row>
    <row r="549" spans="4:6" x14ac:dyDescent="0.2">
      <c r="D549" s="18">
        <f t="shared" ca="1" si="17"/>
        <v>9.716632443531827</v>
      </c>
      <c r="E549" s="33">
        <f t="shared" ca="1" si="18"/>
        <v>45534</v>
      </c>
      <c r="F549" s="47">
        <v>1.9356342379888669</v>
      </c>
    </row>
    <row r="550" spans="4:6" x14ac:dyDescent="0.2">
      <c r="D550" s="18">
        <f t="shared" ca="1" si="17"/>
        <v>9.7357973990417523</v>
      </c>
      <c r="E550" s="33">
        <f t="shared" ca="1" si="18"/>
        <v>45541</v>
      </c>
      <c r="F550" s="47">
        <v>1.9374997584400642</v>
      </c>
    </row>
    <row r="551" spans="4:6" x14ac:dyDescent="0.2">
      <c r="D551" s="18">
        <f t="shared" ca="1" si="17"/>
        <v>9.7549623545516777</v>
      </c>
      <c r="E551" s="33">
        <f t="shared" ca="1" si="18"/>
        <v>45548</v>
      </c>
      <c r="F551" s="47">
        <v>1.9393624923634087</v>
      </c>
    </row>
    <row r="552" spans="4:6" x14ac:dyDescent="0.2">
      <c r="D552" s="18">
        <f t="shared" ca="1" si="17"/>
        <v>9.7741273100616013</v>
      </c>
      <c r="E552" s="33">
        <f t="shared" ca="1" si="18"/>
        <v>45555</v>
      </c>
      <c r="F552" s="47">
        <v>1.9412225333193618</v>
      </c>
    </row>
    <row r="553" spans="4:6" x14ac:dyDescent="0.2">
      <c r="D553" s="18">
        <f t="shared" ca="1" si="17"/>
        <v>9.7932922655715267</v>
      </c>
      <c r="E553" s="33">
        <f t="shared" ca="1" si="18"/>
        <v>45562</v>
      </c>
      <c r="F553" s="47">
        <v>1.9430799741402716</v>
      </c>
    </row>
    <row r="554" spans="4:6" x14ac:dyDescent="0.2">
      <c r="D554" s="18">
        <f t="shared" ref="D554:D617" ca="1" si="19">(E554-$E$42)/365.25</f>
        <v>9.8124572210814502</v>
      </c>
      <c r="E554" s="33">
        <f t="shared" ca="1" si="18"/>
        <v>45569</v>
      </c>
      <c r="F554" s="47">
        <v>1.9449349068707111</v>
      </c>
    </row>
    <row r="555" spans="4:6" x14ac:dyDescent="0.2">
      <c r="D555" s="18">
        <f t="shared" ca="1" si="19"/>
        <v>9.8316221765913756</v>
      </c>
      <c r="E555" s="33">
        <f t="shared" ref="E555:E618" ca="1" si="20">E554+7</f>
        <v>45576</v>
      </c>
      <c r="F555" s="47">
        <v>1.946787422710883</v>
      </c>
    </row>
    <row r="556" spans="4:6" x14ac:dyDescent="0.2">
      <c r="D556" s="18">
        <f t="shared" ca="1" si="19"/>
        <v>9.850787132101301</v>
      </c>
      <c r="E556" s="33">
        <f t="shared" ca="1" si="20"/>
        <v>45583</v>
      </c>
      <c r="F556" s="47">
        <v>1.9486376119630819</v>
      </c>
    </row>
    <row r="557" spans="4:6" x14ac:dyDescent="0.2">
      <c r="D557" s="18">
        <f t="shared" ca="1" si="19"/>
        <v>9.8699520876112246</v>
      </c>
      <c r="E557" s="33">
        <f t="shared" ca="1" si="20"/>
        <v>45590</v>
      </c>
      <c r="F557" s="47">
        <v>1.9504855639811673</v>
      </c>
    </row>
    <row r="558" spans="4:6" x14ac:dyDescent="0.2">
      <c r="D558" s="18">
        <f t="shared" ca="1" si="19"/>
        <v>9.8891170431211499</v>
      </c>
      <c r="E558" s="33">
        <f t="shared" ca="1" si="20"/>
        <v>45597</v>
      </c>
      <c r="F558" s="47">
        <v>1.9523313671230287</v>
      </c>
    </row>
    <row r="559" spans="4:6" x14ac:dyDescent="0.2">
      <c r="D559" s="18">
        <f t="shared" ca="1" si="19"/>
        <v>9.9082819986310753</v>
      </c>
      <c r="E559" s="33">
        <f t="shared" ca="1" si="20"/>
        <v>45604</v>
      </c>
      <c r="F559" s="47">
        <v>1.9541751087059962</v>
      </c>
    </row>
    <row r="560" spans="4:6" x14ac:dyDescent="0.2">
      <c r="D560" s="18">
        <f t="shared" ca="1" si="19"/>
        <v>9.9274469541409989</v>
      </c>
      <c r="E560" s="33">
        <f t="shared" ca="1" si="20"/>
        <v>45611</v>
      </c>
      <c r="F560" s="47">
        <v>1.9560168749651579</v>
      </c>
    </row>
    <row r="561" spans="4:6" x14ac:dyDescent="0.2">
      <c r="D561" s="18">
        <f t="shared" ca="1" si="19"/>
        <v>9.9466119096509242</v>
      </c>
      <c r="E561" s="33">
        <f t="shared" ca="1" si="20"/>
        <v>45618</v>
      </c>
      <c r="F561" s="47">
        <v>1.9578567510145235</v>
      </c>
    </row>
    <row r="562" spans="4:6" x14ac:dyDescent="0.2">
      <c r="D562" s="18">
        <f t="shared" ca="1" si="19"/>
        <v>9.9657768651608496</v>
      </c>
      <c r="E562" s="33">
        <f t="shared" ca="1" si="20"/>
        <v>45625</v>
      </c>
      <c r="F562" s="47">
        <v>1.9596948208110001</v>
      </c>
    </row>
    <row r="563" spans="4:6" x14ac:dyDescent="0.2">
      <c r="D563" s="18">
        <f t="shared" ca="1" si="19"/>
        <v>9.9849418206707732</v>
      </c>
      <c r="E563" s="33">
        <f t="shared" ca="1" si="20"/>
        <v>45632</v>
      </c>
      <c r="F563" s="47">
        <v>1.9615311671211051</v>
      </c>
    </row>
    <row r="564" spans="4:6" x14ac:dyDescent="0.2">
      <c r="D564" s="18">
        <f t="shared" ca="1" si="19"/>
        <v>10.004106776180699</v>
      </c>
      <c r="E564" s="33">
        <f t="shared" ca="1" si="20"/>
        <v>45639</v>
      </c>
      <c r="F564" s="47">
        <v>1.9633657784785119</v>
      </c>
    </row>
    <row r="565" spans="4:6" x14ac:dyDescent="0.2">
      <c r="D565" s="18">
        <f t="shared" ca="1" si="19"/>
        <v>10.023271731690622</v>
      </c>
      <c r="E565" s="33">
        <f t="shared" ca="1" si="20"/>
        <v>45646</v>
      </c>
      <c r="F565" s="47">
        <v>1.9651959637123479</v>
      </c>
    </row>
    <row r="566" spans="4:6" x14ac:dyDescent="0.2">
      <c r="D566" s="18">
        <f t="shared" ca="1" si="19"/>
        <v>10.042436687200547</v>
      </c>
      <c r="E566" s="33">
        <f t="shared" ca="1" si="20"/>
        <v>45653</v>
      </c>
      <c r="F566" s="47">
        <v>1.9670203188152693</v>
      </c>
    </row>
    <row r="567" spans="4:6" x14ac:dyDescent="0.2">
      <c r="D567" s="18">
        <f t="shared" ca="1" si="19"/>
        <v>10.061601642710473</v>
      </c>
      <c r="E567" s="33">
        <f t="shared" ca="1" si="20"/>
        <v>45660</v>
      </c>
      <c r="F567" s="47">
        <v>1.9688386632001671</v>
      </c>
    </row>
    <row r="568" spans="4:6" x14ac:dyDescent="0.2">
      <c r="D568" s="18">
        <f t="shared" ca="1" si="19"/>
        <v>10.080766598220396</v>
      </c>
      <c r="E568" s="33">
        <f t="shared" ca="1" si="20"/>
        <v>45667</v>
      </c>
      <c r="F568" s="47">
        <v>1.9706508162747172</v>
      </c>
    </row>
    <row r="569" spans="4:6" x14ac:dyDescent="0.2">
      <c r="D569" s="18">
        <f t="shared" ca="1" si="19"/>
        <v>10.099931553730322</v>
      </c>
      <c r="E569" s="33">
        <f t="shared" ca="1" si="20"/>
        <v>45674</v>
      </c>
      <c r="F569" s="47">
        <v>1.9724565977893087</v>
      </c>
    </row>
    <row r="570" spans="4:6" x14ac:dyDescent="0.2">
      <c r="D570" s="18">
        <f t="shared" ca="1" si="19"/>
        <v>10.119096509240247</v>
      </c>
      <c r="E570" s="33">
        <f t="shared" ca="1" si="20"/>
        <v>45681</v>
      </c>
      <c r="F570" s="47">
        <v>1.9742558282038636</v>
      </c>
    </row>
    <row r="571" spans="4:6" x14ac:dyDescent="0.2">
      <c r="D571" s="18">
        <f t="shared" ca="1" si="19"/>
        <v>10.138261464750171</v>
      </c>
      <c r="E571" s="33">
        <f t="shared" ca="1" si="20"/>
        <v>45688</v>
      </c>
      <c r="F571" s="47">
        <v>1.9760483290732835</v>
      </c>
    </row>
    <row r="572" spans="4:6" x14ac:dyDescent="0.2">
      <c r="D572" s="18">
        <f t="shared" ca="1" si="19"/>
        <v>10.157426420260096</v>
      </c>
      <c r="E572" s="33">
        <f t="shared" ca="1" si="20"/>
        <v>45695</v>
      </c>
      <c r="F572" s="47">
        <v>1.9778339234511604</v>
      </c>
    </row>
    <row r="573" spans="4:6" x14ac:dyDescent="0.2">
      <c r="D573" s="18">
        <f t="shared" ca="1" si="19"/>
        <v>10.17659137577002</v>
      </c>
      <c r="E573" s="33">
        <f t="shared" ca="1" si="20"/>
        <v>45702</v>
      </c>
      <c r="F573" s="47">
        <v>1.97961243631122</v>
      </c>
    </row>
    <row r="574" spans="4:6" x14ac:dyDescent="0.2">
      <c r="D574" s="18">
        <f t="shared" ca="1" si="19"/>
        <v>10.195756331279945</v>
      </c>
      <c r="E574" s="33">
        <f t="shared" ca="1" si="20"/>
        <v>45709</v>
      </c>
      <c r="F574" s="47">
        <v>1.9813836949858765</v>
      </c>
    </row>
    <row r="575" spans="4:6" x14ac:dyDescent="0.2">
      <c r="D575" s="18">
        <f t="shared" ca="1" si="19"/>
        <v>10.21492128678987</v>
      </c>
      <c r="E575" s="33">
        <f t="shared" ca="1" si="20"/>
        <v>45716</v>
      </c>
      <c r="F575" s="47">
        <v>1.9831475296210992</v>
      </c>
    </row>
    <row r="576" spans="4:6" x14ac:dyDescent="0.2">
      <c r="D576" s="18">
        <f t="shared" ca="1" si="19"/>
        <v>10.234086242299794</v>
      </c>
      <c r="E576" s="33">
        <f t="shared" ca="1" si="20"/>
        <v>45723</v>
      </c>
      <c r="F576" s="47">
        <v>1.9849037736466437</v>
      </c>
    </row>
    <row r="577" spans="4:6" x14ac:dyDescent="0.2">
      <c r="D577" s="18">
        <f t="shared" ca="1" si="19"/>
        <v>10.253251197809719</v>
      </c>
      <c r="E577" s="33">
        <f t="shared" ca="1" si="20"/>
        <v>45730</v>
      </c>
      <c r="F577" s="47">
        <v>1.9866522642605668</v>
      </c>
    </row>
    <row r="578" spans="4:6" x14ac:dyDescent="0.2">
      <c r="D578" s="18">
        <f t="shared" ca="1" si="19"/>
        <v>10.272416153319645</v>
      </c>
      <c r="E578" s="33">
        <f t="shared" ca="1" si="20"/>
        <v>45737</v>
      </c>
      <c r="F578" s="47">
        <v>1.9883928429267652</v>
      </c>
    </row>
    <row r="579" spans="4:6" x14ac:dyDescent="0.2">
      <c r="D579" s="18">
        <f t="shared" ca="1" si="19"/>
        <v>10.291581108829568</v>
      </c>
      <c r="E579" s="33">
        <f t="shared" ca="1" si="20"/>
        <v>45744</v>
      </c>
      <c r="F579" s="47">
        <v>1.9901253558841061</v>
      </c>
    </row>
    <row r="580" spans="4:6" x14ac:dyDescent="0.2">
      <c r="D580" s="18">
        <f t="shared" ca="1" si="19"/>
        <v>10.310746064339494</v>
      </c>
      <c r="E580" s="33">
        <f t="shared" ca="1" si="20"/>
        <v>45751</v>
      </c>
      <c r="F580" s="47">
        <v>1.9918496546655888</v>
      </c>
    </row>
    <row r="581" spans="4:6" x14ac:dyDescent="0.2">
      <c r="D581" s="18">
        <f t="shared" ca="1" si="19"/>
        <v>10.329911019849419</v>
      </c>
      <c r="E581" s="33">
        <f t="shared" ca="1" si="20"/>
        <v>45758</v>
      </c>
      <c r="F581" s="47">
        <v>1.9935655966257795</v>
      </c>
    </row>
    <row r="582" spans="4:6" x14ac:dyDescent="0.2">
      <c r="D582" s="18">
        <f t="shared" ca="1" si="19"/>
        <v>10.349075975359343</v>
      </c>
      <c r="E582" s="33">
        <f t="shared" ca="1" si="20"/>
        <v>45765</v>
      </c>
      <c r="F582" s="47">
        <v>1.9952730454745997</v>
      </c>
    </row>
    <row r="583" spans="4:6" x14ac:dyDescent="0.2">
      <c r="D583" s="18">
        <f t="shared" ca="1" si="19"/>
        <v>10.368240930869268</v>
      </c>
      <c r="E583" s="33">
        <f t="shared" ca="1" si="20"/>
        <v>45772</v>
      </c>
      <c r="F583" s="47">
        <v>1.996971871815415</v>
      </c>
    </row>
    <row r="584" spans="4:6" x14ac:dyDescent="0.2">
      <c r="D584" s="18">
        <f t="shared" ca="1" si="19"/>
        <v>10.387405886379192</v>
      </c>
      <c r="E584" s="33">
        <f t="shared" ca="1" si="20"/>
        <v>45779</v>
      </c>
      <c r="F584" s="47">
        <v>1.9986619536851844</v>
      </c>
    </row>
    <row r="585" spans="4:6" x14ac:dyDescent="0.2">
      <c r="D585" s="18">
        <f t="shared" ca="1" si="19"/>
        <v>10.406570841889117</v>
      </c>
      <c r="E585" s="33">
        <f t="shared" ca="1" si="20"/>
        <v>45786</v>
      </c>
      <c r="F585" s="47">
        <v>2.0003431770942912</v>
      </c>
    </row>
    <row r="586" spans="4:6" x14ac:dyDescent="0.2">
      <c r="D586" s="18">
        <f t="shared" ca="1" si="19"/>
        <v>10.425735797399042</v>
      </c>
      <c r="E586" s="33">
        <f t="shared" ca="1" si="20"/>
        <v>45793</v>
      </c>
      <c r="F586" s="47">
        <v>2.0020154365635534</v>
      </c>
    </row>
    <row r="587" spans="4:6" x14ac:dyDescent="0.2">
      <c r="D587" s="18">
        <f t="shared" ca="1" si="19"/>
        <v>10.444900752908966</v>
      </c>
      <c r="E587" s="33">
        <f t="shared" ca="1" si="20"/>
        <v>45800</v>
      </c>
      <c r="F587" s="47">
        <v>2.0036786356557474</v>
      </c>
    </row>
    <row r="588" spans="4:6" x14ac:dyDescent="0.2">
      <c r="D588" s="18">
        <f t="shared" ca="1" si="19"/>
        <v>10.464065708418891</v>
      </c>
      <c r="E588" s="33">
        <f t="shared" ca="1" si="20"/>
        <v>45807</v>
      </c>
      <c r="F588" s="47">
        <v>2.0053326874988957</v>
      </c>
    </row>
    <row r="589" spans="4:6" x14ac:dyDescent="0.2">
      <c r="D589" s="18">
        <f t="shared" ca="1" si="19"/>
        <v>10.483230663928817</v>
      </c>
      <c r="E589" s="33">
        <f t="shared" ca="1" si="20"/>
        <v>45814</v>
      </c>
      <c r="F589" s="47">
        <v>2.0069775152984453</v>
      </c>
    </row>
    <row r="590" spans="4:6" x14ac:dyDescent="0.2">
      <c r="D590" s="18">
        <f t="shared" ca="1" si="19"/>
        <v>10.50239561943874</v>
      </c>
      <c r="E590" s="33">
        <f t="shared" ca="1" si="20"/>
        <v>45821</v>
      </c>
      <c r="F590" s="47">
        <v>2.0086130528353885</v>
      </c>
    </row>
    <row r="591" spans="4:6" x14ac:dyDescent="0.2">
      <c r="D591" s="18">
        <f t="shared" ca="1" si="19"/>
        <v>10.521560574948666</v>
      </c>
      <c r="E591" s="33">
        <f t="shared" ca="1" si="20"/>
        <v>45828</v>
      </c>
      <c r="F591" s="47">
        <v>2.0102392449473085</v>
      </c>
    </row>
    <row r="592" spans="4:6" x14ac:dyDescent="0.2">
      <c r="D592" s="18">
        <f t="shared" ca="1" si="19"/>
        <v>10.540725530458589</v>
      </c>
      <c r="E592" s="33">
        <f t="shared" ca="1" si="20"/>
        <v>45835</v>
      </c>
      <c r="F592" s="47">
        <v>2.0118560479892835</v>
      </c>
    </row>
    <row r="593" spans="4:6" x14ac:dyDescent="0.2">
      <c r="D593" s="18">
        <f t="shared" ca="1" si="19"/>
        <v>10.559890485968515</v>
      </c>
      <c r="E593" s="33">
        <f t="shared" ca="1" si="20"/>
        <v>45842</v>
      </c>
      <c r="F593" s="47">
        <v>2.0134634302715781</v>
      </c>
    </row>
    <row r="594" spans="4:6" x14ac:dyDescent="0.2">
      <c r="D594" s="18">
        <f t="shared" ca="1" si="19"/>
        <v>10.57905544147844</v>
      </c>
      <c r="E594" s="33">
        <f t="shared" ca="1" si="20"/>
        <v>45849</v>
      </c>
      <c r="F594" s="47">
        <v>2.015061372471016</v>
      </c>
    </row>
    <row r="595" spans="4:6" x14ac:dyDescent="0.2">
      <c r="D595" s="18">
        <f t="shared" ca="1" si="19"/>
        <v>10.598220396988363</v>
      </c>
      <c r="E595" s="33">
        <f t="shared" ca="1" si="20"/>
        <v>45856</v>
      </c>
      <c r="F595" s="47">
        <v>2.0166498680130105</v>
      </c>
    </row>
    <row r="596" spans="4:6" x14ac:dyDescent="0.2">
      <c r="D596" s="18">
        <f t="shared" ca="1" si="19"/>
        <v>10.617385352498289</v>
      </c>
      <c r="E596" s="33">
        <f t="shared" ca="1" si="20"/>
        <v>45863</v>
      </c>
      <c r="F596" s="47">
        <v>2.0182289234212263</v>
      </c>
    </row>
    <row r="597" spans="4:6" x14ac:dyDescent="0.2">
      <c r="D597" s="18">
        <f t="shared" ca="1" si="19"/>
        <v>10.636550308008214</v>
      </c>
      <c r="E597" s="33">
        <f t="shared" ca="1" si="20"/>
        <v>45870</v>
      </c>
      <c r="F597" s="47">
        <v>2.0197985586319733</v>
      </c>
    </row>
    <row r="598" spans="4:6" x14ac:dyDescent="0.2">
      <c r="D598" s="18">
        <f t="shared" ca="1" si="19"/>
        <v>10.655715263518138</v>
      </c>
      <c r="E598" s="33">
        <f t="shared" ca="1" si="20"/>
        <v>45877</v>
      </c>
      <c r="F598" s="47">
        <v>2.0213588072705235</v>
      </c>
    </row>
    <row r="599" spans="4:6" x14ac:dyDescent="0.2">
      <c r="D599" s="18">
        <f t="shared" ca="1" si="19"/>
        <v>10.674880219028063</v>
      </c>
      <c r="E599" s="33">
        <f t="shared" ca="1" si="20"/>
        <v>45884</v>
      </c>
      <c r="F599" s="47">
        <v>2.0229097168866881</v>
      </c>
    </row>
    <row r="600" spans="4:6" x14ac:dyDescent="0.2">
      <c r="D600" s="18">
        <f t="shared" ca="1" si="19"/>
        <v>10.694045174537989</v>
      </c>
      <c r="E600" s="33">
        <f t="shared" ca="1" si="20"/>
        <v>45891</v>
      </c>
      <c r="F600" s="47">
        <v>2.0244513491471681</v>
      </c>
    </row>
    <row r="601" spans="4:6" x14ac:dyDescent="0.2">
      <c r="D601" s="18">
        <f t="shared" ca="1" si="19"/>
        <v>10.713210130047912</v>
      </c>
      <c r="E601" s="33">
        <f t="shared" ca="1" si="20"/>
        <v>45898</v>
      </c>
      <c r="F601" s="47">
        <v>2.0259837799823699</v>
      </c>
    </row>
    <row r="602" spans="4:6" x14ac:dyDescent="0.2">
      <c r="D602" s="18">
        <f t="shared" ca="1" si="19"/>
        <v>10.732375085557837</v>
      </c>
      <c r="E602" s="33">
        <f t="shared" ca="1" si="20"/>
        <v>45905</v>
      </c>
      <c r="F602" s="47">
        <v>2.0275070996856326</v>
      </c>
    </row>
    <row r="603" spans="4:6" x14ac:dyDescent="0.2">
      <c r="D603" s="18">
        <f t="shared" ca="1" si="19"/>
        <v>10.751540041067761</v>
      </c>
      <c r="E603" s="33">
        <f t="shared" ca="1" si="20"/>
        <v>45912</v>
      </c>
      <c r="F603" s="47">
        <v>2.0290214129630457</v>
      </c>
    </row>
    <row r="604" spans="4:6" x14ac:dyDescent="0.2">
      <c r="D604" s="18">
        <f t="shared" ca="1" si="19"/>
        <v>10.770704996577686</v>
      </c>
      <c r="E604" s="33">
        <f t="shared" ca="1" si="20"/>
        <v>45919</v>
      </c>
      <c r="F604" s="47">
        <v>2.0305268389323148</v>
      </c>
    </row>
    <row r="605" spans="4:6" x14ac:dyDescent="0.2">
      <c r="D605" s="18">
        <f t="shared" ca="1" si="19"/>
        <v>10.789869952087612</v>
      </c>
      <c r="E605" s="33">
        <f t="shared" ca="1" si="20"/>
        <v>45926</v>
      </c>
      <c r="F605" s="47">
        <v>2.0320235110694371</v>
      </c>
    </row>
    <row r="606" spans="4:6" x14ac:dyDescent="0.2">
      <c r="D606" s="18">
        <f t="shared" ca="1" si="19"/>
        <v>10.809034907597535</v>
      </c>
      <c r="E606" s="33">
        <f t="shared" ca="1" si="20"/>
        <v>45933</v>
      </c>
      <c r="F606" s="47">
        <v>2.0335115771022778</v>
      </c>
    </row>
    <row r="607" spans="4:6" x14ac:dyDescent="0.2">
      <c r="D607" s="18">
        <f t="shared" ca="1" si="19"/>
        <v>10.828199863107461</v>
      </c>
      <c r="E607" s="33">
        <f t="shared" ca="1" si="20"/>
        <v>45940</v>
      </c>
      <c r="F607" s="47">
        <v>2.0349911988504443</v>
      </c>
    </row>
    <row r="608" spans="4:6" x14ac:dyDescent="0.2">
      <c r="D608" s="18">
        <f t="shared" ca="1" si="19"/>
        <v>10.847364818617386</v>
      </c>
      <c r="E608" s="33">
        <f t="shared" ca="1" si="20"/>
        <v>45947</v>
      </c>
      <c r="F608" s="47">
        <v>2.0364625520112556</v>
      </c>
    </row>
    <row r="609" spans="4:6" x14ac:dyDescent="0.2">
      <c r="D609" s="18">
        <f t="shared" ca="1" si="19"/>
        <v>10.86652977412731</v>
      </c>
      <c r="E609" s="33">
        <f t="shared" ca="1" si="20"/>
        <v>45954</v>
      </c>
      <c r="F609" s="47">
        <v>2.0379258258919166</v>
      </c>
    </row>
    <row r="610" spans="4:6" x14ac:dyDescent="0.2">
      <c r="D610" s="18">
        <f t="shared" ca="1" si="19"/>
        <v>10.885694729637235</v>
      </c>
      <c r="E610" s="33">
        <f t="shared" ca="1" si="20"/>
        <v>45961</v>
      </c>
      <c r="F610" s="47">
        <v>2.0393812230884096</v>
      </c>
    </row>
    <row r="611" spans="4:6" x14ac:dyDescent="0.2">
      <c r="D611" s="18">
        <f t="shared" ca="1" si="19"/>
        <v>10.904859685147159</v>
      </c>
      <c r="E611" s="33">
        <f t="shared" ca="1" si="20"/>
        <v>45968</v>
      </c>
      <c r="F611" s="47">
        <v>2.0408289591119786</v>
      </c>
    </row>
    <row r="612" spans="4:6" x14ac:dyDescent="0.2">
      <c r="D612" s="18">
        <f t="shared" ca="1" si="19"/>
        <v>10.924024640657084</v>
      </c>
      <c r="E612" s="33">
        <f t="shared" ca="1" si="20"/>
        <v>45975</v>
      </c>
      <c r="F612" s="47">
        <v>2.0422692619644596</v>
      </c>
    </row>
    <row r="613" spans="4:6" x14ac:dyDescent="0.2">
      <c r="D613" s="18">
        <f t="shared" ca="1" si="19"/>
        <v>10.943189596167009</v>
      </c>
      <c r="E613" s="33">
        <f t="shared" ca="1" si="20"/>
        <v>45982</v>
      </c>
      <c r="F613" s="47">
        <v>2.0437023716640503</v>
      </c>
    </row>
    <row r="614" spans="4:6" x14ac:dyDescent="0.2">
      <c r="D614" s="18">
        <f t="shared" ca="1" si="19"/>
        <v>10.962354551676933</v>
      </c>
      <c r="E614" s="33">
        <f t="shared" ca="1" si="20"/>
        <v>45989</v>
      </c>
      <c r="F614" s="47">
        <v>2.0451285397235224</v>
      </c>
    </row>
    <row r="615" spans="4:6" x14ac:dyDescent="0.2">
      <c r="D615" s="18">
        <f t="shared" ca="1" si="19"/>
        <v>10.981519507186858</v>
      </c>
      <c r="E615" s="33">
        <f t="shared" ca="1" si="20"/>
        <v>45996</v>
      </c>
      <c r="F615" s="47">
        <v>2.0465480285831767</v>
      </c>
    </row>
    <row r="616" spans="4:6" x14ac:dyDescent="0.2">
      <c r="D616" s="18">
        <f t="shared" ca="1" si="19"/>
        <v>11.000684462696784</v>
      </c>
      <c r="E616" s="33">
        <f t="shared" ca="1" si="20"/>
        <v>46003</v>
      </c>
      <c r="F616" s="47">
        <v>2.0479611110011886</v>
      </c>
    </row>
    <row r="617" spans="4:6" x14ac:dyDescent="0.2">
      <c r="D617" s="18">
        <f t="shared" ca="1" si="19"/>
        <v>11.019849418206707</v>
      </c>
      <c r="E617" s="33">
        <f t="shared" ca="1" si="20"/>
        <v>46010</v>
      </c>
      <c r="F617" s="47">
        <v>2.0493680694043062</v>
      </c>
    </row>
    <row r="618" spans="4:6" x14ac:dyDescent="0.2">
      <c r="D618" s="18">
        <f t="shared" ref="D618:D681" ca="1" si="21">(E618-$E$42)/365.25</f>
        <v>11.039014373716633</v>
      </c>
      <c r="E618" s="33">
        <f t="shared" ca="1" si="20"/>
        <v>46017</v>
      </c>
      <c r="F618" s="47">
        <v>2.0507691952021325</v>
      </c>
    </row>
    <row r="619" spans="4:6" x14ac:dyDescent="0.2">
      <c r="D619" s="18">
        <f t="shared" ca="1" si="21"/>
        <v>11.058179329226558</v>
      </c>
      <c r="E619" s="33">
        <f t="shared" ref="E619:E682" ca="1" si="22">E618+7</f>
        <v>46024</v>
      </c>
      <c r="F619" s="47">
        <v>2.0521647880684903</v>
      </c>
    </row>
    <row r="620" spans="4:6" x14ac:dyDescent="0.2">
      <c r="D620" s="18">
        <f t="shared" ca="1" si="21"/>
        <v>11.077344284736482</v>
      </c>
      <c r="E620" s="33">
        <f t="shared" ca="1" si="22"/>
        <v>46031</v>
      </c>
      <c r="F620" s="47">
        <v>2.05355515519358</v>
      </c>
    </row>
    <row r="621" spans="4:6" x14ac:dyDescent="0.2">
      <c r="D621" s="18">
        <f t="shared" ca="1" si="21"/>
        <v>11.096509240246407</v>
      </c>
      <c r="E621" s="33">
        <f t="shared" ca="1" si="22"/>
        <v>46038</v>
      </c>
      <c r="F621" s="47">
        <v>2.0549406105108519</v>
      </c>
    </row>
    <row r="622" spans="4:6" x14ac:dyDescent="0.2">
      <c r="D622" s="18">
        <f t="shared" ca="1" si="21"/>
        <v>11.115674195756331</v>
      </c>
      <c r="E622" s="33">
        <f t="shared" ca="1" si="22"/>
        <v>46045</v>
      </c>
      <c r="F622" s="47">
        <v>2.0563214739026447</v>
      </c>
    </row>
    <row r="623" spans="4:6" x14ac:dyDescent="0.2">
      <c r="D623" s="18">
        <f t="shared" ca="1" si="21"/>
        <v>11.134839151266256</v>
      </c>
      <c r="E623" s="33">
        <f t="shared" ca="1" si="22"/>
        <v>46052</v>
      </c>
      <c r="F623" s="47">
        <v>2.0576980703887977</v>
      </c>
    </row>
    <row r="624" spans="4:6" x14ac:dyDescent="0.2">
      <c r="D624" s="18">
        <f t="shared" ca="1" si="21"/>
        <v>11.154004106776181</v>
      </c>
      <c r="E624" s="33">
        <f t="shared" ca="1" si="22"/>
        <v>46059</v>
      </c>
      <c r="F624" s="47">
        <v>2.0590707293024852</v>
      </c>
    </row>
    <row r="625" spans="4:6" x14ac:dyDescent="0.2">
      <c r="D625" s="18">
        <f t="shared" ca="1" si="21"/>
        <v>11.173169062286105</v>
      </c>
      <c r="E625" s="33">
        <f t="shared" ca="1" si="22"/>
        <v>46066</v>
      </c>
      <c r="F625" s="47">
        <v>2.0604397834576127</v>
      </c>
    </row>
    <row r="626" spans="4:6" x14ac:dyDescent="0.2">
      <c r="D626" s="18">
        <f t="shared" ca="1" si="21"/>
        <v>11.19233401779603</v>
      </c>
      <c r="E626" s="33">
        <f t="shared" ca="1" si="22"/>
        <v>46073</v>
      </c>
      <c r="F626" s="47">
        <v>2.0618055683120797</v>
      </c>
    </row>
    <row r="627" spans="4:6" x14ac:dyDescent="0.2">
      <c r="D627" s="18">
        <f t="shared" ca="1" si="21"/>
        <v>11.211498973305956</v>
      </c>
      <c r="E627" s="33">
        <f t="shared" ca="1" si="22"/>
        <v>46080</v>
      </c>
      <c r="F627" s="47">
        <v>2.0631684211312047</v>
      </c>
    </row>
    <row r="628" spans="4:6" x14ac:dyDescent="0.2">
      <c r="D628" s="18">
        <f t="shared" ca="1" si="21"/>
        <v>11.230663928815879</v>
      </c>
      <c r="E628" s="33">
        <f t="shared" ca="1" si="22"/>
        <v>46087</v>
      </c>
      <c r="F628" s="47">
        <v>2.0645286801555458</v>
      </c>
    </row>
    <row r="629" spans="4:6" x14ac:dyDescent="0.2">
      <c r="D629" s="18">
        <f t="shared" ca="1" si="21"/>
        <v>11.249828884325805</v>
      </c>
      <c r="E629" s="33">
        <f t="shared" ca="1" si="22"/>
        <v>46094</v>
      </c>
      <c r="F629" s="47">
        <v>2.0658866837772298</v>
      </c>
    </row>
    <row r="630" spans="4:6" x14ac:dyDescent="0.2">
      <c r="D630" s="18">
        <f t="shared" ca="1" si="21"/>
        <v>11.268993839835728</v>
      </c>
      <c r="E630" s="33">
        <f t="shared" ca="1" si="22"/>
        <v>46101</v>
      </c>
      <c r="F630" s="47">
        <v>2.0672427697287739</v>
      </c>
    </row>
    <row r="631" spans="4:6" x14ac:dyDescent="0.2">
      <c r="D631" s="18">
        <f t="shared" ca="1" si="21"/>
        <v>11.288158795345653</v>
      </c>
      <c r="E631" s="33">
        <f t="shared" ca="1" si="22"/>
        <v>46108</v>
      </c>
      <c r="F631" s="47">
        <v>2.0685972742882268</v>
      </c>
    </row>
    <row r="632" spans="4:6" x14ac:dyDescent="0.2">
      <c r="D632" s="18">
        <f t="shared" ca="1" si="21"/>
        <v>11.307323750855579</v>
      </c>
      <c r="E632" s="33">
        <f t="shared" ca="1" si="22"/>
        <v>46115</v>
      </c>
      <c r="F632" s="47">
        <v>2.0699505315042486</v>
      </c>
    </row>
    <row r="633" spans="4:6" x14ac:dyDescent="0.2">
      <c r="D633" s="18">
        <f t="shared" ca="1" si="21"/>
        <v>11.326488706365502</v>
      </c>
      <c r="E633" s="33">
        <f t="shared" ca="1" si="22"/>
        <v>46122</v>
      </c>
      <c r="F633" s="47">
        <v>2.0713028724445217</v>
      </c>
    </row>
    <row r="634" spans="4:6" x14ac:dyDescent="0.2">
      <c r="D634" s="18">
        <f t="shared" ca="1" si="21"/>
        <v>11.345653661875428</v>
      </c>
      <c r="E634" s="33">
        <f t="shared" ca="1" si="22"/>
        <v>46129</v>
      </c>
      <c r="F634" s="47">
        <v>2.0726546244706694</v>
      </c>
    </row>
    <row r="635" spans="4:6" x14ac:dyDescent="0.2">
      <c r="D635" s="18">
        <f t="shared" ca="1" si="21"/>
        <v>11.364818617385353</v>
      </c>
      <c r="E635" s="33">
        <f t="shared" ca="1" si="22"/>
        <v>46136</v>
      </c>
      <c r="F635" s="47">
        <v>2.074006110542554</v>
      </c>
    </row>
    <row r="636" spans="4:6" x14ac:dyDescent="0.2">
      <c r="D636" s="18">
        <f t="shared" ca="1" si="21"/>
        <v>11.383983572895277</v>
      </c>
      <c r="E636" s="33">
        <f t="shared" ca="1" si="22"/>
        <v>46143</v>
      </c>
      <c r="F636" s="47">
        <v>2.075357648554589</v>
      </c>
    </row>
    <row r="637" spans="4:6" x14ac:dyDescent="0.2">
      <c r="D637" s="18">
        <f t="shared" ca="1" si="21"/>
        <v>11.403148528405202</v>
      </c>
      <c r="E637" s="33">
        <f t="shared" ca="1" si="22"/>
        <v>46150</v>
      </c>
      <c r="F637" s="47">
        <v>2.0767095507063842</v>
      </c>
    </row>
    <row r="638" spans="4:6" x14ac:dyDescent="0.2">
      <c r="D638" s="18">
        <f t="shared" ca="1" si="21"/>
        <v>11.422313483915127</v>
      </c>
      <c r="E638" s="33">
        <f t="shared" ca="1" si="22"/>
        <v>46157</v>
      </c>
      <c r="F638" s="47">
        <v>2.0780621229097367</v>
      </c>
    </row>
    <row r="639" spans="4:6" x14ac:dyDescent="0.2">
      <c r="D639" s="18">
        <f t="shared" ca="1" si="21"/>
        <v>11.441478439425051</v>
      </c>
      <c r="E639" s="33">
        <f t="shared" ca="1" si="22"/>
        <v>46164</v>
      </c>
      <c r="F639" s="47">
        <v>2.0794156642337125</v>
      </c>
    </row>
    <row r="640" spans="4:6" x14ac:dyDescent="0.2">
      <c r="D640" s="18">
        <f t="shared" ca="1" si="21"/>
        <v>11.460643394934976</v>
      </c>
      <c r="E640" s="33">
        <f t="shared" ca="1" si="22"/>
        <v>46171</v>
      </c>
      <c r="F640" s="47">
        <v>2.0807704663892079</v>
      </c>
    </row>
    <row r="641" spans="4:6" x14ac:dyDescent="0.2">
      <c r="D641" s="18">
        <f t="shared" ca="1" si="21"/>
        <v>11.4798083504449</v>
      </c>
      <c r="E641" s="33">
        <f t="shared" ca="1" si="22"/>
        <v>46178</v>
      </c>
      <c r="F641" s="47">
        <v>2.0821268132541144</v>
      </c>
    </row>
    <row r="642" spans="4:6" x14ac:dyDescent="0.2">
      <c r="D642" s="18">
        <f t="shared" ca="1" si="21"/>
        <v>11.498973305954825</v>
      </c>
      <c r="E642" s="33">
        <f t="shared" ca="1" si="22"/>
        <v>46185</v>
      </c>
      <c r="F642" s="47">
        <v>2.0834849804398838</v>
      </c>
    </row>
    <row r="643" spans="4:6" x14ac:dyDescent="0.2">
      <c r="D643" s="18">
        <f t="shared" ca="1" si="21"/>
        <v>11.518138261464751</v>
      </c>
      <c r="E643" s="33">
        <f t="shared" ca="1" si="22"/>
        <v>46192</v>
      </c>
      <c r="F643" s="47">
        <v>2.0848452349000128</v>
      </c>
    </row>
    <row r="644" spans="4:6" x14ac:dyDescent="0.2">
      <c r="D644" s="18">
        <f t="shared" ca="1" si="21"/>
        <v>11.537303216974674</v>
      </c>
      <c r="E644" s="33">
        <f t="shared" ca="1" si="22"/>
        <v>46199</v>
      </c>
      <c r="F644" s="47">
        <v>2.0862078345806743</v>
      </c>
    </row>
    <row r="645" spans="4:6" x14ac:dyDescent="0.2">
      <c r="D645" s="18">
        <f t="shared" ca="1" si="21"/>
        <v>11.5564681724846</v>
      </c>
      <c r="E645" s="33">
        <f t="shared" ca="1" si="22"/>
        <v>46206</v>
      </c>
      <c r="F645" s="47">
        <v>2.0875730281134444</v>
      </c>
    </row>
    <row r="646" spans="4:6" x14ac:dyDescent="0.2">
      <c r="D646" s="18">
        <f t="shared" ca="1" si="21"/>
        <v>11.575633127994525</v>
      </c>
      <c r="E646" s="33">
        <f t="shared" ca="1" si="22"/>
        <v>46213</v>
      </c>
      <c r="F646" s="47">
        <v>2.0889410545498377</v>
      </c>
    </row>
    <row r="647" spans="4:6" x14ac:dyDescent="0.2">
      <c r="D647" s="18">
        <f t="shared" ca="1" si="21"/>
        <v>11.594798083504449</v>
      </c>
      <c r="E647" s="33">
        <f t="shared" ca="1" si="22"/>
        <v>46220</v>
      </c>
      <c r="F647" s="47">
        <v>2.0903121431370901</v>
      </c>
    </row>
    <row r="648" spans="4:6" x14ac:dyDescent="0.2">
      <c r="D648" s="18">
        <f t="shared" ca="1" si="21"/>
        <v>11.613963039014374</v>
      </c>
      <c r="E648" s="33">
        <f t="shared" ca="1" si="22"/>
        <v>46227</v>
      </c>
      <c r="F648" s="47">
        <v>2.0916865131344409</v>
      </c>
    </row>
    <row r="649" spans="4:6" x14ac:dyDescent="0.2">
      <c r="D649" s="18">
        <f t="shared" ca="1" si="21"/>
        <v>11.633127994524298</v>
      </c>
      <c r="E649" s="33">
        <f t="shared" ca="1" si="22"/>
        <v>46234</v>
      </c>
      <c r="F649" s="47">
        <v>2.0930643736689145</v>
      </c>
    </row>
    <row r="650" spans="4:6" x14ac:dyDescent="0.2">
      <c r="D650" s="18">
        <f t="shared" ca="1" si="21"/>
        <v>11.652292950034223</v>
      </c>
      <c r="E650" s="33">
        <f t="shared" ca="1" si="22"/>
        <v>46241</v>
      </c>
      <c r="F650" s="47">
        <v>2.0944459236294626</v>
      </c>
    </row>
    <row r="651" spans="4:6" x14ac:dyDescent="0.2">
      <c r="D651" s="18">
        <f t="shared" ca="1" si="21"/>
        <v>11.671457905544148</v>
      </c>
      <c r="E651" s="33">
        <f t="shared" ca="1" si="22"/>
        <v>46248</v>
      </c>
      <c r="F651" s="47">
        <v>2.0958313515981293</v>
      </c>
    </row>
    <row r="652" spans="4:6" x14ac:dyDescent="0.2">
      <c r="D652" s="18">
        <f t="shared" ca="1" si="21"/>
        <v>11.690622861054072</v>
      </c>
      <c r="E652" s="33">
        <f t="shared" ca="1" si="22"/>
        <v>46255</v>
      </c>
      <c r="F652" s="47">
        <v>2.0972208358167581</v>
      </c>
    </row>
    <row r="653" spans="4:6" x14ac:dyDescent="0.2">
      <c r="D653" s="18">
        <f t="shared" ca="1" si="21"/>
        <v>11.709787816563997</v>
      </c>
      <c r="E653" s="33">
        <f t="shared" ca="1" si="22"/>
        <v>46262</v>
      </c>
      <c r="F653" s="47">
        <v>2.0986145441876425</v>
      </c>
    </row>
    <row r="654" spans="4:6" x14ac:dyDescent="0.2">
      <c r="D654" s="18">
        <f t="shared" ca="1" si="21"/>
        <v>11.728952772073923</v>
      </c>
      <c r="E654" s="33">
        <f t="shared" ca="1" si="22"/>
        <v>46269</v>
      </c>
      <c r="F654" s="47">
        <v>2.1000126343064185</v>
      </c>
    </row>
    <row r="655" spans="4:6" x14ac:dyDescent="0.2">
      <c r="D655" s="18">
        <f t="shared" ca="1" si="21"/>
        <v>11.748117727583846</v>
      </c>
      <c r="E655" s="33">
        <f t="shared" ca="1" si="22"/>
        <v>46276</v>
      </c>
      <c r="F655" s="47">
        <v>2.1014152535253796</v>
      </c>
    </row>
    <row r="656" spans="4:6" x14ac:dyDescent="0.2">
      <c r="D656" s="18">
        <f t="shared" ca="1" si="21"/>
        <v>11.767282683093772</v>
      </c>
      <c r="E656" s="33">
        <f t="shared" ca="1" si="22"/>
        <v>46283</v>
      </c>
      <c r="F656" s="47">
        <v>2.1028225390453774</v>
      </c>
    </row>
    <row r="657" spans="4:6" x14ac:dyDescent="0.2">
      <c r="D657" s="18">
        <f t="shared" ca="1" si="21"/>
        <v>11.786447638603697</v>
      </c>
      <c r="E657" s="33">
        <f t="shared" ca="1" si="22"/>
        <v>46290</v>
      </c>
      <c r="F657" s="47">
        <v>2.104234618034365</v>
      </c>
    </row>
    <row r="658" spans="4:6" x14ac:dyDescent="0.2">
      <c r="D658" s="18">
        <f t="shared" ca="1" si="21"/>
        <v>11.805612594113621</v>
      </c>
      <c r="E658" s="33">
        <f t="shared" ca="1" si="22"/>
        <v>46297</v>
      </c>
      <c r="F658" s="47">
        <v>2.1056516077706564</v>
      </c>
    </row>
    <row r="659" spans="4:6" x14ac:dyDescent="0.2">
      <c r="D659" s="18">
        <f t="shared" ca="1" si="21"/>
        <v>11.824777549623546</v>
      </c>
      <c r="E659" s="33">
        <f t="shared" ca="1" si="22"/>
        <v>46304</v>
      </c>
      <c r="F659" s="47">
        <v>2.1070736158089254</v>
      </c>
    </row>
    <row r="660" spans="4:6" x14ac:dyDescent="0.2">
      <c r="D660" s="18">
        <f t="shared" ca="1" si="21"/>
        <v>11.843942505133469</v>
      </c>
      <c r="E660" s="33">
        <f t="shared" ca="1" si="22"/>
        <v>46311</v>
      </c>
      <c r="F660" s="47">
        <v>2.1085007401669689</v>
      </c>
    </row>
    <row r="661" spans="4:6" x14ac:dyDescent="0.2">
      <c r="D661" s="18">
        <f t="shared" ca="1" si="21"/>
        <v>11.863107460643395</v>
      </c>
      <c r="E661" s="33">
        <f t="shared" ca="1" si="22"/>
        <v>46318</v>
      </c>
      <c r="F661" s="47">
        <v>2.1099330695313081</v>
      </c>
    </row>
    <row r="662" spans="4:6" x14ac:dyDescent="0.2">
      <c r="D662" s="18">
        <f t="shared" ca="1" si="21"/>
        <v>11.88227241615332</v>
      </c>
      <c r="E662" s="33">
        <f t="shared" ca="1" si="22"/>
        <v>46325</v>
      </c>
      <c r="F662" s="47">
        <v>2.1113706834796684</v>
      </c>
    </row>
    <row r="663" spans="4:6" x14ac:dyDescent="0.2">
      <c r="D663" s="18">
        <f t="shared" ca="1" si="21"/>
        <v>11.901437371663244</v>
      </c>
      <c r="E663" s="33">
        <f t="shared" ca="1" si="22"/>
        <v>46332</v>
      </c>
      <c r="F663" s="47">
        <v>2.1128136527184584</v>
      </c>
    </row>
    <row r="664" spans="4:6" x14ac:dyDescent="0.2">
      <c r="D664" s="18">
        <f t="shared" ca="1" si="21"/>
        <v>11.920602327173169</v>
      </c>
      <c r="E664" s="33">
        <f t="shared" ca="1" si="22"/>
        <v>46339</v>
      </c>
      <c r="F664" s="47">
        <v>2.1142620393334135</v>
      </c>
    </row>
    <row r="665" spans="4:6" x14ac:dyDescent="0.2">
      <c r="D665" s="18">
        <f t="shared" ca="1" si="21"/>
        <v>11.939767282683095</v>
      </c>
      <c r="E665" s="33">
        <f t="shared" ca="1" si="22"/>
        <v>46346</v>
      </c>
      <c r="F665" s="47">
        <v>2.1157158970515964</v>
      </c>
    </row>
    <row r="666" spans="4:6" x14ac:dyDescent="0.2">
      <c r="D666" s="18">
        <f t="shared" ca="1" si="21"/>
        <v>11.958932238193018</v>
      </c>
      <c r="E666" s="33">
        <f t="shared" ca="1" si="22"/>
        <v>46353</v>
      </c>
      <c r="F666" s="47">
        <v>2.1171752715130396</v>
      </c>
    </row>
    <row r="667" spans="4:6" x14ac:dyDescent="0.2">
      <c r="D667" s="18">
        <f t="shared" ca="1" si="21"/>
        <v>11.978097193702943</v>
      </c>
      <c r="E667" s="33">
        <f t="shared" ca="1" si="22"/>
        <v>46360</v>
      </c>
      <c r="F667" s="47">
        <v>2.1186402005503773</v>
      </c>
    </row>
    <row r="668" spans="4:6" x14ac:dyDescent="0.2">
      <c r="D668" s="18">
        <f t="shared" ca="1" si="21"/>
        <v>11.997262149212867</v>
      </c>
      <c r="E668" s="33">
        <f t="shared" ca="1" si="22"/>
        <v>46367</v>
      </c>
      <c r="F668" s="47">
        <v>2.1201107144748801</v>
      </c>
    </row>
    <row r="669" spans="4:6" x14ac:dyDescent="0.2">
      <c r="D669" s="18">
        <f t="shared" ca="1" si="21"/>
        <v>12.016427104722792</v>
      </c>
      <c r="E669" s="33">
        <f t="shared" ca="1" si="22"/>
        <v>46374</v>
      </c>
      <c r="F669" s="47">
        <v>2.1215854638283798</v>
      </c>
    </row>
    <row r="670" spans="4:6" x14ac:dyDescent="0.2">
      <c r="D670" s="18">
        <f t="shared" ca="1" si="21"/>
        <v>12.035592060232718</v>
      </c>
      <c r="E670" s="33">
        <f t="shared" ca="1" si="22"/>
        <v>46381</v>
      </c>
      <c r="F670" s="47">
        <v>2.1230621258547777</v>
      </c>
    </row>
    <row r="671" spans="4:6" x14ac:dyDescent="0.2">
      <c r="D671" s="18">
        <f t="shared" ca="1" si="21"/>
        <v>12.054757015742641</v>
      </c>
      <c r="E671" s="33">
        <f t="shared" ca="1" si="22"/>
        <v>46388</v>
      </c>
      <c r="F671" s="47">
        <v>2.124540652703236</v>
      </c>
    </row>
    <row r="672" spans="4:6" x14ac:dyDescent="0.2">
      <c r="D672" s="18">
        <f t="shared" ca="1" si="21"/>
        <v>12.073921971252567</v>
      </c>
      <c r="E672" s="33">
        <f t="shared" ca="1" si="22"/>
        <v>46395</v>
      </c>
      <c r="F672" s="47">
        <v>2.12602103337476</v>
      </c>
    </row>
    <row r="673" spans="4:6" x14ac:dyDescent="0.2">
      <c r="D673" s="18">
        <f t="shared" ca="1" si="21"/>
        <v>12.093086926762492</v>
      </c>
      <c r="E673" s="33">
        <f t="shared" ca="1" si="22"/>
        <v>46402</v>
      </c>
      <c r="F673" s="47">
        <v>2.127503255655149</v>
      </c>
    </row>
    <row r="674" spans="4:6" x14ac:dyDescent="0.2">
      <c r="D674" s="18">
        <f t="shared" ca="1" si="21"/>
        <v>12.112251882272416</v>
      </c>
      <c r="E674" s="33">
        <f t="shared" ca="1" si="22"/>
        <v>46409</v>
      </c>
      <c r="F674" s="47">
        <v>2.1289873060868034</v>
      </c>
    </row>
    <row r="675" spans="4:6" x14ac:dyDescent="0.2">
      <c r="D675" s="18">
        <f t="shared" ca="1" si="21"/>
        <v>12.131416837782341</v>
      </c>
      <c r="E675" s="33">
        <f t="shared" ca="1" si="22"/>
        <v>46416</v>
      </c>
      <c r="F675" s="47">
        <v>2.1304731699410393</v>
      </c>
    </row>
    <row r="676" spans="4:6" x14ac:dyDescent="0.2">
      <c r="D676" s="18">
        <f t="shared" ca="1" si="21"/>
        <v>12.150581793292266</v>
      </c>
      <c r="E676" s="33">
        <f t="shared" ca="1" si="22"/>
        <v>46423</v>
      </c>
      <c r="F676" s="47">
        <v>2.1319608311910003</v>
      </c>
    </row>
    <row r="677" spans="4:6" x14ac:dyDescent="0.2">
      <c r="D677" s="18">
        <f t="shared" ca="1" si="21"/>
        <v>12.16974674880219</v>
      </c>
      <c r="E677" s="33">
        <f t="shared" ca="1" si="22"/>
        <v>46430</v>
      </c>
      <c r="F677" s="47">
        <v>2.1334502724852307</v>
      </c>
    </row>
    <row r="678" spans="4:6" x14ac:dyDescent="0.2">
      <c r="D678" s="18">
        <f t="shared" ca="1" si="21"/>
        <v>12.188911704312115</v>
      </c>
      <c r="E678" s="33">
        <f t="shared" ca="1" si="22"/>
        <v>46437</v>
      </c>
      <c r="F678" s="47">
        <v>2.1349414751219862</v>
      </c>
    </row>
    <row r="679" spans="4:6" x14ac:dyDescent="0.2">
      <c r="D679" s="18">
        <f t="shared" ca="1" si="21"/>
        <v>12.208076659822039</v>
      </c>
      <c r="E679" s="33">
        <f t="shared" ca="1" si="22"/>
        <v>46444</v>
      </c>
      <c r="F679" s="47">
        <v>2.1364344190243729</v>
      </c>
    </row>
    <row r="680" spans="4:6" x14ac:dyDescent="0.2">
      <c r="D680" s="18">
        <f t="shared" ca="1" si="21"/>
        <v>12.227241615331964</v>
      </c>
      <c r="E680" s="33">
        <f t="shared" ca="1" si="22"/>
        <v>46451</v>
      </c>
      <c r="F680" s="47">
        <v>2.1379290827163793</v>
      </c>
    </row>
    <row r="681" spans="4:6" x14ac:dyDescent="0.2">
      <c r="D681" s="18">
        <f t="shared" ca="1" si="21"/>
        <v>12.24640657084189</v>
      </c>
      <c r="E681" s="33">
        <f t="shared" ca="1" si="22"/>
        <v>46458</v>
      </c>
      <c r="F681" s="47">
        <v>2.1394254432999009</v>
      </c>
    </row>
    <row r="682" spans="4:6" x14ac:dyDescent="0.2">
      <c r="D682" s="18">
        <f t="shared" ref="D682:D745" ca="1" si="23">(E682-$E$42)/365.25</f>
        <v>12.265571526351813</v>
      </c>
      <c r="E682" s="33">
        <f t="shared" ca="1" si="22"/>
        <v>46465</v>
      </c>
      <c r="F682" s="47">
        <v>2.140923476432826</v>
      </c>
    </row>
    <row r="683" spans="4:6" x14ac:dyDescent="0.2">
      <c r="D683" s="18">
        <f t="shared" ca="1" si="23"/>
        <v>12.284736481861739</v>
      </c>
      <c r="E683" s="33">
        <f t="shared" ref="E683:E746" ca="1" si="24">E682+7</f>
        <v>46472</v>
      </c>
      <c r="F683" s="47">
        <v>2.1424231563082787</v>
      </c>
    </row>
    <row r="684" spans="4:6" x14ac:dyDescent="0.2">
      <c r="D684" s="18">
        <f t="shared" ca="1" si="23"/>
        <v>12.303901437371664</v>
      </c>
      <c r="E684" s="33">
        <f t="shared" ca="1" si="24"/>
        <v>46479</v>
      </c>
      <c r="F684" s="47">
        <v>2.1439244556351076</v>
      </c>
    </row>
    <row r="685" spans="4:6" x14ac:dyDescent="0.2">
      <c r="D685" s="18">
        <f t="shared" ca="1" si="23"/>
        <v>12.323066392881588</v>
      </c>
      <c r="E685" s="33">
        <f t="shared" ca="1" si="24"/>
        <v>46486</v>
      </c>
      <c r="F685" s="47">
        <v>2.1454273456196979</v>
      </c>
    </row>
    <row r="686" spans="4:6" x14ac:dyDescent="0.2">
      <c r="D686" s="18">
        <f t="shared" ca="1" si="23"/>
        <v>12.342231348391513</v>
      </c>
      <c r="E686" s="33">
        <f t="shared" ca="1" si="24"/>
        <v>46493</v>
      </c>
      <c r="F686" s="47">
        <v>2.1469317959492029</v>
      </c>
    </row>
    <row r="687" spans="4:6" x14ac:dyDescent="0.2">
      <c r="D687" s="18">
        <f t="shared" ca="1" si="23"/>
        <v>12.361396303901437</v>
      </c>
      <c r="E687" s="33">
        <f t="shared" ca="1" si="24"/>
        <v>46500</v>
      </c>
      <c r="F687" s="47">
        <v>2.1484377747762857</v>
      </c>
    </row>
    <row r="688" spans="4:6" x14ac:dyDescent="0.2">
      <c r="D688" s="18">
        <f t="shared" ca="1" si="23"/>
        <v>12.380561259411362</v>
      </c>
      <c r="E688" s="33">
        <f t="shared" ca="1" si="24"/>
        <v>46507</v>
      </c>
      <c r="F688" s="47">
        <v>2.1499452487054569</v>
      </c>
    </row>
    <row r="689" spans="4:6" x14ac:dyDescent="0.2">
      <c r="D689" s="18">
        <f t="shared" ca="1" si="23"/>
        <v>12.399726214921287</v>
      </c>
      <c r="E689" s="33">
        <f t="shared" ca="1" si="24"/>
        <v>46514</v>
      </c>
      <c r="F689" s="47">
        <v>2.15145418278109</v>
      </c>
    </row>
    <row r="690" spans="4:6" x14ac:dyDescent="0.2">
      <c r="D690" s="18">
        <f t="shared" ca="1" si="23"/>
        <v>12.418891170431211</v>
      </c>
      <c r="E690" s="33">
        <f t="shared" ca="1" si="24"/>
        <v>46521</v>
      </c>
      <c r="F690" s="47">
        <v>2.1529645404772286</v>
      </c>
    </row>
    <row r="691" spans="4:6" x14ac:dyDescent="0.2">
      <c r="D691" s="18">
        <f t="shared" ca="1" si="23"/>
        <v>12.438056125941136</v>
      </c>
      <c r="E691" s="33">
        <f t="shared" ca="1" si="24"/>
        <v>46528</v>
      </c>
      <c r="F691" s="47">
        <v>2.1544762836892373</v>
      </c>
    </row>
    <row r="692" spans="4:6" x14ac:dyDescent="0.2">
      <c r="D692" s="18">
        <f t="shared" ca="1" si="23"/>
        <v>12.457221081451062</v>
      </c>
      <c r="E692" s="33">
        <f t="shared" ca="1" si="24"/>
        <v>46535</v>
      </c>
      <c r="F692" s="47">
        <v>2.1559893727274173</v>
      </c>
    </row>
    <row r="693" spans="4:6" x14ac:dyDescent="0.2">
      <c r="D693" s="18">
        <f t="shared" ca="1" si="23"/>
        <v>12.476386036960985</v>
      </c>
      <c r="E693" s="33">
        <f t="shared" ca="1" si="24"/>
        <v>46542</v>
      </c>
      <c r="F693" s="47">
        <v>2.1575037663126535</v>
      </c>
    </row>
    <row r="694" spans="4:6" x14ac:dyDescent="0.2">
      <c r="D694" s="18">
        <f t="shared" ca="1" si="23"/>
        <v>12.495550992470911</v>
      </c>
      <c r="E694" s="33">
        <f t="shared" ca="1" si="24"/>
        <v>46549</v>
      </c>
      <c r="F694" s="47">
        <v>2.1590194215741754</v>
      </c>
    </row>
    <row r="695" spans="4:6" x14ac:dyDescent="0.2">
      <c r="D695" s="18">
        <f t="shared" ca="1" si="23"/>
        <v>12.514715947980836</v>
      </c>
      <c r="E695" s="33">
        <f t="shared" ca="1" si="24"/>
        <v>46556</v>
      </c>
      <c r="F695" s="47">
        <v>2.160536294049531</v>
      </c>
    </row>
    <row r="696" spans="4:6" x14ac:dyDescent="0.2">
      <c r="D696" s="18">
        <f t="shared" ca="1" si="23"/>
        <v>12.533880903490759</v>
      </c>
      <c r="E696" s="33">
        <f t="shared" ca="1" si="24"/>
        <v>46563</v>
      </c>
      <c r="F696" s="47">
        <v>2.1620543376868375</v>
      </c>
    </row>
    <row r="697" spans="4:6" x14ac:dyDescent="0.2">
      <c r="D697" s="18">
        <f t="shared" ca="1" si="23"/>
        <v>12.553045859000685</v>
      </c>
      <c r="E697" s="33">
        <f t="shared" ca="1" si="24"/>
        <v>46570</v>
      </c>
      <c r="F697" s="47">
        <v>2.1635735048493885</v>
      </c>
    </row>
    <row r="698" spans="4:6" x14ac:dyDescent="0.2">
      <c r="D698" s="18">
        <f t="shared" ca="1" si="23"/>
        <v>12.572210814510608</v>
      </c>
      <c r="E698" s="33">
        <f t="shared" ca="1" si="24"/>
        <v>46577</v>
      </c>
      <c r="F698" s="47">
        <v>2.1650937463226914</v>
      </c>
    </row>
    <row r="699" spans="4:6" x14ac:dyDescent="0.2">
      <c r="D699" s="18">
        <f t="shared" ca="1" si="23"/>
        <v>12.591375770020534</v>
      </c>
      <c r="E699" s="33">
        <f t="shared" ca="1" si="24"/>
        <v>46584</v>
      </c>
      <c r="F699" s="47">
        <v>2.1666150113240166</v>
      </c>
    </row>
    <row r="700" spans="4:6" x14ac:dyDescent="0.2">
      <c r="D700" s="18">
        <f t="shared" ca="1" si="23"/>
        <v>12.610540725530459</v>
      </c>
      <c r="E700" s="33">
        <f t="shared" ca="1" si="24"/>
        <v>46591</v>
      </c>
      <c r="F700" s="47">
        <v>2.1681372475145011</v>
      </c>
    </row>
    <row r="701" spans="4:6" x14ac:dyDescent="0.2">
      <c r="D701" s="18">
        <f t="shared" ca="1" si="23"/>
        <v>12.629705681040383</v>
      </c>
      <c r="E701" s="33">
        <f t="shared" ca="1" si="24"/>
        <v>46598</v>
      </c>
      <c r="F701" s="47">
        <v>2.1696604010138869</v>
      </c>
    </row>
    <row r="702" spans="4:6" x14ac:dyDescent="0.2">
      <c r="D702" s="18">
        <f t="shared" ca="1" si="23"/>
        <v>12.648870636550308</v>
      </c>
      <c r="E702" s="33">
        <f t="shared" ca="1" si="24"/>
        <v>46605</v>
      </c>
      <c r="F702" s="47">
        <v>2.1711844164179444</v>
      </c>
    </row>
    <row r="703" spans="4:6" x14ac:dyDescent="0.2">
      <c r="D703" s="18">
        <f t="shared" ca="1" si="23"/>
        <v>12.668035592060233</v>
      </c>
      <c r="E703" s="33">
        <f t="shared" ca="1" si="24"/>
        <v>46612</v>
      </c>
      <c r="F703" s="47">
        <v>2.1727092368186245</v>
      </c>
    </row>
    <row r="704" spans="4:6" x14ac:dyDescent="0.2">
      <c r="D704" s="18">
        <f t="shared" ca="1" si="23"/>
        <v>12.687200547570157</v>
      </c>
      <c r="E704" s="33">
        <f t="shared" ca="1" si="24"/>
        <v>46619</v>
      </c>
      <c r="F704" s="47">
        <v>2.174234803827003</v>
      </c>
    </row>
    <row r="705" spans="4:6" x14ac:dyDescent="0.2">
      <c r="D705" s="18">
        <f t="shared" ca="1" si="23"/>
        <v>12.706365503080082</v>
      </c>
      <c r="E705" s="33">
        <f t="shared" ca="1" si="24"/>
        <v>46626</v>
      </c>
      <c r="F705" s="47">
        <v>2.17576105759903</v>
      </c>
    </row>
    <row r="706" spans="4:6" x14ac:dyDescent="0.2">
      <c r="D706" s="18">
        <f t="shared" ca="1" si="23"/>
        <v>12.725530458590006</v>
      </c>
      <c r="E706" s="33">
        <f t="shared" ca="1" si="24"/>
        <v>46633</v>
      </c>
      <c r="F706" s="47">
        <v>2.1772879368641425</v>
      </c>
    </row>
    <row r="707" spans="4:6" x14ac:dyDescent="0.2">
      <c r="D707" s="18">
        <f t="shared" ca="1" si="23"/>
        <v>12.744695414099931</v>
      </c>
      <c r="E707" s="33">
        <f t="shared" ca="1" si="24"/>
        <v>46640</v>
      </c>
      <c r="F707" s="47">
        <v>2.1788153789567515</v>
      </c>
    </row>
    <row r="708" spans="4:6" x14ac:dyDescent="0.2">
      <c r="D708" s="18">
        <f t="shared" ca="1" si="23"/>
        <v>12.763860369609857</v>
      </c>
      <c r="E708" s="33">
        <f t="shared" ca="1" si="24"/>
        <v>46647</v>
      </c>
      <c r="F708" s="47">
        <v>2.1803433198506221</v>
      </c>
    </row>
    <row r="709" spans="4:6" x14ac:dyDescent="0.2">
      <c r="D709" s="18">
        <f t="shared" ca="1" si="23"/>
        <v>12.78302532511978</v>
      </c>
      <c r="E709" s="33">
        <f t="shared" ca="1" si="24"/>
        <v>46654</v>
      </c>
      <c r="F709" s="47">
        <v>2.1818716941961633</v>
      </c>
    </row>
    <row r="710" spans="4:6" x14ac:dyDescent="0.2">
      <c r="D710" s="18">
        <f t="shared" ca="1" si="23"/>
        <v>12.802190280629706</v>
      </c>
      <c r="E710" s="33">
        <f t="shared" ca="1" si="24"/>
        <v>46661</v>
      </c>
      <c r="F710" s="47">
        <v>2.1834004353606304</v>
      </c>
    </row>
    <row r="711" spans="4:6" x14ac:dyDescent="0.2">
      <c r="D711" s="18">
        <f t="shared" ca="1" si="23"/>
        <v>12.821355236139631</v>
      </c>
      <c r="E711" s="33">
        <f t="shared" ca="1" si="24"/>
        <v>46668</v>
      </c>
      <c r="F711" s="47">
        <v>2.1849294754712267</v>
      </c>
    </row>
    <row r="712" spans="4:6" x14ac:dyDescent="0.2">
      <c r="D712" s="18">
        <f t="shared" ca="1" si="23"/>
        <v>12.840520191649555</v>
      </c>
      <c r="E712" s="33">
        <f t="shared" ca="1" si="24"/>
        <v>46675</v>
      </c>
      <c r="F712" s="47">
        <v>2.1864587454610991</v>
      </c>
    </row>
    <row r="713" spans="4:6" x14ac:dyDescent="0.2">
      <c r="D713" s="18">
        <f t="shared" ca="1" si="23"/>
        <v>12.85968514715948</v>
      </c>
      <c r="E713" s="33">
        <f t="shared" ca="1" si="24"/>
        <v>46682</v>
      </c>
      <c r="F713" s="47">
        <v>2.1879881751182015</v>
      </c>
    </row>
    <row r="714" spans="4:6" x14ac:dyDescent="0.2">
      <c r="D714" s="18">
        <f t="shared" ca="1" si="23"/>
        <v>12.878850102669405</v>
      </c>
      <c r="E714" s="33">
        <f t="shared" ca="1" si="24"/>
        <v>46689</v>
      </c>
      <c r="F714" s="47">
        <v>2.1895176931369997</v>
      </c>
    </row>
    <row r="715" spans="4:6" x14ac:dyDescent="0.2">
      <c r="D715" s="18">
        <f t="shared" ca="1" si="23"/>
        <v>12.898015058179329</v>
      </c>
      <c r="E715" s="33">
        <f t="shared" ca="1" si="24"/>
        <v>46696</v>
      </c>
      <c r="F715" s="47">
        <v>2.1910472271729606</v>
      </c>
    </row>
    <row r="716" spans="4:6" x14ac:dyDescent="0.2">
      <c r="D716" s="18">
        <f t="shared" ca="1" si="23"/>
        <v>12.917180013689254</v>
      </c>
      <c r="E716" s="33">
        <f t="shared" ca="1" si="24"/>
        <v>46703</v>
      </c>
      <c r="F716" s="47">
        <v>2.1925767038998067</v>
      </c>
    </row>
    <row r="717" spans="4:6" x14ac:dyDescent="0.2">
      <c r="D717" s="18">
        <f t="shared" ca="1" si="23"/>
        <v>12.936344969199178</v>
      </c>
      <c r="E717" s="33">
        <f t="shared" ca="1" si="24"/>
        <v>46710</v>
      </c>
      <c r="F717" s="47">
        <v>2.1941060490694388</v>
      </c>
    </row>
    <row r="718" spans="4:6" x14ac:dyDescent="0.2">
      <c r="D718" s="18">
        <f t="shared" ca="1" si="23"/>
        <v>12.955509924709103</v>
      </c>
      <c r="E718" s="33">
        <f t="shared" ca="1" si="24"/>
        <v>46717</v>
      </c>
      <c r="F718" s="47">
        <v>2.1956351875744917</v>
      </c>
    </row>
    <row r="719" spans="4:6" x14ac:dyDescent="0.2">
      <c r="D719" s="18">
        <f t="shared" ca="1" si="23"/>
        <v>12.974674880219029</v>
      </c>
      <c r="E719" s="33">
        <f t="shared" ca="1" si="24"/>
        <v>46724</v>
      </c>
      <c r="F719" s="47">
        <v>2.1971640435134256</v>
      </c>
    </row>
    <row r="720" spans="4:6" x14ac:dyDescent="0.2">
      <c r="D720" s="18">
        <f t="shared" ca="1" si="23"/>
        <v>12.993839835728952</v>
      </c>
      <c r="E720" s="33">
        <f t="shared" ca="1" si="24"/>
        <v>46731</v>
      </c>
      <c r="F720" s="47">
        <v>2.1986925402580697</v>
      </c>
    </row>
    <row r="721" spans="4:6" x14ac:dyDescent="0.2">
      <c r="D721" s="18">
        <f t="shared" ca="1" si="23"/>
        <v>13.013004791238878</v>
      </c>
      <c r="E721" s="33">
        <f t="shared" ca="1" si="24"/>
        <v>46738</v>
      </c>
      <c r="F721" s="47">
        <v>2.2002206005235254</v>
      </c>
    </row>
    <row r="722" spans="4:6" x14ac:dyDescent="0.2">
      <c r="D722" s="18">
        <f t="shared" ca="1" si="23"/>
        <v>13.032169746748803</v>
      </c>
      <c r="E722" s="33">
        <f t="shared" ca="1" si="24"/>
        <v>46745</v>
      </c>
      <c r="F722" s="47">
        <v>2.2017481464403166</v>
      </c>
    </row>
    <row r="723" spans="4:6" x14ac:dyDescent="0.2">
      <c r="D723" s="18">
        <f t="shared" ca="1" si="23"/>
        <v>13.051334702258726</v>
      </c>
      <c r="E723" s="33">
        <f t="shared" ca="1" si="24"/>
        <v>46752</v>
      </c>
      <c r="F723" s="47">
        <v>2.203275099628677</v>
      </c>
    </row>
    <row r="724" spans="4:6" x14ac:dyDescent="0.2">
      <c r="D724" s="18">
        <f t="shared" ca="1" si="23"/>
        <v>13.070499657768652</v>
      </c>
      <c r="E724" s="33">
        <f t="shared" ca="1" si="24"/>
        <v>46759</v>
      </c>
      <c r="F724" s="47">
        <v>2.2048013812748466</v>
      </c>
    </row>
    <row r="725" spans="4:6" x14ac:dyDescent="0.2">
      <c r="D725" s="18">
        <f t="shared" ca="1" si="23"/>
        <v>13.089664613278575</v>
      </c>
      <c r="E725" s="33">
        <f t="shared" ca="1" si="24"/>
        <v>46766</v>
      </c>
      <c r="F725" s="47">
        <v>2.2063269122092493</v>
      </c>
    </row>
    <row r="726" spans="4:6" x14ac:dyDescent="0.2">
      <c r="D726" s="18">
        <f t="shared" ca="1" si="23"/>
        <v>13.108829568788501</v>
      </c>
      <c r="E726" s="33">
        <f t="shared" ca="1" si="24"/>
        <v>46773</v>
      </c>
      <c r="F726" s="47">
        <v>2.2078516129863988</v>
      </c>
    </row>
    <row r="727" spans="4:6" x14ac:dyDescent="0.2">
      <c r="D727" s="18">
        <f t="shared" ca="1" si="23"/>
        <v>13.127994524298426</v>
      </c>
      <c r="E727" s="33">
        <f t="shared" ca="1" si="24"/>
        <v>46780</v>
      </c>
      <c r="F727" s="47">
        <v>2.2093754039664049</v>
      </c>
    </row>
    <row r="728" spans="4:6" x14ac:dyDescent="0.2">
      <c r="D728" s="18">
        <f t="shared" ca="1" si="23"/>
        <v>13.14715947980835</v>
      </c>
      <c r="E728" s="33">
        <f t="shared" ca="1" si="24"/>
        <v>46787</v>
      </c>
      <c r="F728" s="47">
        <v>2.2108982053978985</v>
      </c>
    </row>
    <row r="729" spans="4:6" x14ac:dyDescent="0.2">
      <c r="D729" s="18">
        <f t="shared" ca="1" si="23"/>
        <v>13.166324435318275</v>
      </c>
      <c r="E729" s="33">
        <f t="shared" ca="1" si="24"/>
        <v>46794</v>
      </c>
      <c r="F729" s="47">
        <v>2.212419937502224</v>
      </c>
    </row>
    <row r="730" spans="4:6" x14ac:dyDescent="0.2">
      <c r="D730" s="18">
        <f t="shared" ca="1" si="23"/>
        <v>13.1854893908282</v>
      </c>
      <c r="E730" s="33">
        <f t="shared" ca="1" si="24"/>
        <v>46801</v>
      </c>
      <c r="F730" s="47">
        <v>2.2139405205587392</v>
      </c>
    </row>
    <row r="731" spans="4:6" x14ac:dyDescent="0.2">
      <c r="D731" s="18">
        <f t="shared" ca="1" si="23"/>
        <v>13.204654346338124</v>
      </c>
      <c r="E731" s="33">
        <f t="shared" ca="1" si="24"/>
        <v>46808</v>
      </c>
      <c r="F731" s="47">
        <v>2.2154598749910153</v>
      </c>
    </row>
    <row r="732" spans="4:6" x14ac:dyDescent="0.2">
      <c r="D732" s="18">
        <f t="shared" ca="1" si="23"/>
        <v>13.223819301848049</v>
      </c>
      <c r="E732" s="33">
        <f t="shared" ca="1" si="24"/>
        <v>46815</v>
      </c>
      <c r="F732" s="47">
        <v>2.2169779214537897</v>
      </c>
    </row>
    <row r="733" spans="4:6" x14ac:dyDescent="0.2">
      <c r="D733" s="18">
        <f t="shared" ca="1" si="23"/>
        <v>13.242984257357975</v>
      </c>
      <c r="E733" s="33">
        <f t="shared" ca="1" si="24"/>
        <v>46822</v>
      </c>
      <c r="F733" s="47">
        <v>2.2184945809204573</v>
      </c>
    </row>
    <row r="734" spans="4:6" x14ac:dyDescent="0.2">
      <c r="D734" s="18">
        <f t="shared" ca="1" si="23"/>
        <v>13.262149212867898</v>
      </c>
      <c r="E734" s="33">
        <f t="shared" ca="1" si="24"/>
        <v>46829</v>
      </c>
      <c r="F734" s="47">
        <v>2.2200097747709293</v>
      </c>
    </row>
    <row r="735" spans="4:6" x14ac:dyDescent="0.2">
      <c r="D735" s="18">
        <f t="shared" ca="1" si="23"/>
        <v>13.281314168377824</v>
      </c>
      <c r="E735" s="33">
        <f t="shared" ca="1" si="24"/>
        <v>46836</v>
      </c>
      <c r="F735" s="47">
        <v>2.2215234248796398</v>
      </c>
    </row>
    <row r="736" spans="4:6" x14ac:dyDescent="0.2">
      <c r="D736" s="18">
        <f t="shared" ca="1" si="23"/>
        <v>13.300479123887747</v>
      </c>
      <c r="E736" s="33">
        <f t="shared" ca="1" si="24"/>
        <v>46843</v>
      </c>
      <c r="F736" s="47">
        <v>2.2230354537035262</v>
      </c>
    </row>
    <row r="737" spans="4:6" x14ac:dyDescent="0.2">
      <c r="D737" s="18">
        <f t="shared" ca="1" si="23"/>
        <v>13.319644079397673</v>
      </c>
      <c r="E737" s="33">
        <f t="shared" ca="1" si="24"/>
        <v>46850</v>
      </c>
      <c r="F737" s="47">
        <v>2.224545784369774</v>
      </c>
    </row>
    <row r="738" spans="4:6" x14ac:dyDescent="0.2">
      <c r="D738" s="18">
        <f t="shared" ca="1" si="23"/>
        <v>13.338809034907598</v>
      </c>
      <c r="E738" s="33">
        <f t="shared" ca="1" si="24"/>
        <v>46857</v>
      </c>
      <c r="F738" s="47">
        <v>2.2260543407631173</v>
      </c>
    </row>
    <row r="739" spans="4:6" x14ac:dyDescent="0.2">
      <c r="D739" s="18">
        <f t="shared" ca="1" si="23"/>
        <v>13.357973990417522</v>
      </c>
      <c r="E739" s="33">
        <f t="shared" ca="1" si="24"/>
        <v>46864</v>
      </c>
      <c r="F739" s="47">
        <v>2.2275610476124954</v>
      </c>
    </row>
    <row r="740" spans="4:6" x14ac:dyDescent="0.2">
      <c r="D740" s="18">
        <f t="shared" ca="1" si="23"/>
        <v>13.377138945927447</v>
      </c>
      <c r="E740" s="33">
        <f t="shared" ca="1" si="24"/>
        <v>46871</v>
      </c>
      <c r="F740" s="47">
        <v>2.2290658305768791</v>
      </c>
    </row>
    <row r="741" spans="4:6" x14ac:dyDescent="0.2">
      <c r="D741" s="18">
        <f t="shared" ca="1" si="23"/>
        <v>13.396303901437372</v>
      </c>
      <c r="E741" s="33">
        <f t="shared" ca="1" si="24"/>
        <v>46878</v>
      </c>
      <c r="F741" s="47">
        <v>2.2305686163300367</v>
      </c>
    </row>
    <row r="742" spans="4:6" x14ac:dyDescent="0.2">
      <c r="D742" s="18">
        <f t="shared" ca="1" si="23"/>
        <v>13.415468856947296</v>
      </c>
      <c r="E742" s="33">
        <f t="shared" ca="1" si="24"/>
        <v>46885</v>
      </c>
      <c r="F742" s="47">
        <v>2.2320693326440639</v>
      </c>
    </row>
    <row r="743" spans="4:6" x14ac:dyDescent="0.2">
      <c r="D743" s="18">
        <f t="shared" ca="1" si="23"/>
        <v>13.434633812457221</v>
      </c>
      <c r="E743" s="33">
        <f t="shared" ca="1" si="24"/>
        <v>46892</v>
      </c>
      <c r="F743" s="47">
        <v>2.2335679084714659</v>
      </c>
    </row>
    <row r="744" spans="4:6" x14ac:dyDescent="0.2">
      <c r="D744" s="18">
        <f t="shared" ca="1" si="23"/>
        <v>13.453798767967145</v>
      </c>
      <c r="E744" s="33">
        <f t="shared" ca="1" si="24"/>
        <v>46899</v>
      </c>
      <c r="F744" s="47">
        <v>2.2350642740256124</v>
      </c>
    </row>
    <row r="745" spans="4:6" x14ac:dyDescent="0.2">
      <c r="D745" s="18">
        <f t="shared" ca="1" si="23"/>
        <v>13.47296372347707</v>
      </c>
      <c r="E745" s="33">
        <f t="shared" ca="1" si="24"/>
        <v>46906</v>
      </c>
      <c r="F745" s="47">
        <v>2.2365583608593509</v>
      </c>
    </row>
    <row r="746" spans="4:6" x14ac:dyDescent="0.2">
      <c r="D746" s="18">
        <f t="shared" ref="D746:D809" ca="1" si="25">(E746-$E$42)/365.25</f>
        <v>13.492128678986996</v>
      </c>
      <c r="E746" s="33">
        <f t="shared" ca="1" si="24"/>
        <v>46913</v>
      </c>
      <c r="F746" s="47">
        <v>2.2380501019416252</v>
      </c>
    </row>
    <row r="747" spans="4:6" x14ac:dyDescent="0.2">
      <c r="D747" s="18">
        <f t="shared" ca="1" si="25"/>
        <v>13.511293634496919</v>
      </c>
      <c r="E747" s="33">
        <f t="shared" ref="E747:E810" ca="1" si="26">E746+7</f>
        <v>46920</v>
      </c>
      <c r="F747" s="47">
        <v>2.2395394317318922</v>
      </c>
    </row>
    <row r="748" spans="4:6" x14ac:dyDescent="0.2">
      <c r="D748" s="18">
        <f t="shared" ca="1" si="25"/>
        <v>13.530458590006845</v>
      </c>
      <c r="E748" s="33">
        <f t="shared" ca="1" si="26"/>
        <v>46927</v>
      </c>
      <c r="F748" s="47">
        <v>2.2410262862521719</v>
      </c>
    </row>
    <row r="749" spans="4:6" x14ac:dyDescent="0.2">
      <c r="D749" s="18">
        <f t="shared" ca="1" si="25"/>
        <v>13.54962354551677</v>
      </c>
      <c r="E749" s="33">
        <f t="shared" ca="1" si="26"/>
        <v>46934</v>
      </c>
      <c r="F749" s="47">
        <v>2.2425106031565849</v>
      </c>
    </row>
    <row r="750" spans="4:6" x14ac:dyDescent="0.2">
      <c r="D750" s="18">
        <f t="shared" ca="1" si="25"/>
        <v>13.568788501026694</v>
      </c>
      <c r="E750" s="33">
        <f t="shared" ca="1" si="26"/>
        <v>46941</v>
      </c>
      <c r="F750" s="47">
        <v>2.2439923217981743</v>
      </c>
    </row>
    <row r="751" spans="4:6" x14ac:dyDescent="0.2">
      <c r="D751" s="18">
        <f t="shared" ca="1" si="25"/>
        <v>13.587953456536619</v>
      </c>
      <c r="E751" s="33">
        <f t="shared" ca="1" si="26"/>
        <v>46948</v>
      </c>
      <c r="F751" s="47">
        <v>2.2454713832929123</v>
      </c>
    </row>
    <row r="752" spans="4:6" x14ac:dyDescent="0.2">
      <c r="D752" s="18">
        <f t="shared" ca="1" si="25"/>
        <v>13.607118412046544</v>
      </c>
      <c r="E752" s="33">
        <f t="shared" ca="1" si="26"/>
        <v>46955</v>
      </c>
      <c r="F752" s="47">
        <v>2.2469477305807088</v>
      </c>
    </row>
    <row r="753" spans="4:6" x14ac:dyDescent="0.2">
      <c r="D753" s="18">
        <f t="shared" ca="1" si="25"/>
        <v>13.626283367556468</v>
      </c>
      <c r="E753" s="33">
        <f t="shared" ca="1" si="26"/>
        <v>46962</v>
      </c>
      <c r="F753" s="47">
        <v>2.248421308483318</v>
      </c>
    </row>
    <row r="754" spans="4:6" x14ac:dyDescent="0.2">
      <c r="D754" s="18">
        <f t="shared" ca="1" si="25"/>
        <v>13.645448323066393</v>
      </c>
      <c r="E754" s="33">
        <f t="shared" ca="1" si="26"/>
        <v>46969</v>
      </c>
      <c r="F754" s="47">
        <v>2.2498920637590003</v>
      </c>
    </row>
    <row r="755" spans="4:6" x14ac:dyDescent="0.2">
      <c r="D755" s="18">
        <f t="shared" ca="1" si="25"/>
        <v>13.664613278576317</v>
      </c>
      <c r="E755" s="33">
        <f t="shared" ca="1" si="26"/>
        <v>46976</v>
      </c>
      <c r="F755" s="47">
        <v>2.2513599451538506</v>
      </c>
    </row>
    <row r="756" spans="4:6" x14ac:dyDescent="0.2">
      <c r="D756" s="18">
        <f t="shared" ca="1" si="25"/>
        <v>13.683778234086242</v>
      </c>
      <c r="E756" s="33">
        <f t="shared" ca="1" si="26"/>
        <v>46983</v>
      </c>
      <c r="F756" s="47">
        <v>2.2528249034496577</v>
      </c>
    </row>
    <row r="757" spans="4:6" x14ac:dyDescent="0.2">
      <c r="D757" s="18">
        <f t="shared" ca="1" si="25"/>
        <v>13.702943189596168</v>
      </c>
      <c r="E757" s="33">
        <f t="shared" ca="1" si="26"/>
        <v>46990</v>
      </c>
      <c r="F757" s="47">
        <v>2.2542868915082472</v>
      </c>
    </row>
    <row r="758" spans="4:6" x14ac:dyDescent="0.2">
      <c r="D758" s="18">
        <f t="shared" ca="1" si="25"/>
        <v>13.722108145106091</v>
      </c>
      <c r="E758" s="33">
        <f t="shared" ca="1" si="26"/>
        <v>46997</v>
      </c>
      <c r="F758" s="47">
        <v>2.2557458643121886</v>
      </c>
    </row>
    <row r="759" spans="4:6" x14ac:dyDescent="0.2">
      <c r="D759" s="18">
        <f t="shared" ca="1" si="25"/>
        <v>13.741273100616016</v>
      </c>
      <c r="E759" s="33">
        <f t="shared" ca="1" si="26"/>
        <v>47004</v>
      </c>
      <c r="F759" s="47">
        <v>2.2572017790018299</v>
      </c>
    </row>
    <row r="760" spans="4:6" x14ac:dyDescent="0.2">
      <c r="D760" s="18">
        <f t="shared" ca="1" si="25"/>
        <v>13.760438056125942</v>
      </c>
      <c r="E760" s="33">
        <f t="shared" ca="1" si="26"/>
        <v>47011</v>
      </c>
      <c r="F760" s="47">
        <v>2.2586545949085801</v>
      </c>
    </row>
    <row r="761" spans="4:6" x14ac:dyDescent="0.2">
      <c r="D761" s="18">
        <f t="shared" ca="1" si="25"/>
        <v>13.779603011635865</v>
      </c>
      <c r="E761" s="33">
        <f t="shared" ca="1" si="26"/>
        <v>47018</v>
      </c>
      <c r="F761" s="47">
        <v>2.2601042735844228</v>
      </c>
    </row>
    <row r="762" spans="4:6" x14ac:dyDescent="0.2">
      <c r="D762" s="18">
        <f t="shared" ca="1" si="25"/>
        <v>13.798767967145791</v>
      </c>
      <c r="E762" s="33">
        <f t="shared" ca="1" si="26"/>
        <v>47025</v>
      </c>
      <c r="F762" s="47">
        <v>2.2615507788275906</v>
      </c>
    </row>
    <row r="763" spans="4:6" x14ac:dyDescent="0.2">
      <c r="D763" s="18">
        <f t="shared" ca="1" si="25"/>
        <v>13.817932922655714</v>
      </c>
      <c r="E763" s="33">
        <f t="shared" ca="1" si="26"/>
        <v>47032</v>
      </c>
      <c r="F763" s="47">
        <v>2.2629940767044259</v>
      </c>
    </row>
    <row r="764" spans="4:6" x14ac:dyDescent="0.2">
      <c r="D764" s="18">
        <f t="shared" ca="1" si="25"/>
        <v>13.83709787816564</v>
      </c>
      <c r="E764" s="33">
        <f t="shared" ca="1" si="26"/>
        <v>47039</v>
      </c>
      <c r="F764" s="47">
        <v>2.2644341355673774</v>
      </c>
    </row>
    <row r="765" spans="4:6" x14ac:dyDescent="0.2">
      <c r="D765" s="18">
        <f t="shared" ca="1" si="25"/>
        <v>13.856262833675565</v>
      </c>
      <c r="E765" s="33">
        <f t="shared" ca="1" si="26"/>
        <v>47046</v>
      </c>
      <c r="F765" s="47">
        <v>2.2658709260691627</v>
      </c>
    </row>
    <row r="766" spans="4:6" x14ac:dyDescent="0.2">
      <c r="D766" s="18">
        <f t="shared" ca="1" si="25"/>
        <v>13.875427789185489</v>
      </c>
      <c r="E766" s="33">
        <f t="shared" ca="1" si="26"/>
        <v>47053</v>
      </c>
      <c r="F766" s="47">
        <v>2.2673044211731033</v>
      </c>
    </row>
    <row r="767" spans="4:6" x14ac:dyDescent="0.2">
      <c r="D767" s="18">
        <f t="shared" ca="1" si="25"/>
        <v>13.894592744695414</v>
      </c>
      <c r="E767" s="33">
        <f t="shared" ca="1" si="26"/>
        <v>47060</v>
      </c>
      <c r="F767" s="47">
        <v>2.2687345961596481</v>
      </c>
    </row>
    <row r="768" spans="4:6" x14ac:dyDescent="0.2">
      <c r="D768" s="18">
        <f t="shared" ca="1" si="25"/>
        <v>13.913757700205339</v>
      </c>
      <c r="E768" s="33">
        <f t="shared" ca="1" si="26"/>
        <v>47067</v>
      </c>
      <c r="F768" s="47">
        <v>2.2701614286291427</v>
      </c>
    </row>
    <row r="769" spans="4:6" x14ac:dyDescent="0.2">
      <c r="D769" s="18">
        <f t="shared" ca="1" si="25"/>
        <v>13.932922655715263</v>
      </c>
      <c r="E769" s="33">
        <f t="shared" ca="1" si="26"/>
        <v>47074</v>
      </c>
      <c r="F769" s="47">
        <v>2.2715848985008691</v>
      </c>
    </row>
    <row r="770" spans="4:6" x14ac:dyDescent="0.2">
      <c r="D770" s="18">
        <f t="shared" ca="1" si="25"/>
        <v>13.952087611225188</v>
      </c>
      <c r="E770" s="33">
        <f t="shared" ca="1" si="26"/>
        <v>47081</v>
      </c>
      <c r="F770" s="47">
        <v>2.27300498800843</v>
      </c>
    </row>
    <row r="771" spans="4:6" x14ac:dyDescent="0.2">
      <c r="D771" s="18">
        <f t="shared" ca="1" si="25"/>
        <v>13.971252566735114</v>
      </c>
      <c r="E771" s="33">
        <f t="shared" ca="1" si="26"/>
        <v>47088</v>
      </c>
      <c r="F771" s="47">
        <v>2.2744216816915359</v>
      </c>
    </row>
    <row r="772" spans="4:6" x14ac:dyDescent="0.2">
      <c r="D772" s="18">
        <f t="shared" ca="1" si="25"/>
        <v>13.990417522245037</v>
      </c>
      <c r="E772" s="33">
        <f t="shared" ca="1" si="26"/>
        <v>47095</v>
      </c>
      <c r="F772" s="47">
        <v>2.2758349663842754</v>
      </c>
    </row>
    <row r="773" spans="4:6" x14ac:dyDescent="0.2">
      <c r="D773" s="18">
        <f t="shared" ca="1" si="25"/>
        <v>14.009582477754963</v>
      </c>
      <c r="E773" s="33">
        <f t="shared" ca="1" si="26"/>
        <v>47102</v>
      </c>
      <c r="F773" s="47">
        <v>2.2772448311999494</v>
      </c>
    </row>
    <row r="774" spans="4:6" x14ac:dyDescent="0.2">
      <c r="D774" s="18">
        <f t="shared" ca="1" si="25"/>
        <v>14.028747433264886</v>
      </c>
      <c r="E774" s="33">
        <f t="shared" ca="1" si="26"/>
        <v>47109</v>
      </c>
      <c r="F774" s="47">
        <v>2.278651267512573</v>
      </c>
    </row>
    <row r="775" spans="4:6" x14ac:dyDescent="0.2">
      <c r="D775" s="18">
        <f t="shared" ca="1" si="25"/>
        <v>14.047912388774812</v>
      </c>
      <c r="E775" s="33">
        <f t="shared" ca="1" si="26"/>
        <v>47116</v>
      </c>
      <c r="F775" s="47">
        <v>2.280054268935134</v>
      </c>
    </row>
    <row r="776" spans="4:6" x14ac:dyDescent="0.2">
      <c r="D776" s="18">
        <f t="shared" ca="1" si="25"/>
        <v>14.067077344284737</v>
      </c>
      <c r="E776" s="33">
        <f t="shared" ca="1" si="26"/>
        <v>47123</v>
      </c>
      <c r="F776" s="47">
        <v>2.2814538312947237</v>
      </c>
    </row>
    <row r="777" spans="4:6" x14ac:dyDescent="0.2">
      <c r="D777" s="18">
        <f t="shared" ca="1" si="25"/>
        <v>14.086242299794661</v>
      </c>
      <c r="E777" s="33">
        <f t="shared" ca="1" si="26"/>
        <v>47130</v>
      </c>
      <c r="F777" s="47">
        <v>2.2828499526046615</v>
      </c>
    </row>
    <row r="778" spans="4:6" x14ac:dyDescent="0.2">
      <c r="D778" s="18">
        <f t="shared" ca="1" si="25"/>
        <v>14.105407255304586</v>
      </c>
      <c r="E778" s="33">
        <f t="shared" ca="1" si="26"/>
        <v>47137</v>
      </c>
      <c r="F778" s="47">
        <v>2.2842426330337151</v>
      </c>
    </row>
    <row r="779" spans="4:6" x14ac:dyDescent="0.2">
      <c r="D779" s="18">
        <f t="shared" ca="1" si="25"/>
        <v>14.124572210814511</v>
      </c>
      <c r="E779" s="33">
        <f t="shared" ca="1" si="26"/>
        <v>47144</v>
      </c>
      <c r="F779" s="47">
        <v>2.2856318748725704</v>
      </c>
    </row>
    <row r="780" spans="4:6" x14ac:dyDescent="0.2">
      <c r="D780" s="18">
        <f t="shared" ca="1" si="25"/>
        <v>14.143737166324435</v>
      </c>
      <c r="E780" s="33">
        <f t="shared" ca="1" si="26"/>
        <v>47151</v>
      </c>
      <c r="F780" s="47">
        <v>2.2870176824976616</v>
      </c>
    </row>
    <row r="781" spans="4:6" x14ac:dyDescent="0.2">
      <c r="D781" s="18">
        <f t="shared" ca="1" si="25"/>
        <v>14.16290212183436</v>
      </c>
      <c r="E781" s="33">
        <f t="shared" ca="1" si="26"/>
        <v>47158</v>
      </c>
      <c r="F781" s="47">
        <v>2.2884000623325007</v>
      </c>
    </row>
    <row r="782" spans="4:6" x14ac:dyDescent="0.2">
      <c r="D782" s="18">
        <f t="shared" ca="1" si="25"/>
        <v>14.182067077344286</v>
      </c>
      <c r="E782" s="33">
        <f t="shared" ca="1" si="26"/>
        <v>47165</v>
      </c>
      <c r="F782" s="47">
        <v>2.2897790228066661</v>
      </c>
    </row>
    <row r="783" spans="4:6" x14ac:dyDescent="0.2">
      <c r="D783" s="18">
        <f t="shared" ca="1" si="25"/>
        <v>14.201232032854209</v>
      </c>
      <c r="E783" s="33">
        <f t="shared" ca="1" si="26"/>
        <v>47172</v>
      </c>
      <c r="F783" s="47">
        <v>2.2911545743125572</v>
      </c>
    </row>
    <row r="784" spans="4:6" x14ac:dyDescent="0.2">
      <c r="D784" s="18">
        <f t="shared" ca="1" si="25"/>
        <v>14.220396988364135</v>
      </c>
      <c r="E784" s="33">
        <f t="shared" ca="1" si="26"/>
        <v>47179</v>
      </c>
      <c r="F784" s="47">
        <v>2.2925267291600955</v>
      </c>
    </row>
    <row r="785" spans="4:6" x14ac:dyDescent="0.2">
      <c r="D785" s="18">
        <f t="shared" ca="1" si="25"/>
        <v>14.239561943874058</v>
      </c>
      <c r="E785" s="33">
        <f t="shared" ca="1" si="26"/>
        <v>47186</v>
      </c>
      <c r="F785" s="47">
        <v>2.2938955015294979</v>
      </c>
    </row>
    <row r="786" spans="4:6" x14ac:dyDescent="0.2">
      <c r="D786" s="18">
        <f t="shared" ca="1" si="25"/>
        <v>14.258726899383984</v>
      </c>
      <c r="E786" s="33">
        <f t="shared" ca="1" si="26"/>
        <v>47193</v>
      </c>
      <c r="F786" s="47">
        <v>2.2952609074222785</v>
      </c>
    </row>
    <row r="787" spans="4:6" x14ac:dyDescent="0.2">
      <c r="D787" s="18">
        <f t="shared" ca="1" si="25"/>
        <v>14.277891854893909</v>
      </c>
      <c r="E787" s="33">
        <f t="shared" ca="1" si="26"/>
        <v>47200</v>
      </c>
      <c r="F787" s="47">
        <v>2.2966229646106231</v>
      </c>
    </row>
    <row r="788" spans="4:6" x14ac:dyDescent="0.2">
      <c r="D788" s="18">
        <f t="shared" ca="1" si="25"/>
        <v>14.297056810403832</v>
      </c>
      <c r="E788" s="33">
        <f t="shared" ca="1" si="26"/>
        <v>47207</v>
      </c>
      <c r="F788" s="47">
        <v>2.2979816925852909</v>
      </c>
    </row>
    <row r="789" spans="4:6" x14ac:dyDescent="0.2">
      <c r="D789" s="18">
        <f t="shared" ca="1" si="25"/>
        <v>14.316221765913758</v>
      </c>
      <c r="E789" s="33">
        <f t="shared" ca="1" si="26"/>
        <v>47214</v>
      </c>
      <c r="F789" s="47">
        <v>2.2993371125021831</v>
      </c>
    </row>
    <row r="790" spans="4:6" x14ac:dyDescent="0.2">
      <c r="D790" s="18">
        <f t="shared" ca="1" si="25"/>
        <v>14.335386721423683</v>
      </c>
      <c r="E790" s="33">
        <f t="shared" ca="1" si="26"/>
        <v>47221</v>
      </c>
      <c r="F790" s="47">
        <v>2.3006892471277407</v>
      </c>
    </row>
    <row r="791" spans="4:6" x14ac:dyDescent="0.2">
      <c r="D791" s="18">
        <f t="shared" ca="1" si="25"/>
        <v>14.354551676933607</v>
      </c>
      <c r="E791" s="33">
        <f t="shared" ca="1" si="26"/>
        <v>47228</v>
      </c>
      <c r="F791" s="47">
        <v>2.3020381207832976</v>
      </c>
    </row>
    <row r="792" spans="4:6" x14ac:dyDescent="0.2">
      <c r="D792" s="18">
        <f t="shared" ca="1" si="25"/>
        <v>14.373716632443532</v>
      </c>
      <c r="E792" s="33">
        <f t="shared" ca="1" si="26"/>
        <v>47235</v>
      </c>
      <c r="F792" s="47">
        <v>2.303383759288554</v>
      </c>
    </row>
    <row r="793" spans="4:6" x14ac:dyDescent="0.2">
      <c r="D793" s="18">
        <f t="shared" ca="1" si="25"/>
        <v>14.392881587953456</v>
      </c>
      <c r="E793" s="33">
        <f t="shared" ca="1" si="26"/>
        <v>47242</v>
      </c>
      <c r="F793" s="47">
        <v>2.3047261899042883</v>
      </c>
    </row>
    <row r="794" spans="4:6" x14ac:dyDescent="0.2">
      <c r="D794" s="18">
        <f t="shared" ca="1" si="25"/>
        <v>14.412046543463381</v>
      </c>
      <c r="E794" s="33">
        <f t="shared" ca="1" si="26"/>
        <v>47249</v>
      </c>
      <c r="F794" s="47">
        <v>2.306065441274471</v>
      </c>
    </row>
    <row r="795" spans="4:6" x14ac:dyDescent="0.2">
      <c r="D795" s="18">
        <f t="shared" ca="1" si="25"/>
        <v>14.431211498973306</v>
      </c>
      <c r="E795" s="33">
        <f t="shared" ca="1" si="26"/>
        <v>47256</v>
      </c>
      <c r="F795" s="47">
        <v>2.3074015433679032</v>
      </c>
    </row>
    <row r="796" spans="4:6" x14ac:dyDescent="0.2">
      <c r="D796" s="18">
        <f t="shared" ca="1" si="25"/>
        <v>14.45037645448323</v>
      </c>
      <c r="E796" s="33">
        <f t="shared" ca="1" si="26"/>
        <v>47263</v>
      </c>
      <c r="F796" s="47">
        <v>2.3087345274195066</v>
      </c>
    </row>
    <row r="797" spans="4:6" x14ac:dyDescent="0.2">
      <c r="D797" s="18">
        <f t="shared" ca="1" si="25"/>
        <v>14.469541409993155</v>
      </c>
      <c r="E797" s="33">
        <f t="shared" ca="1" si="26"/>
        <v>47270</v>
      </c>
      <c r="F797" s="47">
        <v>2.3100644258714067</v>
      </c>
    </row>
    <row r="798" spans="4:6" x14ac:dyDescent="0.2">
      <c r="D798" s="18">
        <f t="shared" ca="1" si="25"/>
        <v>14.488706365503081</v>
      </c>
      <c r="E798" s="33">
        <f t="shared" ca="1" si="26"/>
        <v>47277</v>
      </c>
      <c r="F798" s="47">
        <v>2.3113912723139247</v>
      </c>
    </row>
    <row r="799" spans="4:6" x14ac:dyDescent="0.2">
      <c r="D799" s="18">
        <f t="shared" ca="1" si="25"/>
        <v>14.507871321013004</v>
      </c>
      <c r="E799" s="33">
        <f t="shared" ca="1" si="26"/>
        <v>47284</v>
      </c>
      <c r="F799" s="47">
        <v>2.3127151014266056</v>
      </c>
    </row>
    <row r="800" spans="4:6" x14ac:dyDescent="0.2">
      <c r="D800" s="18">
        <f t="shared" ca="1" si="25"/>
        <v>14.52703627652293</v>
      </c>
      <c r="E800" s="33">
        <f t="shared" ca="1" si="26"/>
        <v>47291</v>
      </c>
      <c r="F800" s="47">
        <v>2.3140359489193854</v>
      </c>
    </row>
    <row r="801" spans="4:6" x14ac:dyDescent="0.2">
      <c r="D801" s="18">
        <f t="shared" ca="1" si="25"/>
        <v>14.546201232032855</v>
      </c>
      <c r="E801" s="33">
        <f t="shared" ca="1" si="26"/>
        <v>47298</v>
      </c>
      <c r="F801" s="47">
        <v>2.3153538514740224</v>
      </c>
    </row>
    <row r="802" spans="4:6" x14ac:dyDescent="0.2">
      <c r="D802" s="18">
        <f t="shared" ca="1" si="25"/>
        <v>14.565366187542779</v>
      </c>
      <c r="E802" s="33">
        <f t="shared" ca="1" si="26"/>
        <v>47305</v>
      </c>
      <c r="F802" s="47">
        <v>2.3166688466858929</v>
      </c>
    </row>
    <row r="803" spans="4:6" x14ac:dyDescent="0.2">
      <c r="D803" s="18">
        <f t="shared" ca="1" si="25"/>
        <v>14.584531143052704</v>
      </c>
      <c r="E803" s="33">
        <f t="shared" ca="1" si="26"/>
        <v>47312</v>
      </c>
      <c r="F803" s="47">
        <v>2.3179809730062426</v>
      </c>
    </row>
    <row r="804" spans="4:6" x14ac:dyDescent="0.2">
      <c r="D804" s="18">
        <f t="shared" ca="1" si="25"/>
        <v>14.603696098562628</v>
      </c>
      <c r="E804" s="33">
        <f t="shared" ca="1" si="26"/>
        <v>47319</v>
      </c>
      <c r="F804" s="47">
        <v>2.3192902696850113</v>
      </c>
    </row>
    <row r="805" spans="4:6" x14ac:dyDescent="0.2">
      <c r="D805" s="18">
        <f t="shared" ca="1" si="25"/>
        <v>14.622861054072553</v>
      </c>
      <c r="E805" s="33">
        <f t="shared" ca="1" si="26"/>
        <v>47326</v>
      </c>
      <c r="F805" s="47">
        <v>2.3205967767142965</v>
      </c>
    </row>
    <row r="806" spans="4:6" x14ac:dyDescent="0.2">
      <c r="D806" s="18">
        <f t="shared" ca="1" si="25"/>
        <v>14.642026009582478</v>
      </c>
      <c r="E806" s="33">
        <f t="shared" ca="1" si="26"/>
        <v>47333</v>
      </c>
      <c r="F806" s="47">
        <v>2.3219005347725585</v>
      </c>
    </row>
    <row r="807" spans="4:6" x14ac:dyDescent="0.2">
      <c r="D807" s="18">
        <f t="shared" ca="1" si="25"/>
        <v>14.661190965092402</v>
      </c>
      <c r="E807" s="33">
        <f t="shared" ca="1" si="26"/>
        <v>47340</v>
      </c>
      <c r="F807" s="47">
        <v>2.3232015851696368</v>
      </c>
    </row>
    <row r="808" spans="4:6" x14ac:dyDescent="0.2">
      <c r="D808" s="18">
        <f t="shared" ca="1" si="25"/>
        <v>14.680355920602327</v>
      </c>
      <c r="E808" s="33">
        <f t="shared" ca="1" si="26"/>
        <v>47347</v>
      </c>
      <c r="F808" s="47">
        <v>2.3244999697926585</v>
      </c>
    </row>
    <row r="809" spans="4:6" x14ac:dyDescent="0.2">
      <c r="D809" s="18">
        <f t="shared" ca="1" si="25"/>
        <v>14.699520876112253</v>
      </c>
      <c r="E809" s="33">
        <f t="shared" ca="1" si="26"/>
        <v>47354</v>
      </c>
      <c r="F809" s="47">
        <v>2.3257957310529087</v>
      </c>
    </row>
    <row r="810" spans="4:6" x14ac:dyDescent="0.2">
      <c r="D810" s="18">
        <f t="shared" ref="D810:D873" ca="1" si="27">(E810-$E$42)/365.25</f>
        <v>14.718685831622176</v>
      </c>
      <c r="E810" s="33">
        <f t="shared" ca="1" si="26"/>
        <v>47361</v>
      </c>
      <c r="F810" s="47">
        <v>2.3270889118337079</v>
      </c>
    </row>
    <row r="811" spans="4:6" x14ac:dyDescent="0.2">
      <c r="D811" s="18">
        <f t="shared" ca="1" si="27"/>
        <v>14.737850787132102</v>
      </c>
      <c r="E811" s="33">
        <f t="shared" ref="E811:E874" ca="1" si="28">E810+7</f>
        <v>47368</v>
      </c>
      <c r="F811" s="47">
        <v>2.3283795554393869</v>
      </c>
    </row>
    <row r="812" spans="4:6" x14ac:dyDescent="0.2">
      <c r="D812" s="18">
        <f t="shared" ca="1" si="27"/>
        <v>14.757015742642025</v>
      </c>
      <c r="E812" s="33">
        <f t="shared" ca="1" si="28"/>
        <v>47375</v>
      </c>
      <c r="F812" s="47">
        <v>2.3296677055453872</v>
      </c>
    </row>
    <row r="813" spans="4:6" x14ac:dyDescent="0.2">
      <c r="D813" s="18">
        <f t="shared" ca="1" si="27"/>
        <v>14.776180698151951</v>
      </c>
      <c r="E813" s="33">
        <f t="shared" ca="1" si="28"/>
        <v>47382</v>
      </c>
      <c r="F813" s="47">
        <v>2.3309534061495358</v>
      </c>
    </row>
    <row r="814" spans="4:6" x14ac:dyDescent="0.2">
      <c r="D814" s="18">
        <f t="shared" ca="1" si="27"/>
        <v>14.795345653661876</v>
      </c>
      <c r="E814" s="33">
        <f t="shared" ca="1" si="28"/>
        <v>47389</v>
      </c>
      <c r="F814" s="47">
        <v>2.3322367015245606</v>
      </c>
    </row>
    <row r="815" spans="4:6" x14ac:dyDescent="0.2">
      <c r="D815" s="18">
        <f t="shared" ca="1" si="27"/>
        <v>14.8145106091718</v>
      </c>
      <c r="E815" s="33">
        <f t="shared" ca="1" si="28"/>
        <v>47396</v>
      </c>
      <c r="F815" s="47">
        <v>2.3335176361718521</v>
      </c>
    </row>
    <row r="816" spans="4:6" x14ac:dyDescent="0.2">
      <c r="D816" s="18">
        <f t="shared" ca="1" si="27"/>
        <v>14.833675564681725</v>
      </c>
      <c r="E816" s="33">
        <f t="shared" ca="1" si="28"/>
        <v>47403</v>
      </c>
      <c r="F816" s="47">
        <v>2.3347962547765264</v>
      </c>
    </row>
    <row r="817" spans="4:6" x14ac:dyDescent="0.2">
      <c r="D817" s="18">
        <f t="shared" ca="1" si="27"/>
        <v>14.85284052019165</v>
      </c>
      <c r="E817" s="33">
        <f t="shared" ca="1" si="28"/>
        <v>47410</v>
      </c>
      <c r="F817" s="47">
        <v>2.3360726021638167</v>
      </c>
    </row>
    <row r="818" spans="4:6" x14ac:dyDescent="0.2">
      <c r="D818" s="18">
        <f t="shared" ca="1" si="27"/>
        <v>14.872005475701574</v>
      </c>
      <c r="E818" s="33">
        <f t="shared" ca="1" si="28"/>
        <v>47417</v>
      </c>
      <c r="F818" s="47">
        <v>2.3373467232568066</v>
      </c>
    </row>
    <row r="819" spans="4:6" x14ac:dyDescent="0.2">
      <c r="D819" s="18">
        <f t="shared" ca="1" si="27"/>
        <v>14.891170431211499</v>
      </c>
      <c r="E819" s="33">
        <f t="shared" ca="1" si="28"/>
        <v>47424</v>
      </c>
      <c r="F819" s="47">
        <v>2.3386186630355357</v>
      </c>
    </row>
    <row r="820" spans="4:6" x14ac:dyDescent="0.2">
      <c r="D820" s="18">
        <f t="shared" ca="1" si="27"/>
        <v>14.910335386721425</v>
      </c>
      <c r="E820" s="33">
        <f t="shared" ca="1" si="28"/>
        <v>47431</v>
      </c>
      <c r="F820" s="47">
        <v>2.3398884664974893</v>
      </c>
    </row>
    <row r="821" spans="4:6" x14ac:dyDescent="0.2">
      <c r="D821" s="18">
        <f t="shared" ca="1" si="27"/>
        <v>14.929500342231348</v>
      </c>
      <c r="E821" s="33">
        <f t="shared" ca="1" si="28"/>
        <v>47438</v>
      </c>
      <c r="F821" s="47">
        <v>2.3411561786194812</v>
      </c>
    </row>
    <row r="822" spans="4:6" x14ac:dyDescent="0.2">
      <c r="D822" s="18">
        <f t="shared" ca="1" si="27"/>
        <v>14.948665297741274</v>
      </c>
      <c r="E822" s="33">
        <f t="shared" ca="1" si="28"/>
        <v>47445</v>
      </c>
      <c r="F822" s="47">
        <v>2.3424218443209406</v>
      </c>
    </row>
    <row r="823" spans="4:6" x14ac:dyDescent="0.2">
      <c r="D823" s="18">
        <f t="shared" ca="1" si="27"/>
        <v>14.967830253251197</v>
      </c>
      <c r="E823" s="33">
        <f t="shared" ca="1" si="28"/>
        <v>47452</v>
      </c>
      <c r="F823" s="47">
        <v>2.3436855084286168</v>
      </c>
    </row>
    <row r="824" spans="4:6" x14ac:dyDescent="0.2">
      <c r="D824" s="18">
        <f t="shared" ca="1" si="27"/>
        <v>14.986995208761122</v>
      </c>
      <c r="E824" s="33">
        <f t="shared" ca="1" si="28"/>
        <v>47459</v>
      </c>
      <c r="F824" s="47">
        <v>2.3449472156426752</v>
      </c>
    </row>
    <row r="825" spans="4:6" x14ac:dyDescent="0.2">
      <c r="D825" s="18">
        <f t="shared" ca="1" si="27"/>
        <v>15.006160164271048</v>
      </c>
      <c r="E825" s="33">
        <f t="shared" ca="1" si="28"/>
        <v>47466</v>
      </c>
      <c r="F825" s="47">
        <v>2.3462071699987681</v>
      </c>
    </row>
    <row r="826" spans="4:6" x14ac:dyDescent="0.2">
      <c r="D826" s="18">
        <f t="shared" ca="1" si="27"/>
        <v>15.025325119780971</v>
      </c>
      <c r="E826" s="33">
        <f t="shared" ca="1" si="28"/>
        <v>47473</v>
      </c>
      <c r="F826" s="47">
        <v>2.3474676154494341</v>
      </c>
    </row>
    <row r="827" spans="4:6" x14ac:dyDescent="0.2">
      <c r="D827" s="18">
        <f t="shared" ca="1" si="27"/>
        <v>15.044490075290897</v>
      </c>
      <c r="E827" s="33">
        <f t="shared" ca="1" si="28"/>
        <v>47480</v>
      </c>
      <c r="F827" s="47">
        <v>2.3487292511195581</v>
      </c>
    </row>
    <row r="828" spans="4:6" x14ac:dyDescent="0.2">
      <c r="D828" s="18">
        <f t="shared" ca="1" si="27"/>
        <v>15.063655030800822</v>
      </c>
      <c r="E828" s="33">
        <f t="shared" ca="1" si="28"/>
        <v>47487</v>
      </c>
      <c r="F828" s="47">
        <v>2.3499920602130122</v>
      </c>
    </row>
    <row r="829" spans="4:6" x14ac:dyDescent="0.2">
      <c r="D829" s="18">
        <f t="shared" ca="1" si="27"/>
        <v>15.082819986310746</v>
      </c>
      <c r="E829" s="33">
        <f t="shared" ca="1" si="28"/>
        <v>47494</v>
      </c>
      <c r="F829" s="47">
        <v>2.3512560254662467</v>
      </c>
    </row>
    <row r="830" spans="4:6" x14ac:dyDescent="0.2">
      <c r="D830" s="18">
        <f t="shared" ca="1" si="27"/>
        <v>15.101984941820671</v>
      </c>
      <c r="E830" s="33">
        <f t="shared" ca="1" si="28"/>
        <v>47501</v>
      </c>
      <c r="F830" s="47">
        <v>2.3525211291445154</v>
      </c>
    </row>
    <row r="831" spans="4:6" x14ac:dyDescent="0.2">
      <c r="D831" s="18">
        <f t="shared" ca="1" si="27"/>
        <v>15.121149897330595</v>
      </c>
      <c r="E831" s="33">
        <f t="shared" ca="1" si="28"/>
        <v>47508</v>
      </c>
      <c r="F831" s="47">
        <v>2.3537873530382396</v>
      </c>
    </row>
    <row r="832" spans="4:6" x14ac:dyDescent="0.2">
      <c r="D832" s="18">
        <f t="shared" ca="1" si="27"/>
        <v>15.14031485284052</v>
      </c>
      <c r="E832" s="33">
        <f t="shared" ca="1" si="28"/>
        <v>47515</v>
      </c>
      <c r="F832" s="47">
        <v>2.3550546784594997</v>
      </c>
    </row>
    <row r="833" spans="4:6" x14ac:dyDescent="0.2">
      <c r="D833" s="18">
        <f t="shared" ca="1" si="27"/>
        <v>15.159479808350445</v>
      </c>
      <c r="E833" s="33">
        <f t="shared" ca="1" si="28"/>
        <v>47522</v>
      </c>
      <c r="F833" s="47">
        <v>2.3563230862386622</v>
      </c>
    </row>
    <row r="834" spans="4:6" x14ac:dyDescent="0.2">
      <c r="D834" s="18">
        <f t="shared" ca="1" si="27"/>
        <v>15.178644763860369</v>
      </c>
      <c r="E834" s="33">
        <f t="shared" ca="1" si="28"/>
        <v>47529</v>
      </c>
      <c r="F834" s="47">
        <v>2.3575925567211513</v>
      </c>
    </row>
    <row r="835" spans="4:6" x14ac:dyDescent="0.2">
      <c r="D835" s="18">
        <f t="shared" ca="1" si="27"/>
        <v>15.197809719370294</v>
      </c>
      <c r="E835" s="33">
        <f t="shared" ca="1" si="28"/>
        <v>47536</v>
      </c>
      <c r="F835" s="47">
        <v>2.3588630697643711</v>
      </c>
    </row>
    <row r="836" spans="4:6" x14ac:dyDescent="0.2">
      <c r="D836" s="18">
        <f t="shared" ca="1" si="27"/>
        <v>15.21697467488022</v>
      </c>
      <c r="E836" s="33">
        <f t="shared" ca="1" si="28"/>
        <v>47543</v>
      </c>
      <c r="F836" s="47">
        <v>2.3601346047347826</v>
      </c>
    </row>
    <row r="837" spans="4:6" x14ac:dyDescent="0.2">
      <c r="D837" s="18">
        <f t="shared" ca="1" si="27"/>
        <v>15.236139630390143</v>
      </c>
      <c r="E837" s="33">
        <f t="shared" ca="1" si="28"/>
        <v>47550</v>
      </c>
      <c r="F837" s="47">
        <v>2.3614071405051451</v>
      </c>
    </row>
    <row r="838" spans="4:6" x14ac:dyDescent="0.2">
      <c r="D838" s="18">
        <f t="shared" ca="1" si="27"/>
        <v>15.255304585900069</v>
      </c>
      <c r="E838" s="33">
        <f t="shared" ca="1" si="28"/>
        <v>47557</v>
      </c>
      <c r="F838" s="47">
        <v>2.3626806554519142</v>
      </c>
    </row>
    <row r="839" spans="4:6" x14ac:dyDescent="0.2">
      <c r="D839" s="18">
        <f t="shared" ca="1" si="27"/>
        <v>15.274469541409994</v>
      </c>
      <c r="E839" s="33">
        <f t="shared" ca="1" si="28"/>
        <v>47564</v>
      </c>
      <c r="F839" s="47">
        <v>2.3639551274528285</v>
      </c>
    </row>
    <row r="840" spans="4:6" x14ac:dyDescent="0.2">
      <c r="D840" s="18">
        <f t="shared" ca="1" si="27"/>
        <v>15.293634496919918</v>
      </c>
      <c r="E840" s="33">
        <f t="shared" ca="1" si="28"/>
        <v>47571</v>
      </c>
      <c r="F840" s="47">
        <v>2.3652305338846609</v>
      </c>
    </row>
    <row r="841" spans="4:6" x14ac:dyDescent="0.2">
      <c r="D841" s="18">
        <f t="shared" ca="1" si="27"/>
        <v>15.312799452429843</v>
      </c>
      <c r="E841" s="33">
        <f t="shared" ca="1" si="28"/>
        <v>47578</v>
      </c>
      <c r="F841" s="47">
        <v>2.3665068516211658</v>
      </c>
    </row>
    <row r="842" spans="4:6" x14ac:dyDescent="0.2">
      <c r="D842" s="18">
        <f t="shared" ca="1" si="27"/>
        <v>15.331964407939767</v>
      </c>
      <c r="E842" s="33">
        <f t="shared" ca="1" si="28"/>
        <v>47585</v>
      </c>
      <c r="F842" s="47">
        <v>2.3677840570312125</v>
      </c>
    </row>
    <row r="843" spans="4:6" x14ac:dyDescent="0.2">
      <c r="D843" s="18">
        <f t="shared" ca="1" si="27"/>
        <v>15.351129363449692</v>
      </c>
      <c r="E843" s="33">
        <f t="shared" ca="1" si="28"/>
        <v>47592</v>
      </c>
      <c r="F843" s="47">
        <v>2.3690621259771181</v>
      </c>
    </row>
    <row r="844" spans="4:6" x14ac:dyDescent="0.2">
      <c r="D844" s="18">
        <f t="shared" ca="1" si="27"/>
        <v>15.370294318959617</v>
      </c>
      <c r="E844" s="33">
        <f t="shared" ca="1" si="28"/>
        <v>47599</v>
      </c>
      <c r="F844" s="47">
        <v>2.370341033813181</v>
      </c>
    </row>
    <row r="845" spans="4:6" x14ac:dyDescent="0.2">
      <c r="D845" s="18">
        <f t="shared" ca="1" si="27"/>
        <v>15.389459274469541</v>
      </c>
      <c r="E845" s="33">
        <f t="shared" ca="1" si="28"/>
        <v>47606</v>
      </c>
      <c r="F845" s="47">
        <v>2.3716207553844306</v>
      </c>
    </row>
    <row r="846" spans="4:6" x14ac:dyDescent="0.2">
      <c r="D846" s="18">
        <f t="shared" ca="1" si="27"/>
        <v>15.408624229979466</v>
      </c>
      <c r="E846" s="33">
        <f t="shared" ca="1" si="28"/>
        <v>47613</v>
      </c>
      <c r="F846" s="47">
        <v>2.3729012650255852</v>
      </c>
    </row>
    <row r="847" spans="4:6" x14ac:dyDescent="0.2">
      <c r="D847" s="18">
        <f t="shared" ca="1" si="27"/>
        <v>15.427789185489392</v>
      </c>
      <c r="E847" s="33">
        <f t="shared" ca="1" si="28"/>
        <v>47620</v>
      </c>
      <c r="F847" s="47">
        <v>2.3741825365602391</v>
      </c>
    </row>
    <row r="848" spans="4:6" x14ac:dyDescent="0.2">
      <c r="D848" s="18">
        <f t="shared" ca="1" si="27"/>
        <v>15.446954140999315</v>
      </c>
      <c r="E848" s="33">
        <f t="shared" ca="1" si="28"/>
        <v>47627</v>
      </c>
      <c r="F848" s="47">
        <v>2.3754645433002706</v>
      </c>
    </row>
    <row r="849" spans="4:6" x14ac:dyDescent="0.2">
      <c r="D849" s="18">
        <f t="shared" ca="1" si="27"/>
        <v>15.466119096509241</v>
      </c>
      <c r="E849" s="33">
        <f t="shared" ca="1" si="28"/>
        <v>47634</v>
      </c>
      <c r="F849" s="47">
        <v>2.3767472580454903</v>
      </c>
    </row>
    <row r="850" spans="4:6" x14ac:dyDescent="0.2">
      <c r="D850" s="18">
        <f t="shared" ca="1" si="27"/>
        <v>15.485284052019164</v>
      </c>
      <c r="E850" s="33">
        <f t="shared" ca="1" si="28"/>
        <v>47641</v>
      </c>
      <c r="F850" s="47">
        <v>2.378030653083524</v>
      </c>
    </row>
    <row r="851" spans="4:6" x14ac:dyDescent="0.2">
      <c r="D851" s="18">
        <f t="shared" ca="1" si="27"/>
        <v>15.504449007529089</v>
      </c>
      <c r="E851" s="33">
        <f t="shared" ca="1" si="28"/>
        <v>47648</v>
      </c>
      <c r="F851" s="47">
        <v>2.3793147001899473</v>
      </c>
    </row>
    <row r="852" spans="4:6" x14ac:dyDescent="0.2">
      <c r="D852" s="18">
        <f t="shared" ca="1" si="27"/>
        <v>15.523613963039015</v>
      </c>
      <c r="E852" s="33">
        <f t="shared" ca="1" si="28"/>
        <v>47655</v>
      </c>
      <c r="F852" s="47">
        <v>2.3805993706286657</v>
      </c>
    </row>
    <row r="853" spans="4:6" x14ac:dyDescent="0.2">
      <c r="D853" s="18">
        <f t="shared" ca="1" si="27"/>
        <v>15.542778918548938</v>
      </c>
      <c r="E853" s="33">
        <f t="shared" ca="1" si="28"/>
        <v>47662</v>
      </c>
      <c r="F853" s="47">
        <v>2.3818846351525567</v>
      </c>
    </row>
    <row r="854" spans="4:6" x14ac:dyDescent="0.2">
      <c r="D854" s="18">
        <f t="shared" ca="1" si="27"/>
        <v>15.561943874058864</v>
      </c>
      <c r="E854" s="33">
        <f t="shared" ca="1" si="28"/>
        <v>47669</v>
      </c>
      <c r="F854" s="47">
        <v>2.3831704640043743</v>
      </c>
    </row>
    <row r="855" spans="4:6" x14ac:dyDescent="0.2">
      <c r="D855" s="18">
        <f t="shared" ca="1" si="27"/>
        <v>15.581108829568789</v>
      </c>
      <c r="E855" s="33">
        <f t="shared" ca="1" si="28"/>
        <v>47676</v>
      </c>
      <c r="F855" s="47">
        <v>2.3844568269179214</v>
      </c>
    </row>
    <row r="856" spans="4:6" x14ac:dyDescent="0.2">
      <c r="D856" s="18">
        <f t="shared" ca="1" si="27"/>
        <v>15.600273785078713</v>
      </c>
      <c r="E856" s="33">
        <f t="shared" ca="1" si="28"/>
        <v>47683</v>
      </c>
      <c r="F856" s="47">
        <v>2.3857436931194949</v>
      </c>
    </row>
    <row r="857" spans="4:6" x14ac:dyDescent="0.2">
      <c r="D857" s="18">
        <f t="shared" ca="1" si="27"/>
        <v>15.619438740588638</v>
      </c>
      <c r="E857" s="33">
        <f t="shared" ca="1" si="28"/>
        <v>47690</v>
      </c>
      <c r="F857" s="47">
        <v>2.3870310313296179</v>
      </c>
    </row>
    <row r="858" spans="4:6" x14ac:dyDescent="0.2">
      <c r="D858" s="18">
        <f t="shared" ca="1" si="27"/>
        <v>15.638603696098563</v>
      </c>
      <c r="E858" s="33">
        <f t="shared" ca="1" si="28"/>
        <v>47697</v>
      </c>
      <c r="F858" s="47">
        <v>2.3883188097650456</v>
      </c>
    </row>
    <row r="859" spans="4:6" x14ac:dyDescent="0.2">
      <c r="D859" s="18">
        <f t="shared" ca="1" si="27"/>
        <v>15.657768651608487</v>
      </c>
      <c r="E859" s="33">
        <f t="shared" ca="1" si="28"/>
        <v>47704</v>
      </c>
      <c r="F859" s="47">
        <v>2.3896069961410737</v>
      </c>
    </row>
    <row r="860" spans="4:6" x14ac:dyDescent="0.2">
      <c r="D860" s="18">
        <f t="shared" ca="1" si="27"/>
        <v>15.676933607118412</v>
      </c>
      <c r="E860" s="33">
        <f t="shared" ca="1" si="28"/>
        <v>47711</v>
      </c>
      <c r="F860" s="47">
        <v>2.3908955576741344</v>
      </c>
    </row>
    <row r="861" spans="4:6" x14ac:dyDescent="0.2">
      <c r="D861" s="18">
        <f t="shared" ca="1" si="27"/>
        <v>15.696098562628336</v>
      </c>
      <c r="E861" s="33">
        <f t="shared" ca="1" si="28"/>
        <v>47718</v>
      </c>
      <c r="F861" s="47">
        <v>2.3921844610846903</v>
      </c>
    </row>
    <row r="862" spans="4:6" x14ac:dyDescent="0.2">
      <c r="D862" s="18">
        <f t="shared" ca="1" si="27"/>
        <v>15.715263518138261</v>
      </c>
      <c r="E862" s="33">
        <f t="shared" ca="1" si="28"/>
        <v>47725</v>
      </c>
      <c r="F862" s="47">
        <v>2.3934736726004497</v>
      </c>
    </row>
    <row r="863" spans="4:6" x14ac:dyDescent="0.2">
      <c r="D863" s="18">
        <f t="shared" ca="1" si="27"/>
        <v>15.734428473648187</v>
      </c>
      <c r="E863" s="33">
        <f t="shared" ca="1" si="28"/>
        <v>47732</v>
      </c>
      <c r="F863" s="47">
        <v>2.3947631579598667</v>
      </c>
    </row>
    <row r="864" spans="4:6" x14ac:dyDescent="0.2">
      <c r="D864" s="18">
        <f t="shared" ca="1" si="27"/>
        <v>15.75359342915811</v>
      </c>
      <c r="E864" s="33">
        <f t="shared" ca="1" si="28"/>
        <v>47739</v>
      </c>
      <c r="F864" s="47">
        <v>2.3960528824159759</v>
      </c>
    </row>
    <row r="865" spans="4:6" x14ac:dyDescent="0.2">
      <c r="D865" s="18">
        <f t="shared" ca="1" si="27"/>
        <v>15.772758384668036</v>
      </c>
      <c r="E865" s="33">
        <f t="shared" ca="1" si="28"/>
        <v>47746</v>
      </c>
      <c r="F865" s="47">
        <v>2.3973428107405392</v>
      </c>
    </row>
    <row r="866" spans="4:6" x14ac:dyDescent="0.2">
      <c r="D866" s="18">
        <f t="shared" ca="1" si="27"/>
        <v>15.791923340177961</v>
      </c>
      <c r="E866" s="33">
        <f t="shared" ca="1" si="28"/>
        <v>47753</v>
      </c>
      <c r="F866" s="47">
        <v>2.3986329072285089</v>
      </c>
    </row>
    <row r="867" spans="4:6" x14ac:dyDescent="0.2">
      <c r="D867" s="18">
        <f t="shared" ca="1" si="27"/>
        <v>15.811088295687885</v>
      </c>
      <c r="E867" s="33">
        <f t="shared" ca="1" si="28"/>
        <v>47760</v>
      </c>
      <c r="F867" s="47">
        <v>2.3999231357028274</v>
      </c>
    </row>
    <row r="868" spans="4:6" x14ac:dyDescent="0.2">
      <c r="D868" s="18">
        <f t="shared" ca="1" si="27"/>
        <v>15.83025325119781</v>
      </c>
      <c r="E868" s="33">
        <f t="shared" ca="1" si="28"/>
        <v>47767</v>
      </c>
      <c r="F868" s="47">
        <v>2.4012134595195493</v>
      </c>
    </row>
    <row r="869" spans="4:6" x14ac:dyDescent="0.2">
      <c r="D869" s="18">
        <f t="shared" ca="1" si="27"/>
        <v>15.849418206707734</v>
      </c>
      <c r="E869" s="33">
        <f t="shared" ca="1" si="28"/>
        <v>47774</v>
      </c>
      <c r="F869" s="47">
        <v>2.4025038415733002</v>
      </c>
    </row>
    <row r="870" spans="4:6" x14ac:dyDescent="0.2">
      <c r="D870" s="18">
        <f t="shared" ca="1" si="27"/>
        <v>15.868583162217659</v>
      </c>
      <c r="E870" s="33">
        <f t="shared" ca="1" si="28"/>
        <v>47781</v>
      </c>
      <c r="F870" s="47">
        <v>2.4037942443030698</v>
      </c>
    </row>
    <row r="871" spans="4:6" x14ac:dyDescent="0.2">
      <c r="D871" s="18">
        <f t="shared" ca="1" si="27"/>
        <v>15.887748117727584</v>
      </c>
      <c r="E871" s="33">
        <f t="shared" ca="1" si="28"/>
        <v>47788</v>
      </c>
      <c r="F871" s="47">
        <v>2.4050846296983455</v>
      </c>
    </row>
    <row r="872" spans="4:6" x14ac:dyDescent="0.2">
      <c r="D872" s="18">
        <f t="shared" ca="1" si="27"/>
        <v>15.906913073237508</v>
      </c>
      <c r="E872" s="33">
        <f t="shared" ca="1" si="28"/>
        <v>47795</v>
      </c>
      <c r="F872" s="47">
        <v>2.4063749593055905</v>
      </c>
    </row>
    <row r="873" spans="4:6" x14ac:dyDescent="0.2">
      <c r="D873" s="18">
        <f t="shared" ca="1" si="27"/>
        <v>15.926078028747433</v>
      </c>
      <c r="E873" s="33">
        <f t="shared" ca="1" si="28"/>
        <v>47802</v>
      </c>
      <c r="F873" s="47">
        <v>2.4076651942350602</v>
      </c>
    </row>
    <row r="874" spans="4:6" x14ac:dyDescent="0.2">
      <c r="D874" s="18">
        <f t="shared" ref="D874:D937" ca="1" si="29">(E874-$E$42)/365.25</f>
        <v>15.945242984257359</v>
      </c>
      <c r="E874" s="33">
        <f t="shared" ca="1" si="28"/>
        <v>47809</v>
      </c>
      <c r="F874" s="47">
        <v>2.4089552951679756</v>
      </c>
    </row>
    <row r="875" spans="4:6" x14ac:dyDescent="0.2">
      <c r="D875" s="18">
        <f t="shared" ca="1" si="29"/>
        <v>15.964407939767282</v>
      </c>
      <c r="E875" s="33">
        <f t="shared" ref="E875:E938" ca="1" si="30">E874+7</f>
        <v>47816</v>
      </c>
      <c r="F875" s="47">
        <v>2.4102452223640269</v>
      </c>
    </row>
    <row r="876" spans="4:6" x14ac:dyDescent="0.2">
      <c r="D876" s="18">
        <f t="shared" ca="1" si="29"/>
        <v>15.983572895277208</v>
      </c>
      <c r="E876" s="33">
        <f t="shared" ca="1" si="30"/>
        <v>47823</v>
      </c>
      <c r="F876" s="47">
        <v>2.4115349356692524</v>
      </c>
    </row>
    <row r="877" spans="4:6" x14ac:dyDescent="0.2">
      <c r="D877" s="18">
        <f t="shared" ca="1" si="29"/>
        <v>16.002737850787131</v>
      </c>
      <c r="E877" s="33">
        <f t="shared" ca="1" si="30"/>
        <v>47830</v>
      </c>
      <c r="F877" s="47">
        <v>2.4128243945242436</v>
      </c>
    </row>
    <row r="878" spans="4:6" x14ac:dyDescent="0.2">
      <c r="D878" s="18">
        <f t="shared" ca="1" si="29"/>
        <v>16.021902806297057</v>
      </c>
      <c r="E878" s="33">
        <f t="shared" ca="1" si="30"/>
        <v>47837</v>
      </c>
      <c r="F878" s="47">
        <v>2.4141135579727169</v>
      </c>
    </row>
    <row r="879" spans="4:6" x14ac:dyDescent="0.2">
      <c r="D879" s="18">
        <f t="shared" ca="1" si="29"/>
        <v>16.041067761806982</v>
      </c>
      <c r="E879" s="33">
        <f t="shared" ca="1" si="30"/>
        <v>47844</v>
      </c>
      <c r="F879" s="47">
        <v>2.415402384670438</v>
      </c>
    </row>
    <row r="880" spans="4:6" x14ac:dyDescent="0.2">
      <c r="D880" s="18">
        <f t="shared" ca="1" si="29"/>
        <v>16.060232717316907</v>
      </c>
      <c r="E880" s="33">
        <f t="shared" ca="1" si="30"/>
        <v>47851</v>
      </c>
      <c r="F880" s="47">
        <v>2.4166908328944867</v>
      </c>
    </row>
    <row r="881" spans="4:6" x14ac:dyDescent="0.2">
      <c r="D881" s="18">
        <f t="shared" ca="1" si="29"/>
        <v>16.079397672826833</v>
      </c>
      <c r="E881" s="33">
        <f t="shared" ca="1" si="30"/>
        <v>47858</v>
      </c>
      <c r="F881" s="47">
        <v>2.4179788605528936</v>
      </c>
    </row>
    <row r="882" spans="4:6" x14ac:dyDescent="0.2">
      <c r="D882" s="18">
        <f t="shared" ca="1" si="29"/>
        <v>16.098562628336754</v>
      </c>
      <c r="E882" s="33">
        <f t="shared" ca="1" si="30"/>
        <v>47865</v>
      </c>
      <c r="F882" s="47">
        <v>2.4192664251946101</v>
      </c>
    </row>
    <row r="883" spans="4:6" x14ac:dyDescent="0.2">
      <c r="D883" s="18">
        <f t="shared" ca="1" si="29"/>
        <v>16.11772758384668</v>
      </c>
      <c r="E883" s="33">
        <f t="shared" ca="1" si="30"/>
        <v>47872</v>
      </c>
      <c r="F883" s="47">
        <v>2.4205534840198428</v>
      </c>
    </row>
    <row r="884" spans="4:6" x14ac:dyDescent="0.2">
      <c r="D884" s="18">
        <f t="shared" ca="1" si="29"/>
        <v>16.136892539356605</v>
      </c>
      <c r="E884" s="33">
        <f t="shared" ca="1" si="30"/>
        <v>47879</v>
      </c>
      <c r="F884" s="47">
        <v>2.4218399938907287</v>
      </c>
    </row>
    <row r="885" spans="4:6" x14ac:dyDescent="0.2">
      <c r="D885" s="18">
        <f t="shared" ca="1" si="29"/>
        <v>16.156057494866531</v>
      </c>
      <c r="E885" s="33">
        <f t="shared" ca="1" si="30"/>
        <v>47886</v>
      </c>
      <c r="F885" s="47">
        <v>2.423125911342372</v>
      </c>
    </row>
    <row r="886" spans="4:6" x14ac:dyDescent="0.2">
      <c r="D886" s="18">
        <f t="shared" ca="1" si="29"/>
        <v>16.175222450376456</v>
      </c>
      <c r="E886" s="33">
        <f t="shared" ca="1" si="30"/>
        <v>47893</v>
      </c>
      <c r="F886" s="47">
        <v>2.4244111925942109</v>
      </c>
    </row>
    <row r="887" spans="4:6" x14ac:dyDescent="0.2">
      <c r="D887" s="18">
        <f t="shared" ca="1" si="29"/>
        <v>16.194387405886378</v>
      </c>
      <c r="E887" s="33">
        <f t="shared" ca="1" si="30"/>
        <v>47900</v>
      </c>
      <c r="F887" s="47">
        <v>2.4256957935617427</v>
      </c>
    </row>
    <row r="888" spans="4:6" x14ac:dyDescent="0.2">
      <c r="D888" s="18">
        <f t="shared" ca="1" si="29"/>
        <v>16.213552361396303</v>
      </c>
      <c r="E888" s="33">
        <f t="shared" ca="1" si="30"/>
        <v>47907</v>
      </c>
      <c r="F888" s="47">
        <v>2.4269796698685848</v>
      </c>
    </row>
    <row r="889" spans="4:6" x14ac:dyDescent="0.2">
      <c r="D889" s="18">
        <f t="shared" ca="1" si="29"/>
        <v>16.232717316906228</v>
      </c>
      <c r="E889" s="33">
        <f t="shared" ca="1" si="30"/>
        <v>47914</v>
      </c>
      <c r="F889" s="47">
        <v>2.4282627768588716</v>
      </c>
    </row>
    <row r="890" spans="4:6" x14ac:dyDescent="0.2">
      <c r="D890" s="18">
        <f t="shared" ca="1" si="29"/>
        <v>16.251882272416154</v>
      </c>
      <c r="E890" s="33">
        <f t="shared" ca="1" si="30"/>
        <v>47921</v>
      </c>
      <c r="F890" s="47">
        <v>2.4295450696099943</v>
      </c>
    </row>
    <row r="891" spans="4:6" x14ac:dyDescent="0.2">
      <c r="D891" s="18">
        <f t="shared" ca="1" si="29"/>
        <v>16.271047227926079</v>
      </c>
      <c r="E891" s="33">
        <f t="shared" ca="1" si="30"/>
        <v>47928</v>
      </c>
      <c r="F891" s="47">
        <v>2.4308265029456608</v>
      </c>
    </row>
    <row r="892" spans="4:6" x14ac:dyDescent="0.2">
      <c r="D892" s="18">
        <f t="shared" ca="1" si="29"/>
        <v>16.290212183436001</v>
      </c>
      <c r="E892" s="33">
        <f t="shared" ca="1" si="30"/>
        <v>47935</v>
      </c>
      <c r="F892" s="47">
        <v>2.4321070314492954</v>
      </c>
    </row>
    <row r="893" spans="4:6" x14ac:dyDescent="0.2">
      <c r="D893" s="18">
        <f t="shared" ca="1" si="29"/>
        <v>16.309377138945926</v>
      </c>
      <c r="E893" s="33">
        <f t="shared" ca="1" si="30"/>
        <v>47942</v>
      </c>
      <c r="F893" s="47">
        <v>2.4333866094777465</v>
      </c>
    </row>
    <row r="894" spans="4:6" x14ac:dyDescent="0.2">
      <c r="D894" s="18">
        <f t="shared" ca="1" si="29"/>
        <v>16.328542094455852</v>
      </c>
      <c r="E894" s="33">
        <f t="shared" ca="1" si="30"/>
        <v>47949</v>
      </c>
      <c r="F894" s="47">
        <v>2.4346651911753248</v>
      </c>
    </row>
    <row r="895" spans="4:6" x14ac:dyDescent="0.2">
      <c r="D895" s="18">
        <f t="shared" ca="1" si="29"/>
        <v>16.347707049965777</v>
      </c>
      <c r="E895" s="33">
        <f t="shared" ca="1" si="30"/>
        <v>47956</v>
      </c>
      <c r="F895" s="47">
        <v>2.4359427304881391</v>
      </c>
    </row>
    <row r="896" spans="4:6" x14ac:dyDescent="0.2">
      <c r="D896" s="18">
        <f t="shared" ca="1" si="29"/>
        <v>16.366872005475702</v>
      </c>
      <c r="E896" s="33">
        <f t="shared" ca="1" si="30"/>
        <v>47963</v>
      </c>
      <c r="F896" s="47">
        <v>2.4372191811787483</v>
      </c>
    </row>
    <row r="897" spans="4:6" x14ac:dyDescent="0.2">
      <c r="D897" s="18">
        <f t="shared" ca="1" si="29"/>
        <v>16.386036960985628</v>
      </c>
      <c r="E897" s="33">
        <f t="shared" ca="1" si="30"/>
        <v>47970</v>
      </c>
      <c r="F897" s="47">
        <v>2.4384944968411055</v>
      </c>
    </row>
    <row r="898" spans="4:6" x14ac:dyDescent="0.2">
      <c r="D898" s="18">
        <f t="shared" ca="1" si="29"/>
        <v>16.40520191649555</v>
      </c>
      <c r="E898" s="33">
        <f t="shared" ca="1" si="30"/>
        <v>47977</v>
      </c>
      <c r="F898" s="47">
        <v>2.439768630915796</v>
      </c>
    </row>
    <row r="899" spans="4:6" x14ac:dyDescent="0.2">
      <c r="D899" s="18">
        <f t="shared" ca="1" si="29"/>
        <v>16.424366872005475</v>
      </c>
      <c r="E899" s="33">
        <f t="shared" ca="1" si="30"/>
        <v>47984</v>
      </c>
      <c r="F899" s="47">
        <v>2.4410415367055602</v>
      </c>
    </row>
    <row r="900" spans="4:6" x14ac:dyDescent="0.2">
      <c r="D900" s="18">
        <f t="shared" ca="1" si="29"/>
        <v>16.4435318275154</v>
      </c>
      <c r="E900" s="33">
        <f t="shared" ca="1" si="30"/>
        <v>47991</v>
      </c>
      <c r="F900" s="47">
        <v>2.4423131673910903</v>
      </c>
    </row>
    <row r="901" spans="4:6" x14ac:dyDescent="0.2">
      <c r="D901" s="18">
        <f t="shared" ca="1" si="29"/>
        <v>16.462696783025326</v>
      </c>
      <c r="E901" s="33">
        <f t="shared" ca="1" si="30"/>
        <v>47998</v>
      </c>
      <c r="F901" s="47">
        <v>2.4435834760470985</v>
      </c>
    </row>
    <row r="902" spans="4:6" x14ac:dyDescent="0.2">
      <c r="D902" s="18">
        <f t="shared" ca="1" si="29"/>
        <v>16.481861738535251</v>
      </c>
      <c r="E902" s="33">
        <f t="shared" ca="1" si="30"/>
        <v>48005</v>
      </c>
      <c r="F902" s="47">
        <v>2.4448524156586449</v>
      </c>
    </row>
    <row r="903" spans="4:6" x14ac:dyDescent="0.2">
      <c r="D903" s="18">
        <f t="shared" ca="1" si="29"/>
        <v>16.501026694045173</v>
      </c>
      <c r="E903" s="33">
        <f t="shared" ca="1" si="30"/>
        <v>48012</v>
      </c>
      <c r="F903" s="47">
        <v>2.4461199391377146</v>
      </c>
    </row>
    <row r="904" spans="4:6" x14ac:dyDescent="0.2">
      <c r="D904" s="18">
        <f t="shared" ca="1" si="29"/>
        <v>16.520191649555098</v>
      </c>
      <c r="E904" s="33">
        <f t="shared" ca="1" si="30"/>
        <v>48019</v>
      </c>
      <c r="F904" s="47">
        <v>2.4473859993400375</v>
      </c>
    </row>
    <row r="905" spans="4:6" x14ac:dyDescent="0.2">
      <c r="D905" s="18">
        <f t="shared" ca="1" si="29"/>
        <v>16.539356605065024</v>
      </c>
      <c r="E905" s="33">
        <f t="shared" ca="1" si="30"/>
        <v>48026</v>
      </c>
      <c r="F905" s="47">
        <v>2.4486505490821382</v>
      </c>
    </row>
    <row r="906" spans="4:6" x14ac:dyDescent="0.2">
      <c r="D906" s="18">
        <f t="shared" ca="1" si="29"/>
        <v>16.558521560574949</v>
      </c>
      <c r="E906" s="33">
        <f t="shared" ca="1" si="30"/>
        <v>48033</v>
      </c>
      <c r="F906" s="47">
        <v>2.449913541158609</v>
      </c>
    </row>
    <row r="907" spans="4:6" x14ac:dyDescent="0.2">
      <c r="D907" s="18">
        <f t="shared" ca="1" si="29"/>
        <v>16.577686516084874</v>
      </c>
      <c r="E907" s="33">
        <f t="shared" ca="1" si="30"/>
        <v>48040</v>
      </c>
      <c r="F907" s="47">
        <v>2.4511749283595963</v>
      </c>
    </row>
    <row r="908" spans="4:6" x14ac:dyDescent="0.2">
      <c r="D908" s="18">
        <f t="shared" ca="1" si="29"/>
        <v>16.5968514715948</v>
      </c>
      <c r="E908" s="33">
        <f t="shared" ca="1" si="30"/>
        <v>48047</v>
      </c>
      <c r="F908" s="47">
        <v>2.4524346634884795</v>
      </c>
    </row>
    <row r="909" spans="4:6" x14ac:dyDescent="0.2">
      <c r="D909" s="18">
        <f t="shared" ca="1" si="29"/>
        <v>16.616016427104721</v>
      </c>
      <c r="E909" s="33">
        <f t="shared" ca="1" si="30"/>
        <v>48054</v>
      </c>
      <c r="F909" s="47">
        <v>2.4536926993797459</v>
      </c>
    </row>
    <row r="910" spans="4:6" x14ac:dyDescent="0.2">
      <c r="D910" s="18">
        <f t="shared" ca="1" si="29"/>
        <v>16.635181382614647</v>
      </c>
      <c r="E910" s="33">
        <f t="shared" ca="1" si="30"/>
        <v>48061</v>
      </c>
      <c r="F910" s="47">
        <v>2.4549489889170388</v>
      </c>
    </row>
    <row r="911" spans="4:6" x14ac:dyDescent="0.2">
      <c r="D911" s="18">
        <f t="shared" ca="1" si="29"/>
        <v>16.654346338124572</v>
      </c>
      <c r="E911" s="33">
        <f t="shared" ca="1" si="30"/>
        <v>48068</v>
      </c>
      <c r="F911" s="47">
        <v>2.4562034850513714</v>
      </c>
    </row>
    <row r="912" spans="4:6" x14ac:dyDescent="0.2">
      <c r="D912" s="18">
        <f t="shared" ca="1" si="29"/>
        <v>16.673511293634498</v>
      </c>
      <c r="E912" s="33">
        <f t="shared" ca="1" si="30"/>
        <v>48075</v>
      </c>
      <c r="F912" s="47">
        <v>2.4574561408194926</v>
      </c>
    </row>
    <row r="913" spans="4:6" x14ac:dyDescent="0.2">
      <c r="D913" s="18">
        <f t="shared" ca="1" si="29"/>
        <v>16.692676249144423</v>
      </c>
      <c r="E913" s="33">
        <f t="shared" ca="1" si="30"/>
        <v>48082</v>
      </c>
      <c r="F913" s="47">
        <v>2.4587069093623919</v>
      </c>
    </row>
    <row r="914" spans="4:6" x14ac:dyDescent="0.2">
      <c r="D914" s="18">
        <f t="shared" ca="1" si="29"/>
        <v>16.711841204654345</v>
      </c>
      <c r="E914" s="33">
        <f t="shared" ca="1" si="30"/>
        <v>48089</v>
      </c>
      <c r="F914" s="47">
        <v>2.459955743943933</v>
      </c>
    </row>
    <row r="915" spans="4:6" x14ac:dyDescent="0.2">
      <c r="D915" s="18">
        <f t="shared" ca="1" si="29"/>
        <v>16.73100616016427</v>
      </c>
      <c r="E915" s="33">
        <f t="shared" ca="1" si="30"/>
        <v>48096</v>
      </c>
      <c r="F915" s="47">
        <v>2.4612025979695962</v>
      </c>
    </row>
    <row r="916" spans="4:6" x14ac:dyDescent="0.2">
      <c r="D916" s="18">
        <f t="shared" ca="1" si="29"/>
        <v>16.750171115674195</v>
      </c>
      <c r="E916" s="33">
        <f t="shared" ca="1" si="30"/>
        <v>48103</v>
      </c>
      <c r="F916" s="47">
        <v>2.4624474250053279</v>
      </c>
    </row>
    <row r="917" spans="4:6" x14ac:dyDescent="0.2">
      <c r="D917" s="18">
        <f t="shared" ca="1" si="29"/>
        <v>16.769336071184121</v>
      </c>
      <c r="E917" s="33">
        <f t="shared" ca="1" si="30"/>
        <v>48110</v>
      </c>
      <c r="F917" s="47">
        <v>2.4636901787964645</v>
      </c>
    </row>
    <row r="918" spans="4:6" x14ac:dyDescent="0.2">
      <c r="D918" s="18">
        <f t="shared" ca="1" si="29"/>
        <v>16.788501026694046</v>
      </c>
      <c r="E918" s="33">
        <f t="shared" ca="1" si="30"/>
        <v>48117</v>
      </c>
      <c r="F918" s="47">
        <v>2.464930813286736</v>
      </c>
    </row>
    <row r="919" spans="4:6" x14ac:dyDescent="0.2">
      <c r="D919" s="18">
        <f t="shared" ca="1" si="29"/>
        <v>16.807665982203972</v>
      </c>
      <c r="E919" s="33">
        <f t="shared" ca="1" si="30"/>
        <v>48124</v>
      </c>
      <c r="F919" s="47">
        <v>2.4661692826373298</v>
      </c>
    </row>
    <row r="920" spans="4:6" x14ac:dyDescent="0.2">
      <c r="D920" s="18">
        <f t="shared" ca="1" si="29"/>
        <v>16.826830937713893</v>
      </c>
      <c r="E920" s="33">
        <f t="shared" ca="1" si="30"/>
        <v>48131</v>
      </c>
      <c r="F920" s="47">
        <v>2.4674055412459772</v>
      </c>
    </row>
    <row r="921" spans="4:6" x14ac:dyDescent="0.2">
      <c r="D921" s="18">
        <f t="shared" ca="1" si="29"/>
        <v>16.845995893223819</v>
      </c>
      <c r="E921" s="33">
        <f t="shared" ca="1" si="30"/>
        <v>48138</v>
      </c>
      <c r="F921" s="47">
        <v>2.4686395437660962</v>
      </c>
    </row>
    <row r="922" spans="4:6" x14ac:dyDescent="0.2">
      <c r="D922" s="18">
        <f t="shared" ca="1" si="29"/>
        <v>16.865160848733744</v>
      </c>
      <c r="E922" s="33">
        <f t="shared" ca="1" si="30"/>
        <v>48145</v>
      </c>
      <c r="F922" s="47">
        <v>2.4698712451259186</v>
      </c>
    </row>
    <row r="923" spans="4:6" x14ac:dyDescent="0.2">
      <c r="D923" s="18">
        <f t="shared" ca="1" si="29"/>
        <v>16.884325804243669</v>
      </c>
      <c r="E923" s="33">
        <f t="shared" ca="1" si="30"/>
        <v>48152</v>
      </c>
      <c r="F923" s="47">
        <v>2.4711006005476279</v>
      </c>
    </row>
    <row r="924" spans="4:6" x14ac:dyDescent="0.2">
      <c r="D924" s="18">
        <f t="shared" ca="1" si="29"/>
        <v>16.903490759753595</v>
      </c>
      <c r="E924" s="33">
        <f t="shared" ca="1" si="30"/>
        <v>48159</v>
      </c>
      <c r="F924" s="47">
        <v>2.472327565566482</v>
      </c>
    </row>
    <row r="925" spans="4:6" x14ac:dyDescent="0.2">
      <c r="D925" s="18">
        <f t="shared" ca="1" si="29"/>
        <v>16.922655715263517</v>
      </c>
      <c r="E925" s="33">
        <f t="shared" ca="1" si="30"/>
        <v>48166</v>
      </c>
      <c r="F925" s="47">
        <v>2.4735520960498878</v>
      </c>
    </row>
    <row r="926" spans="4:6" x14ac:dyDescent="0.2">
      <c r="D926" s="18">
        <f t="shared" ca="1" si="29"/>
        <v>16.941820670773442</v>
      </c>
      <c r="E926" s="33">
        <f t="shared" ca="1" si="30"/>
        <v>48173</v>
      </c>
      <c r="F926" s="47">
        <v>2.474774148216436</v>
      </c>
    </row>
    <row r="927" spans="4:6" x14ac:dyDescent="0.2">
      <c r="D927" s="18">
        <f t="shared" ca="1" si="29"/>
        <v>16.960985626283367</v>
      </c>
      <c r="E927" s="33">
        <f t="shared" ca="1" si="30"/>
        <v>48180</v>
      </c>
      <c r="F927" s="47">
        <v>2.4759936786548682</v>
      </c>
    </row>
    <row r="928" spans="4:6" x14ac:dyDescent="0.2">
      <c r="D928" s="18">
        <f t="shared" ca="1" si="29"/>
        <v>16.980150581793293</v>
      </c>
      <c r="E928" s="33">
        <f t="shared" ca="1" si="30"/>
        <v>48187</v>
      </c>
      <c r="F928" s="47">
        <v>2.4772106443429576</v>
      </c>
    </row>
    <row r="929" spans="4:6" x14ac:dyDescent="0.2">
      <c r="D929" s="18">
        <f t="shared" ca="1" si="29"/>
        <v>16.999315537303218</v>
      </c>
      <c r="E929" s="33">
        <f t="shared" ca="1" si="30"/>
        <v>48194</v>
      </c>
      <c r="F929" s="47">
        <v>2.4784250026662966</v>
      </c>
    </row>
    <row r="930" spans="4:6" x14ac:dyDescent="0.2">
      <c r="D930" s="18">
        <f t="shared" ca="1" si="29"/>
        <v>17.018480492813143</v>
      </c>
      <c r="E930" s="33">
        <f t="shared" ca="1" si="30"/>
        <v>48201</v>
      </c>
      <c r="F930" s="47">
        <v>2.4796367114369682</v>
      </c>
    </row>
    <row r="931" spans="4:6" x14ac:dyDescent="0.2">
      <c r="D931" s="18">
        <f t="shared" ca="1" si="29"/>
        <v>17.037645448323065</v>
      </c>
      <c r="E931" s="33">
        <f t="shared" ca="1" si="30"/>
        <v>48208</v>
      </c>
      <c r="F931" s="47">
        <v>2.4808457289120867</v>
      </c>
    </row>
    <row r="932" spans="4:6" x14ac:dyDescent="0.2">
      <c r="D932" s="18">
        <f t="shared" ca="1" si="29"/>
        <v>17.056810403832991</v>
      </c>
      <c r="E932" s="33">
        <f t="shared" ca="1" si="30"/>
        <v>48215</v>
      </c>
      <c r="F932" s="47">
        <v>2.4820520138121935</v>
      </c>
    </row>
    <row r="933" spans="4:6" x14ac:dyDescent="0.2">
      <c r="D933" s="18">
        <f t="shared" ca="1" si="29"/>
        <v>17.075975359342916</v>
      </c>
      <c r="E933" s="33">
        <f t="shared" ca="1" si="30"/>
        <v>48222</v>
      </c>
      <c r="F933" s="47">
        <v>2.4832555253394921</v>
      </c>
    </row>
    <row r="934" spans="4:6" x14ac:dyDescent="0.2">
      <c r="D934" s="18">
        <f t="shared" ca="1" si="29"/>
        <v>17.095140314852841</v>
      </c>
      <c r="E934" s="33">
        <f t="shared" ca="1" si="30"/>
        <v>48229</v>
      </c>
      <c r="F934" s="47">
        <v>2.484456223195898</v>
      </c>
    </row>
    <row r="935" spans="4:6" x14ac:dyDescent="0.2">
      <c r="D935" s="18">
        <f t="shared" ca="1" si="29"/>
        <v>17.114305270362767</v>
      </c>
      <c r="E935" s="33">
        <f t="shared" ca="1" si="30"/>
        <v>48236</v>
      </c>
      <c r="F935" s="47">
        <v>2.4856540676009038</v>
      </c>
    </row>
    <row r="936" spans="4:6" x14ac:dyDescent="0.2">
      <c r="D936" s="18">
        <f t="shared" ca="1" si="29"/>
        <v>17.133470225872689</v>
      </c>
      <c r="E936" s="33">
        <f t="shared" ca="1" si="30"/>
        <v>48243</v>
      </c>
      <c r="F936" s="47">
        <v>2.4868490193092341</v>
      </c>
    </row>
    <row r="937" spans="4:6" x14ac:dyDescent="0.2">
      <c r="D937" s="18">
        <f t="shared" ca="1" si="29"/>
        <v>17.152635181382614</v>
      </c>
      <c r="E937" s="33">
        <f t="shared" ca="1" si="30"/>
        <v>48250</v>
      </c>
      <c r="F937" s="47">
        <v>2.488041039628262</v>
      </c>
    </row>
    <row r="938" spans="4:6" x14ac:dyDescent="0.2">
      <c r="D938" s="18">
        <f t="shared" ref="D938:D1001" ca="1" si="31">(E938-$E$42)/365.25</f>
        <v>17.171800136892539</v>
      </c>
      <c r="E938" s="33">
        <f t="shared" ca="1" si="30"/>
        <v>48257</v>
      </c>
      <c r="F938" s="47">
        <v>2.489230090435202</v>
      </c>
    </row>
    <row r="939" spans="4:6" x14ac:dyDescent="0.2">
      <c r="D939" s="18">
        <f t="shared" ca="1" si="31"/>
        <v>17.190965092402465</v>
      </c>
      <c r="E939" s="33">
        <f t="shared" ref="E939:E1002" ca="1" si="32">E938+7</f>
        <v>48264</v>
      </c>
      <c r="F939" s="47">
        <v>2.4904161341940338</v>
      </c>
    </row>
    <row r="940" spans="4:6" x14ac:dyDescent="0.2">
      <c r="D940" s="18">
        <f t="shared" ca="1" si="31"/>
        <v>17.21013004791239</v>
      </c>
      <c r="E940" s="33">
        <f t="shared" ca="1" si="32"/>
        <v>48271</v>
      </c>
      <c r="F940" s="47">
        <v>2.4915991339721648</v>
      </c>
    </row>
    <row r="941" spans="4:6" x14ac:dyDescent="0.2">
      <c r="D941" s="18">
        <f t="shared" ca="1" si="31"/>
        <v>17.229295003422312</v>
      </c>
      <c r="E941" s="33">
        <f t="shared" ca="1" si="32"/>
        <v>48278</v>
      </c>
      <c r="F941" s="47">
        <v>2.4927790534567951</v>
      </c>
    </row>
    <row r="942" spans="4:6" x14ac:dyDescent="0.2">
      <c r="D942" s="18">
        <f t="shared" ca="1" si="31"/>
        <v>17.248459958932237</v>
      </c>
      <c r="E942" s="33">
        <f t="shared" ca="1" si="32"/>
        <v>48285</v>
      </c>
      <c r="F942" s="47">
        <v>2.4939558569709885</v>
      </c>
    </row>
    <row r="943" spans="4:6" x14ac:dyDescent="0.2">
      <c r="D943" s="18">
        <f t="shared" ca="1" si="31"/>
        <v>17.267624914442163</v>
      </c>
      <c r="E943" s="33">
        <f t="shared" ca="1" si="32"/>
        <v>48292</v>
      </c>
      <c r="F943" s="47">
        <v>2.495129509489431</v>
      </c>
    </row>
    <row r="944" spans="4:6" x14ac:dyDescent="0.2">
      <c r="D944" s="18">
        <f t="shared" ca="1" si="31"/>
        <v>17.286789869952088</v>
      </c>
      <c r="E944" s="33">
        <f t="shared" ca="1" si="32"/>
        <v>48299</v>
      </c>
      <c r="F944" s="47">
        <v>2.4962999766538476</v>
      </c>
    </row>
    <row r="945" spans="4:6" x14ac:dyDescent="0.2">
      <c r="D945" s="18">
        <f t="shared" ca="1" si="31"/>
        <v>17.305954825462013</v>
      </c>
      <c r="E945" s="33">
        <f t="shared" ca="1" si="32"/>
        <v>48306</v>
      </c>
      <c r="F945" s="47">
        <v>2.4974672247880889</v>
      </c>
    </row>
    <row r="946" spans="4:6" x14ac:dyDescent="0.2">
      <c r="D946" s="18">
        <f t="shared" ca="1" si="31"/>
        <v>17.325119780971939</v>
      </c>
      <c r="E946" s="33">
        <f t="shared" ca="1" si="32"/>
        <v>48313</v>
      </c>
      <c r="F946" s="47">
        <v>2.4986312209128489</v>
      </c>
    </row>
    <row r="947" spans="4:6" x14ac:dyDescent="0.2">
      <c r="D947" s="18">
        <f t="shared" ca="1" si="31"/>
        <v>17.34428473648186</v>
      </c>
      <c r="E947" s="33">
        <f t="shared" ca="1" si="32"/>
        <v>48320</v>
      </c>
      <c r="F947" s="47">
        <v>2.4997919327600227</v>
      </c>
    </row>
    <row r="948" spans="4:6" x14ac:dyDescent="0.2">
      <c r="D948" s="18">
        <f t="shared" ca="1" si="31"/>
        <v>17.363449691991786</v>
      </c>
      <c r="E948" s="33">
        <f t="shared" ca="1" si="32"/>
        <v>48327</v>
      </c>
      <c r="F948" s="47">
        <v>2.500949328786672</v>
      </c>
    </row>
    <row r="949" spans="4:6" x14ac:dyDescent="0.2">
      <c r="D949" s="18">
        <f t="shared" ca="1" si="31"/>
        <v>17.382614647501711</v>
      </c>
      <c r="E949" s="33">
        <f t="shared" ca="1" si="32"/>
        <v>48334</v>
      </c>
      <c r="F949" s="47">
        <v>2.5021033781885977</v>
      </c>
    </row>
    <row r="950" spans="4:6" x14ac:dyDescent="0.2">
      <c r="D950" s="18">
        <f t="shared" ca="1" si="31"/>
        <v>17.401779603011637</v>
      </c>
      <c r="E950" s="33">
        <f t="shared" ca="1" si="32"/>
        <v>48341</v>
      </c>
      <c r="F950" s="47">
        <v>2.5032540509135108</v>
      </c>
    </row>
    <row r="951" spans="4:6" x14ac:dyDescent="0.2">
      <c r="D951" s="18">
        <f t="shared" ca="1" si="31"/>
        <v>17.420944558521562</v>
      </c>
      <c r="E951" s="33">
        <f t="shared" ca="1" si="32"/>
        <v>48348</v>
      </c>
      <c r="F951" s="47">
        <v>2.5044013176737692</v>
      </c>
    </row>
    <row r="952" spans="4:6" x14ac:dyDescent="0.2">
      <c r="D952" s="18">
        <f t="shared" ca="1" si="31"/>
        <v>17.440109514031484</v>
      </c>
      <c r="E952" s="33">
        <f t="shared" ca="1" si="32"/>
        <v>48355</v>
      </c>
      <c r="F952" s="47">
        <v>2.5055451499586989</v>
      </c>
    </row>
    <row r="953" spans="4:6" x14ac:dyDescent="0.2">
      <c r="D953" s="18">
        <f t="shared" ca="1" si="31"/>
        <v>17.459274469541409</v>
      </c>
      <c r="E953" s="33">
        <f t="shared" ca="1" si="32"/>
        <v>48362</v>
      </c>
      <c r="F953" s="47">
        <v>2.5066855200464664</v>
      </c>
    </row>
    <row r="954" spans="4:6" x14ac:dyDescent="0.2">
      <c r="D954" s="18">
        <f t="shared" ca="1" si="31"/>
        <v>17.478439425051334</v>
      </c>
      <c r="E954" s="33">
        <f t="shared" ca="1" si="32"/>
        <v>48369</v>
      </c>
      <c r="F954" s="47">
        <v>2.507822401015495</v>
      </c>
    </row>
    <row r="955" spans="4:6" x14ac:dyDescent="0.2">
      <c r="D955" s="18">
        <f t="shared" ca="1" si="31"/>
        <v>17.49760438056126</v>
      </c>
      <c r="E955" s="33">
        <f t="shared" ca="1" si="32"/>
        <v>48376</v>
      </c>
      <c r="F955" s="47">
        <v>2.5089557667554274</v>
      </c>
    </row>
    <row r="956" spans="4:6" x14ac:dyDescent="0.2">
      <c r="D956" s="18">
        <f t="shared" ca="1" si="31"/>
        <v>17.516769336071185</v>
      </c>
      <c r="E956" s="33">
        <f t="shared" ca="1" si="32"/>
        <v>48383</v>
      </c>
      <c r="F956" s="47">
        <v>2.5100855919776142</v>
      </c>
    </row>
    <row r="957" spans="4:6" x14ac:dyDescent="0.2">
      <c r="D957" s="18">
        <f t="shared" ca="1" si="31"/>
        <v>17.535934291581111</v>
      </c>
      <c r="E957" s="33">
        <f t="shared" ca="1" si="32"/>
        <v>48390</v>
      </c>
      <c r="F957" s="47">
        <v>2.5112118522251183</v>
      </c>
    </row>
    <row r="958" spans="4:6" x14ac:dyDescent="0.2">
      <c r="D958" s="18">
        <f t="shared" ca="1" si="31"/>
        <v>17.555099247091032</v>
      </c>
      <c r="E958" s="33">
        <f t="shared" ca="1" si="32"/>
        <v>48397</v>
      </c>
      <c r="F958" s="47">
        <v>2.5123345238822359</v>
      </c>
    </row>
    <row r="959" spans="4:6" x14ac:dyDescent="0.2">
      <c r="D959" s="18">
        <f t="shared" ca="1" si="31"/>
        <v>17.574264202600958</v>
      </c>
      <c r="E959" s="33">
        <f t="shared" ca="1" si="32"/>
        <v>48404</v>
      </c>
      <c r="F959" s="47">
        <v>2.5134535841835186</v>
      </c>
    </row>
    <row r="960" spans="4:6" x14ac:dyDescent="0.2">
      <c r="D960" s="18">
        <f t="shared" ca="1" si="31"/>
        <v>17.593429158110883</v>
      </c>
      <c r="E960" s="33">
        <f t="shared" ca="1" si="32"/>
        <v>48411</v>
      </c>
      <c r="F960" s="47">
        <v>2.5145690112222949</v>
      </c>
    </row>
    <row r="961" spans="4:6" x14ac:dyDescent="0.2">
      <c r="D961" s="18">
        <f t="shared" ca="1" si="31"/>
        <v>17.612594113620808</v>
      </c>
      <c r="E961" s="33">
        <f t="shared" ca="1" si="32"/>
        <v>48418</v>
      </c>
      <c r="F961" s="47">
        <v>2.515680783958675</v>
      </c>
    </row>
    <row r="962" spans="4:6" x14ac:dyDescent="0.2">
      <c r="D962" s="18">
        <f t="shared" ca="1" si="31"/>
        <v>17.631759069130734</v>
      </c>
      <c r="E962" s="33">
        <f t="shared" ca="1" si="32"/>
        <v>48425</v>
      </c>
      <c r="F962" s="47">
        <v>2.516788882227051</v>
      </c>
    </row>
    <row r="963" spans="4:6" x14ac:dyDescent="0.2">
      <c r="D963" s="18">
        <f t="shared" ca="1" si="31"/>
        <v>17.650924024640656</v>
      </c>
      <c r="E963" s="33">
        <f t="shared" ca="1" si="32"/>
        <v>48432</v>
      </c>
      <c r="F963" s="47">
        <v>2.517893286743063</v>
      </c>
    </row>
    <row r="964" spans="4:6" x14ac:dyDescent="0.2">
      <c r="D964" s="18">
        <f t="shared" ca="1" si="31"/>
        <v>17.670088980150581</v>
      </c>
      <c r="E964" s="33">
        <f t="shared" ca="1" si="32"/>
        <v>48439</v>
      </c>
      <c r="F964" s="47">
        <v>2.5189939791100455</v>
      </c>
    </row>
    <row r="965" spans="4:6" x14ac:dyDescent="0.2">
      <c r="D965" s="18">
        <f t="shared" ca="1" si="31"/>
        <v>17.689253935660506</v>
      </c>
      <c r="E965" s="33">
        <f t="shared" ca="1" si="32"/>
        <v>48446</v>
      </c>
      <c r="F965" s="47">
        <v>2.5200909418249413</v>
      </c>
    </row>
    <row r="966" spans="4:6" x14ac:dyDescent="0.2">
      <c r="D966" s="18">
        <f t="shared" ca="1" si="31"/>
        <v>17.708418891170432</v>
      </c>
      <c r="E966" s="33">
        <f t="shared" ca="1" si="32"/>
        <v>48453</v>
      </c>
      <c r="F966" s="47">
        <v>2.5211841582836803</v>
      </c>
    </row>
    <row r="967" spans="4:6" x14ac:dyDescent="0.2">
      <c r="D967" s="18">
        <f t="shared" ca="1" si="31"/>
        <v>17.727583846680357</v>
      </c>
      <c r="E967" s="33">
        <f t="shared" ca="1" si="32"/>
        <v>48460</v>
      </c>
      <c r="F967" s="47">
        <v>2.5222736127860204</v>
      </c>
    </row>
    <row r="968" spans="4:6" x14ac:dyDescent="0.2">
      <c r="D968" s="18">
        <f t="shared" ca="1" si="31"/>
        <v>17.746748802190282</v>
      </c>
      <c r="E968" s="33">
        <f t="shared" ca="1" si="32"/>
        <v>48467</v>
      </c>
      <c r="F968" s="47">
        <v>2.5233592905398465</v>
      </c>
    </row>
    <row r="969" spans="4:6" x14ac:dyDescent="0.2">
      <c r="D969" s="18">
        <f t="shared" ca="1" si="31"/>
        <v>17.765913757700204</v>
      </c>
      <c r="E969" s="33">
        <f t="shared" ca="1" si="32"/>
        <v>48474</v>
      </c>
      <c r="F969" s="47">
        <v>2.5244411776649316</v>
      </c>
    </row>
    <row r="970" spans="4:6" x14ac:dyDescent="0.2">
      <c r="D970" s="18">
        <f t="shared" ca="1" si="31"/>
        <v>17.78507871321013</v>
      </c>
      <c r="E970" s="33">
        <f t="shared" ca="1" si="32"/>
        <v>48481</v>
      </c>
      <c r="F970" s="47">
        <v>2.5255192611961466</v>
      </c>
    </row>
    <row r="971" spans="4:6" x14ac:dyDescent="0.2">
      <c r="D971" s="18">
        <f t="shared" ca="1" si="31"/>
        <v>17.804243668720055</v>
      </c>
      <c r="E971" s="33">
        <f t="shared" ca="1" si="32"/>
        <v>48488</v>
      </c>
      <c r="F971" s="47">
        <v>2.5265935290861288</v>
      </c>
    </row>
    <row r="972" spans="4:6" x14ac:dyDescent="0.2">
      <c r="D972" s="18">
        <f t="shared" ca="1" si="31"/>
        <v>17.82340862422998</v>
      </c>
      <c r="E972" s="33">
        <f t="shared" ca="1" si="32"/>
        <v>48495</v>
      </c>
      <c r="F972" s="47">
        <v>2.5276639702074108</v>
      </c>
    </row>
    <row r="973" spans="4:6" x14ac:dyDescent="0.2">
      <c r="D973" s="18">
        <f t="shared" ca="1" si="31"/>
        <v>17.842573579739906</v>
      </c>
      <c r="E973" s="33">
        <f t="shared" ca="1" si="32"/>
        <v>48502</v>
      </c>
      <c r="F973" s="47">
        <v>2.5287305743539923</v>
      </c>
    </row>
    <row r="974" spans="4:6" x14ac:dyDescent="0.2">
      <c r="D974" s="18">
        <f t="shared" ca="1" si="31"/>
        <v>17.861738535249827</v>
      </c>
      <c r="E974" s="33">
        <f t="shared" ca="1" si="32"/>
        <v>48509</v>
      </c>
      <c r="F974" s="47">
        <v>2.5297933322423805</v>
      </c>
    </row>
    <row r="975" spans="4:6" x14ac:dyDescent="0.2">
      <c r="D975" s="18">
        <f t="shared" ca="1" si="31"/>
        <v>17.880903490759753</v>
      </c>
      <c r="E975" s="33">
        <f t="shared" ca="1" si="32"/>
        <v>48516</v>
      </c>
      <c r="F975" s="47">
        <v>2.5308522355120839</v>
      </c>
    </row>
    <row r="976" spans="4:6" x14ac:dyDescent="0.2">
      <c r="D976" s="18">
        <f t="shared" ca="1" si="31"/>
        <v>17.900068446269678</v>
      </c>
      <c r="E976" s="33">
        <f t="shared" ca="1" si="32"/>
        <v>48523</v>
      </c>
      <c r="F976" s="47">
        <v>2.5319072767255628</v>
      </c>
    </row>
    <row r="977" spans="4:6" x14ac:dyDescent="0.2">
      <c r="D977" s="18">
        <f t="shared" ca="1" si="31"/>
        <v>17.919233401779604</v>
      </c>
      <c r="E977" s="33">
        <f t="shared" ca="1" si="32"/>
        <v>48530</v>
      </c>
      <c r="F977" s="47">
        <v>2.5329584493676465</v>
      </c>
    </row>
    <row r="978" spans="4:6" x14ac:dyDescent="0.2">
      <c r="D978" s="18">
        <f t="shared" ca="1" si="31"/>
        <v>17.938398357289529</v>
      </c>
      <c r="E978" s="33">
        <f t="shared" ca="1" si="32"/>
        <v>48537</v>
      </c>
      <c r="F978" s="47">
        <v>2.5340057478444176</v>
      </c>
    </row>
    <row r="979" spans="4:6" x14ac:dyDescent="0.2">
      <c r="D979" s="18">
        <f t="shared" ca="1" si="31"/>
        <v>17.957563312799451</v>
      </c>
      <c r="E979" s="33">
        <f t="shared" ca="1" si="32"/>
        <v>48544</v>
      </c>
      <c r="F979" s="47">
        <v>2.5350491674815636</v>
      </c>
    </row>
    <row r="980" spans="4:6" x14ac:dyDescent="0.2">
      <c r="D980" s="18">
        <f t="shared" ca="1" si="31"/>
        <v>17.976728268309376</v>
      </c>
      <c r="E980" s="33">
        <f t="shared" ca="1" si="32"/>
        <v>48551</v>
      </c>
      <c r="F980" s="47">
        <v>2.5360887045222036</v>
      </c>
    </row>
    <row r="981" spans="4:6" x14ac:dyDescent="0.2">
      <c r="D981" s="18">
        <f t="shared" ca="1" si="31"/>
        <v>17.995893223819301</v>
      </c>
      <c r="E981" s="33">
        <f t="shared" ca="1" si="32"/>
        <v>48558</v>
      </c>
      <c r="F981" s="47">
        <v>2.5371243561241932</v>
      </c>
    </row>
    <row r="982" spans="4:6" x14ac:dyDescent="0.2">
      <c r="D982" s="18">
        <f t="shared" ca="1" si="31"/>
        <v>18.015058179329227</v>
      </c>
      <c r="E982" s="33">
        <f t="shared" ca="1" si="32"/>
        <v>48565</v>
      </c>
      <c r="F982" s="47">
        <v>2.538156120356919</v>
      </c>
    </row>
    <row r="983" spans="4:6" x14ac:dyDescent="0.2">
      <c r="D983" s="18">
        <f t="shared" ca="1" si="31"/>
        <v>18.034223134839152</v>
      </c>
      <c r="E983" s="33">
        <f t="shared" ca="1" si="32"/>
        <v>48572</v>
      </c>
      <c r="F983" s="47">
        <v>2.5391839961975786</v>
      </c>
    </row>
    <row r="984" spans="4:6" x14ac:dyDescent="0.2">
      <c r="D984" s="18">
        <f t="shared" ca="1" si="31"/>
        <v>18.053388090349078</v>
      </c>
      <c r="E984" s="33">
        <f t="shared" ca="1" si="32"/>
        <v>48579</v>
      </c>
      <c r="F984" s="47">
        <v>2.5402079835269609</v>
      </c>
    </row>
    <row r="985" spans="4:6" x14ac:dyDescent="0.2">
      <c r="D985" s="18">
        <f t="shared" ca="1" si="31"/>
        <v>18.072553045858999</v>
      </c>
      <c r="E985" s="33">
        <f t="shared" ca="1" si="32"/>
        <v>48586</v>
      </c>
      <c r="F985" s="47">
        <v>2.5412280831247256</v>
      </c>
    </row>
    <row r="986" spans="4:6" x14ac:dyDescent="0.2">
      <c r="D986" s="18">
        <f t="shared" ca="1" si="31"/>
        <v>18.091718001368925</v>
      </c>
      <c r="E986" s="33">
        <f t="shared" ca="1" si="32"/>
        <v>48593</v>
      </c>
      <c r="F986" s="47">
        <v>2.5422442966642049</v>
      </c>
    </row>
    <row r="987" spans="4:6" x14ac:dyDescent="0.2">
      <c r="D987" s="18">
        <f t="shared" ca="1" si="31"/>
        <v>18.11088295687885</v>
      </c>
      <c r="E987" s="33">
        <f t="shared" ca="1" si="32"/>
        <v>48600</v>
      </c>
      <c r="F987" s="47">
        <v>2.5432566267067171</v>
      </c>
    </row>
    <row r="988" spans="4:6" x14ac:dyDescent="0.2">
      <c r="D988" s="18">
        <f t="shared" ca="1" si="31"/>
        <v>18.130047912388775</v>
      </c>
      <c r="E988" s="33">
        <f t="shared" ca="1" si="32"/>
        <v>48607</v>
      </c>
      <c r="F988" s="47">
        <v>2.5442650766954054</v>
      </c>
    </row>
    <row r="989" spans="4:6" x14ac:dyDescent="0.2">
      <c r="D989" s="18">
        <f t="shared" ca="1" si="31"/>
        <v>18.149212867898701</v>
      </c>
      <c r="E989" s="33">
        <f t="shared" ca="1" si="32"/>
        <v>48614</v>
      </c>
      <c r="F989" s="47">
        <v>2.545269650948621</v>
      </c>
    </row>
    <row r="990" spans="4:6" x14ac:dyDescent="0.2">
      <c r="D990" s="18">
        <f t="shared" ca="1" si="31"/>
        <v>18.168377823408623</v>
      </c>
      <c r="E990" s="33">
        <f t="shared" ca="1" si="32"/>
        <v>48621</v>
      </c>
      <c r="F990" s="47">
        <v>2.5462703546528527</v>
      </c>
    </row>
    <row r="991" spans="4:6" x14ac:dyDescent="0.2">
      <c r="D991" s="18">
        <f t="shared" ca="1" si="31"/>
        <v>18.187542778918548</v>
      </c>
      <c r="E991" s="33">
        <f t="shared" ca="1" si="32"/>
        <v>48628</v>
      </c>
      <c r="F991" s="47">
        <v>2.5472671938552018</v>
      </c>
    </row>
    <row r="992" spans="4:6" x14ac:dyDescent="0.2">
      <c r="D992" s="18">
        <f t="shared" ca="1" si="31"/>
        <v>18.206707734428473</v>
      </c>
      <c r="E992" s="33">
        <f t="shared" ca="1" si="32"/>
        <v>48635</v>
      </c>
      <c r="F992" s="47">
        <v>2.5482601754554342</v>
      </c>
    </row>
    <row r="993" spans="4:6" x14ac:dyDescent="0.2">
      <c r="D993" s="18">
        <f t="shared" ca="1" si="31"/>
        <v>18.225872689938399</v>
      </c>
      <c r="E993" s="33">
        <f t="shared" ca="1" si="32"/>
        <v>48642</v>
      </c>
      <c r="F993" s="47">
        <v>2.5492493071976035</v>
      </c>
    </row>
    <row r="994" spans="4:6" x14ac:dyDescent="0.2">
      <c r="D994" s="18">
        <f t="shared" ca="1" si="31"/>
        <v>18.245037645448324</v>
      </c>
      <c r="E994" s="33">
        <f t="shared" ca="1" si="32"/>
        <v>48649</v>
      </c>
      <c r="F994" s="47">
        <v>2.5502345976612588</v>
      </c>
    </row>
    <row r="995" spans="4:6" x14ac:dyDescent="0.2">
      <c r="D995" s="18">
        <f t="shared" ca="1" si="31"/>
        <v>18.264202600958249</v>
      </c>
      <c r="E995" s="33">
        <f t="shared" ca="1" si="32"/>
        <v>48656</v>
      </c>
      <c r="F995" s="47">
        <v>2.5512160562522572</v>
      </c>
    </row>
    <row r="996" spans="4:6" x14ac:dyDescent="0.2">
      <c r="D996" s="18">
        <f t="shared" ca="1" si="31"/>
        <v>18.283367556468171</v>
      </c>
      <c r="E996" s="33">
        <f t="shared" ca="1" si="32"/>
        <v>48663</v>
      </c>
      <c r="F996" s="47">
        <v>2.5521936931931752</v>
      </c>
    </row>
    <row r="997" spans="4:6" x14ac:dyDescent="0.2">
      <c r="D997" s="18">
        <f t="shared" ca="1" si="31"/>
        <v>18.302532511978097</v>
      </c>
      <c r="E997" s="33">
        <f t="shared" ca="1" si="32"/>
        <v>48670</v>
      </c>
      <c r="F997" s="47">
        <v>2.5531675195133516</v>
      </c>
    </row>
    <row r="998" spans="4:6" x14ac:dyDescent="0.2">
      <c r="D998" s="18">
        <f t="shared" ca="1" si="31"/>
        <v>18.321697467488022</v>
      </c>
      <c r="E998" s="33">
        <f t="shared" ca="1" si="32"/>
        <v>48677</v>
      </c>
      <c r="F998" s="47">
        <v>2.554137547038553</v>
      </c>
    </row>
    <row r="999" spans="4:6" x14ac:dyDescent="0.2">
      <c r="D999" s="18">
        <f t="shared" ca="1" si="31"/>
        <v>18.340862422997947</v>
      </c>
      <c r="E999" s="33">
        <f t="shared" ca="1" si="32"/>
        <v>48684</v>
      </c>
      <c r="F999" s="47">
        <v>2.5551037883802925</v>
      </c>
    </row>
    <row r="1000" spans="4:6" x14ac:dyDescent="0.2">
      <c r="D1000" s="18">
        <f t="shared" ca="1" si="31"/>
        <v>18.360027378507873</v>
      </c>
      <c r="E1000" s="33">
        <f t="shared" ca="1" si="32"/>
        <v>48691</v>
      </c>
      <c r="F1000" s="47">
        <v>2.5560662569247978</v>
      </c>
    </row>
    <row r="1001" spans="4:6" x14ac:dyDescent="0.2">
      <c r="D1001" s="18">
        <f t="shared" ca="1" si="31"/>
        <v>18.379192334017795</v>
      </c>
      <c r="E1001" s="33">
        <f t="shared" ca="1" si="32"/>
        <v>48698</v>
      </c>
      <c r="F1001" s="47">
        <v>2.5570249668216567</v>
      </c>
    </row>
    <row r="1002" spans="4:6" x14ac:dyDescent="0.2">
      <c r="D1002" s="18">
        <f t="shared" ref="D1002:D1065" ca="1" si="33">(E1002-$E$42)/365.25</f>
        <v>18.39835728952772</v>
      </c>
      <c r="E1002" s="33">
        <f t="shared" ca="1" si="32"/>
        <v>48705</v>
      </c>
      <c r="F1002" s="47">
        <v>2.5579799329721369</v>
      </c>
    </row>
    <row r="1003" spans="4:6" x14ac:dyDescent="0.2">
      <c r="D1003" s="18">
        <f t="shared" ca="1" si="33"/>
        <v>18.417522245037645</v>
      </c>
      <c r="E1003" s="33">
        <f t="shared" ref="E1003:E1066" ca="1" si="34">E1002+7</f>
        <v>48712</v>
      </c>
      <c r="F1003" s="47">
        <v>2.5589311710172038</v>
      </c>
    </row>
    <row r="1004" spans="4:6" x14ac:dyDescent="0.2">
      <c r="D1004" s="18">
        <f t="shared" ca="1" si="33"/>
        <v>18.436687200547571</v>
      </c>
      <c r="E1004" s="33">
        <f t="shared" ca="1" si="34"/>
        <v>48719</v>
      </c>
      <c r="F1004" s="47">
        <v>2.5598786973252534</v>
      </c>
    </row>
    <row r="1005" spans="4:6" x14ac:dyDescent="0.2">
      <c r="D1005" s="18">
        <f t="shared" ca="1" si="33"/>
        <v>18.455852156057496</v>
      </c>
      <c r="E1005" s="33">
        <f t="shared" ca="1" si="34"/>
        <v>48726</v>
      </c>
      <c r="F1005" s="47">
        <v>2.5608225289795521</v>
      </c>
    </row>
    <row r="1006" spans="4:6" x14ac:dyDescent="0.2">
      <c r="D1006" s="18">
        <f t="shared" ca="1" si="33"/>
        <v>18.475017111567421</v>
      </c>
      <c r="E1006" s="33">
        <f t="shared" ca="1" si="34"/>
        <v>48733</v>
      </c>
      <c r="F1006" s="47">
        <v>2.5617626837654246</v>
      </c>
    </row>
    <row r="1007" spans="4:6" x14ac:dyDescent="0.2">
      <c r="D1007" s="18">
        <f t="shared" ca="1" si="33"/>
        <v>18.494182067077343</v>
      </c>
      <c r="E1007" s="33">
        <f t="shared" ca="1" si="34"/>
        <v>48740</v>
      </c>
      <c r="F1007" s="47">
        <v>2.562699180157185</v>
      </c>
    </row>
    <row r="1008" spans="4:6" x14ac:dyDescent="0.2">
      <c r="D1008" s="18">
        <f t="shared" ca="1" si="33"/>
        <v>18.513347022587268</v>
      </c>
      <c r="E1008" s="33">
        <f t="shared" ca="1" si="34"/>
        <v>48747</v>
      </c>
      <c r="F1008" s="47">
        <v>2.5636320373048243</v>
      </c>
    </row>
    <row r="1009" spans="4:6" x14ac:dyDescent="0.2">
      <c r="D1009" s="18">
        <f t="shared" ca="1" si="33"/>
        <v>18.532511978097194</v>
      </c>
      <c r="E1009" s="33">
        <f t="shared" ca="1" si="34"/>
        <v>48754</v>
      </c>
      <c r="F1009" s="47">
        <v>2.5645612750204827</v>
      </c>
    </row>
    <row r="1010" spans="4:6" x14ac:dyDescent="0.2">
      <c r="D1010" s="18">
        <f t="shared" ca="1" si="33"/>
        <v>18.551676933607119</v>
      </c>
      <c r="E1010" s="33">
        <f t="shared" ca="1" si="34"/>
        <v>48761</v>
      </c>
      <c r="F1010" s="47">
        <v>2.565486913764699</v>
      </c>
    </row>
    <row r="1011" spans="4:6" x14ac:dyDescent="0.2">
      <c r="D1011" s="18">
        <f t="shared" ca="1" si="33"/>
        <v>18.570841889117045</v>
      </c>
      <c r="E1011" s="33">
        <f t="shared" ca="1" si="34"/>
        <v>48768</v>
      </c>
      <c r="F1011" s="47">
        <v>2.5664089746324734</v>
      </c>
    </row>
    <row r="1012" spans="4:6" x14ac:dyDescent="0.2">
      <c r="D1012" s="18">
        <f t="shared" ca="1" si="33"/>
        <v>18.590006844626966</v>
      </c>
      <c r="E1012" s="33">
        <f t="shared" ca="1" si="34"/>
        <v>48775</v>
      </c>
      <c r="F1012" s="47">
        <v>2.567327479339137</v>
      </c>
    </row>
    <row r="1013" spans="4:6" x14ac:dyDescent="0.2">
      <c r="D1013" s="18">
        <f t="shared" ca="1" si="33"/>
        <v>18.609171800136892</v>
      </c>
      <c r="E1013" s="33">
        <f t="shared" ca="1" si="34"/>
        <v>48782</v>
      </c>
      <c r="F1013" s="47">
        <v>2.5682424502060539</v>
      </c>
    </row>
    <row r="1014" spans="4:6" x14ac:dyDescent="0.2">
      <c r="D1014" s="18">
        <f t="shared" ca="1" si="33"/>
        <v>18.628336755646817</v>
      </c>
      <c r="E1014" s="33">
        <f t="shared" ca="1" si="34"/>
        <v>48789</v>
      </c>
      <c r="F1014" s="47">
        <v>2.5691539101461638</v>
      </c>
    </row>
    <row r="1015" spans="4:6" x14ac:dyDescent="0.2">
      <c r="D1015" s="18">
        <f t="shared" ca="1" si="33"/>
        <v>18.647501711156742</v>
      </c>
      <c r="E1015" s="33">
        <f t="shared" ca="1" si="34"/>
        <v>48796</v>
      </c>
      <c r="F1015" s="47">
        <v>2.5700618826493846</v>
      </c>
    </row>
    <row r="1016" spans="4:6" x14ac:dyDescent="0.2">
      <c r="D1016" s="18">
        <f t="shared" ca="1" si="33"/>
        <v>18.666666666666668</v>
      </c>
      <c r="E1016" s="33">
        <f t="shared" ca="1" si="34"/>
        <v>48803</v>
      </c>
      <c r="F1016" s="47">
        <v>2.570966391767878</v>
      </c>
    </row>
    <row r="1017" spans="4:6" x14ac:dyDescent="0.2">
      <c r="D1017" s="18">
        <f t="shared" ca="1" si="33"/>
        <v>18.68583162217659</v>
      </c>
      <c r="E1017" s="33">
        <f t="shared" ca="1" si="34"/>
        <v>48810</v>
      </c>
      <c r="F1017" s="47">
        <v>2.5718674621012028</v>
      </c>
    </row>
    <row r="1018" spans="4:6" x14ac:dyDescent="0.2">
      <c r="D1018" s="18">
        <f t="shared" ca="1" si="33"/>
        <v>18.704996577686515</v>
      </c>
      <c r="E1018" s="33">
        <f t="shared" ca="1" si="34"/>
        <v>48817</v>
      </c>
      <c r="F1018" s="47">
        <v>2.5727651187813598</v>
      </c>
    </row>
    <row r="1019" spans="4:6" x14ac:dyDescent="0.2">
      <c r="D1019" s="18">
        <f t="shared" ca="1" si="33"/>
        <v>18.72416153319644</v>
      </c>
      <c r="E1019" s="33">
        <f t="shared" ca="1" si="34"/>
        <v>48824</v>
      </c>
      <c r="F1019" s="47">
        <v>2.573659387457746</v>
      </c>
    </row>
    <row r="1020" spans="4:6" x14ac:dyDescent="0.2">
      <c r="D1020" s="18">
        <f t="shared" ca="1" si="33"/>
        <v>18.743326488706366</v>
      </c>
      <c r="E1020" s="33">
        <f t="shared" ca="1" si="34"/>
        <v>48831</v>
      </c>
      <c r="F1020" s="47">
        <v>2.5745502942820315</v>
      </c>
    </row>
    <row r="1021" spans="4:6" x14ac:dyDescent="0.2">
      <c r="D1021" s="18">
        <f t="shared" ca="1" si="33"/>
        <v>18.762491444216291</v>
      </c>
      <c r="E1021" s="33">
        <f t="shared" ca="1" si="34"/>
        <v>48838</v>
      </c>
      <c r="F1021" s="47">
        <v>2.5754378658929724</v>
      </c>
    </row>
    <row r="1022" spans="4:6" x14ac:dyDescent="0.2">
      <c r="D1022" s="18">
        <f t="shared" ca="1" si="33"/>
        <v>18.781656399726216</v>
      </c>
      <c r="E1022" s="33">
        <f t="shared" ca="1" si="34"/>
        <v>48845</v>
      </c>
      <c r="F1022" s="47">
        <v>2.5763221294011616</v>
      </c>
    </row>
    <row r="1023" spans="4:6" x14ac:dyDescent="0.2">
      <c r="D1023" s="18">
        <f t="shared" ca="1" si="33"/>
        <v>18.800821355236138</v>
      </c>
      <c r="E1023" s="33">
        <f t="shared" ca="1" si="34"/>
        <v>48852</v>
      </c>
      <c r="F1023" s="47">
        <v>2.5772031123737476</v>
      </c>
    </row>
    <row r="1024" spans="4:6" x14ac:dyDescent="0.2">
      <c r="D1024" s="18">
        <f t="shared" ca="1" si="33"/>
        <v>18.819986310746064</v>
      </c>
      <c r="E1024" s="33">
        <f t="shared" ca="1" si="34"/>
        <v>48859</v>
      </c>
      <c r="F1024" s="47">
        <v>2.5780808428191198</v>
      </c>
    </row>
    <row r="1025" spans="4:6" x14ac:dyDescent="0.2">
      <c r="D1025" s="18">
        <f t="shared" ca="1" si="33"/>
        <v>18.839151266255989</v>
      </c>
      <c r="E1025" s="33">
        <f t="shared" ca="1" si="34"/>
        <v>48866</v>
      </c>
      <c r="F1025" s="47">
        <v>2.5789553491715811</v>
      </c>
    </row>
    <row r="1026" spans="4:6" x14ac:dyDescent="0.2">
      <c r="D1026" s="18">
        <f t="shared" ca="1" si="33"/>
        <v>18.858316221765914</v>
      </c>
      <c r="E1026" s="33">
        <f t="shared" ca="1" si="34"/>
        <v>48873</v>
      </c>
      <c r="F1026" s="47">
        <v>2.5798266602760074</v>
      </c>
    </row>
    <row r="1027" spans="4:6" x14ac:dyDescent="0.2">
      <c r="D1027" s="18">
        <f t="shared" ca="1" si="33"/>
        <v>18.87748117727584</v>
      </c>
      <c r="E1027" s="33">
        <f t="shared" ca="1" si="34"/>
        <v>48880</v>
      </c>
      <c r="F1027" s="47">
        <v>2.5806948053725223</v>
      </c>
    </row>
    <row r="1028" spans="4:6" x14ac:dyDescent="0.2">
      <c r="D1028" s="18">
        <f t="shared" ca="1" si="33"/>
        <v>18.896646132785762</v>
      </c>
      <c r="E1028" s="33">
        <f t="shared" ca="1" si="34"/>
        <v>48887</v>
      </c>
      <c r="F1028" s="47">
        <v>2.5815598140811828</v>
      </c>
    </row>
    <row r="1029" spans="4:6" x14ac:dyDescent="0.2">
      <c r="D1029" s="18">
        <f t="shared" ca="1" si="33"/>
        <v>18.915811088295687</v>
      </c>
      <c r="E1029" s="33">
        <f t="shared" ca="1" si="34"/>
        <v>48894</v>
      </c>
      <c r="F1029" s="47">
        <v>2.5824217163866967</v>
      </c>
    </row>
    <row r="1030" spans="4:6" x14ac:dyDescent="0.2">
      <c r="D1030" s="18">
        <f t="shared" ca="1" si="33"/>
        <v>18.934976043805612</v>
      </c>
      <c r="E1030" s="33">
        <f t="shared" ca="1" si="34"/>
        <v>48901</v>
      </c>
      <c r="F1030" s="47">
        <v>2.5832805426231831</v>
      </c>
    </row>
    <row r="1031" spans="4:6" x14ac:dyDescent="0.2">
      <c r="D1031" s="18">
        <f t="shared" ca="1" si="33"/>
        <v>18.954140999315538</v>
      </c>
      <c r="E1031" s="33">
        <f t="shared" ca="1" si="34"/>
        <v>48908</v>
      </c>
      <c r="F1031" s="47">
        <v>2.5841363234589712</v>
      </c>
    </row>
    <row r="1032" spans="4:6" x14ac:dyDescent="0.2">
      <c r="D1032" s="18">
        <f t="shared" ca="1" si="33"/>
        <v>18.973305954825463</v>
      </c>
      <c r="E1032" s="33">
        <f t="shared" ca="1" si="34"/>
        <v>48915</v>
      </c>
      <c r="F1032" s="47">
        <v>2.5849890898814789</v>
      </c>
    </row>
    <row r="1033" spans="4:6" x14ac:dyDescent="0.2">
      <c r="D1033" s="18">
        <f t="shared" ca="1" si="33"/>
        <v>18.992470910335388</v>
      </c>
      <c r="E1033" s="33">
        <f t="shared" ca="1" si="34"/>
        <v>48922</v>
      </c>
      <c r="F1033" s="47">
        <v>2.5858388731821393</v>
      </c>
    </row>
    <row r="1034" spans="4:6" x14ac:dyDescent="0.2">
      <c r="D1034" s="18">
        <f t="shared" ca="1" si="33"/>
        <v>19.01163586584531</v>
      </c>
      <c r="E1034" s="33">
        <f t="shared" ca="1" si="34"/>
        <v>48929</v>
      </c>
      <c r="F1034" s="47">
        <v>2.5866857049414249</v>
      </c>
    </row>
    <row r="1035" spans="4:6" x14ac:dyDescent="0.2">
      <c r="D1035" s="18">
        <f t="shared" ca="1" si="33"/>
        <v>19.030800821355236</v>
      </c>
      <c r="E1035" s="33">
        <f t="shared" ca="1" si="34"/>
        <v>48936</v>
      </c>
      <c r="F1035" s="47">
        <v>2.5875296170139546</v>
      </c>
    </row>
    <row r="1036" spans="4:6" x14ac:dyDescent="0.2">
      <c r="D1036" s="18">
        <f t="shared" ca="1" si="33"/>
        <v>19.049965776865161</v>
      </c>
      <c r="E1036" s="33">
        <f t="shared" ca="1" si="34"/>
        <v>48943</v>
      </c>
      <c r="F1036" s="47">
        <v>2.5883706415136976</v>
      </c>
    </row>
    <row r="1037" spans="4:6" x14ac:dyDescent="0.2">
      <c r="D1037" s="18">
        <f t="shared" ca="1" si="33"/>
        <v>19.069130732375086</v>
      </c>
      <c r="E1037" s="33">
        <f t="shared" ca="1" si="34"/>
        <v>48950</v>
      </c>
      <c r="F1037" s="47">
        <v>2.5892088107992919</v>
      </c>
    </row>
    <row r="1038" spans="4:6" x14ac:dyDescent="0.2">
      <c r="D1038" s="18">
        <f t="shared" ca="1" si="33"/>
        <v>19.088295687885012</v>
      </c>
      <c r="E1038" s="33">
        <f t="shared" ca="1" si="34"/>
        <v>48957</v>
      </c>
      <c r="F1038" s="47">
        <v>2.5900441574594706</v>
      </c>
    </row>
    <row r="1039" spans="4:6" x14ac:dyDescent="0.2">
      <c r="D1039" s="18">
        <f t="shared" ca="1" si="33"/>
        <v>19.107460643394933</v>
      </c>
      <c r="E1039" s="33">
        <f t="shared" ca="1" si="34"/>
        <v>48964</v>
      </c>
      <c r="F1039" s="47">
        <v>2.5908767142986178</v>
      </c>
    </row>
    <row r="1040" spans="4:6" x14ac:dyDescent="0.2">
      <c r="D1040" s="18">
        <f t="shared" ca="1" si="33"/>
        <v>19.126625598904859</v>
      </c>
      <c r="E1040" s="33">
        <f t="shared" ca="1" si="34"/>
        <v>48971</v>
      </c>
      <c r="F1040" s="47">
        <v>2.5917065143224614</v>
      </c>
    </row>
    <row r="1041" spans="4:6" x14ac:dyDescent="0.2">
      <c r="D1041" s="18">
        <f t="shared" ca="1" si="33"/>
        <v>19.145790554414784</v>
      </c>
      <c r="E1041" s="33">
        <f t="shared" ca="1" si="34"/>
        <v>48978</v>
      </c>
      <c r="F1041" s="47">
        <v>2.5925335907238884</v>
      </c>
    </row>
    <row r="1042" spans="4:6" x14ac:dyDescent="0.2">
      <c r="D1042" s="18">
        <f t="shared" ca="1" si="33"/>
        <v>19.16495550992471</v>
      </c>
      <c r="E1042" s="33">
        <f t="shared" ca="1" si="34"/>
        <v>48985</v>
      </c>
      <c r="F1042" s="47">
        <v>2.5933579768689388</v>
      </c>
    </row>
    <row r="1043" spans="4:6" x14ac:dyDescent="0.2">
      <c r="D1043" s="18">
        <f t="shared" ca="1" si="33"/>
        <v>19.184120465434635</v>
      </c>
      <c r="E1043" s="33">
        <f t="shared" ca="1" si="34"/>
        <v>48992</v>
      </c>
      <c r="F1043" s="47">
        <v>2.5941797062829184</v>
      </c>
    </row>
    <row r="1044" spans="4:6" x14ac:dyDescent="0.2">
      <c r="D1044" s="18">
        <f t="shared" ca="1" si="33"/>
        <v>19.20328542094456</v>
      </c>
      <c r="E1044" s="33">
        <f t="shared" ca="1" si="34"/>
        <v>48999</v>
      </c>
      <c r="F1044" s="47">
        <v>2.5949988126367001</v>
      </c>
    </row>
    <row r="1045" spans="4:6" x14ac:dyDescent="0.2">
      <c r="D1045" s="18">
        <f t="shared" ca="1" si="33"/>
        <v>19.222450376454482</v>
      </c>
      <c r="E1045" s="33">
        <f t="shared" ca="1" si="34"/>
        <v>49006</v>
      </c>
      <c r="F1045" s="47">
        <v>2.5958153297331807</v>
      </c>
    </row>
    <row r="1046" spans="4:6" x14ac:dyDescent="0.2">
      <c r="D1046" s="18">
        <f t="shared" ca="1" si="33"/>
        <v>19.241615331964407</v>
      </c>
      <c r="E1046" s="33">
        <f t="shared" ca="1" si="34"/>
        <v>49013</v>
      </c>
      <c r="F1046" s="47">
        <v>2.5966292914939153</v>
      </c>
    </row>
    <row r="1047" spans="4:6" x14ac:dyDescent="0.2">
      <c r="D1047" s="18">
        <f t="shared" ca="1" si="33"/>
        <v>19.260780287474333</v>
      </c>
      <c r="E1047" s="33">
        <f t="shared" ca="1" si="34"/>
        <v>49020</v>
      </c>
      <c r="F1047" s="47">
        <v>2.5974407319459285</v>
      </c>
    </row>
    <row r="1048" spans="4:6" x14ac:dyDescent="0.2">
      <c r="D1048" s="18">
        <f t="shared" ca="1" si="33"/>
        <v>19.279945242984258</v>
      </c>
      <c r="E1048" s="33">
        <f t="shared" ca="1" si="34"/>
        <v>49027</v>
      </c>
      <c r="F1048" s="47">
        <v>2.5982496852087147</v>
      </c>
    </row>
    <row r="1049" spans="4:6" x14ac:dyDescent="0.2">
      <c r="D1049" s="18">
        <f t="shared" ca="1" si="33"/>
        <v>19.299110198494184</v>
      </c>
      <c r="E1049" s="33">
        <f t="shared" ca="1" si="34"/>
        <v>49034</v>
      </c>
      <c r="F1049" s="47">
        <v>2.5990561854814249</v>
      </c>
    </row>
    <row r="1050" spans="4:6" x14ac:dyDescent="0.2">
      <c r="D1050" s="18">
        <f t="shared" ca="1" si="33"/>
        <v>19.318275154004105</v>
      </c>
      <c r="E1050" s="33">
        <f t="shared" ca="1" si="34"/>
        <v>49041</v>
      </c>
      <c r="F1050" s="47">
        <v>2.5998602670302562</v>
      </c>
    </row>
    <row r="1051" spans="4:6" x14ac:dyDescent="0.2">
      <c r="D1051" s="18">
        <f t="shared" ca="1" si="33"/>
        <v>19.337440109514031</v>
      </c>
      <c r="E1051" s="33">
        <f t="shared" ca="1" si="34"/>
        <v>49048</v>
      </c>
      <c r="F1051" s="47">
        <v>2.6006619641760276</v>
      </c>
    </row>
    <row r="1052" spans="4:6" x14ac:dyDescent="0.2">
      <c r="D1052" s="18">
        <f t="shared" ca="1" si="33"/>
        <v>19.356605065023956</v>
      </c>
      <c r="E1052" s="33">
        <f t="shared" ca="1" si="34"/>
        <v>49055</v>
      </c>
      <c r="F1052" s="47">
        <v>2.6014613112819793</v>
      </c>
    </row>
    <row r="1053" spans="4:6" x14ac:dyDescent="0.2">
      <c r="D1053" s="18">
        <f t="shared" ca="1" si="33"/>
        <v>19.375770020533881</v>
      </c>
      <c r="E1053" s="33">
        <f t="shared" ca="1" si="34"/>
        <v>49062</v>
      </c>
      <c r="F1053" s="47">
        <v>2.6022583427417603</v>
      </c>
    </row>
    <row r="1054" spans="4:6" x14ac:dyDescent="0.2">
      <c r="D1054" s="18">
        <f t="shared" ca="1" si="33"/>
        <v>19.394934976043807</v>
      </c>
      <c r="E1054" s="33">
        <f t="shared" ca="1" si="34"/>
        <v>49069</v>
      </c>
      <c r="F1054" s="47">
        <v>2.6030530929676425</v>
      </c>
    </row>
    <row r="1055" spans="4:6" x14ac:dyDescent="0.2">
      <c r="D1055" s="18">
        <f t="shared" ca="1" si="33"/>
        <v>19.414099931553729</v>
      </c>
      <c r="E1055" s="33">
        <f t="shared" ca="1" si="34"/>
        <v>49076</v>
      </c>
      <c r="F1055" s="47">
        <v>2.6038455963789451</v>
      </c>
    </row>
    <row r="1056" spans="4:6" x14ac:dyDescent="0.2">
      <c r="D1056" s="18">
        <f t="shared" ca="1" si="33"/>
        <v>19.433264887063654</v>
      </c>
      <c r="E1056" s="33">
        <f t="shared" ca="1" si="34"/>
        <v>49083</v>
      </c>
      <c r="F1056" s="47">
        <v>2.6046358873906756</v>
      </c>
    </row>
    <row r="1057" spans="4:6" x14ac:dyDescent="0.2">
      <c r="D1057" s="18">
        <f t="shared" ca="1" si="33"/>
        <v>19.452429842573579</v>
      </c>
      <c r="E1057" s="33">
        <f t="shared" ca="1" si="34"/>
        <v>49090</v>
      </c>
      <c r="F1057" s="47">
        <v>2.6054240004023974</v>
      </c>
    </row>
    <row r="1058" spans="4:6" x14ac:dyDescent="0.2">
      <c r="D1058" s="18">
        <f t="shared" ca="1" si="33"/>
        <v>19.471594798083505</v>
      </c>
      <c r="E1058" s="33">
        <f t="shared" ca="1" si="34"/>
        <v>49097</v>
      </c>
      <c r="F1058" s="47">
        <v>2.6062099697873133</v>
      </c>
    </row>
    <row r="1059" spans="4:6" x14ac:dyDescent="0.2">
      <c r="D1059" s="18">
        <f t="shared" ca="1" si="33"/>
        <v>19.49075975359343</v>
      </c>
      <c r="E1059" s="33">
        <f t="shared" ca="1" si="34"/>
        <v>49104</v>
      </c>
      <c r="F1059" s="47">
        <v>2.606993829881588</v>
      </c>
    </row>
    <row r="1060" spans="4:6" x14ac:dyDescent="0.2">
      <c r="D1060" s="18">
        <f t="shared" ca="1" si="33"/>
        <v>19.509924709103355</v>
      </c>
      <c r="E1060" s="33">
        <f t="shared" ca="1" si="34"/>
        <v>49111</v>
      </c>
      <c r="F1060" s="47">
        <v>2.6077756149738867</v>
      </c>
    </row>
    <row r="1061" spans="4:6" x14ac:dyDescent="0.2">
      <c r="D1061" s="18">
        <f t="shared" ca="1" si="33"/>
        <v>19.529089664613277</v>
      </c>
      <c r="E1061" s="33">
        <f t="shared" ca="1" si="34"/>
        <v>49118</v>
      </c>
      <c r="F1061" s="47">
        <v>2.6085553592951469</v>
      </c>
    </row>
    <row r="1062" spans="4:6" x14ac:dyDescent="0.2">
      <c r="D1062" s="18">
        <f t="shared" ca="1" si="33"/>
        <v>19.548254620123203</v>
      </c>
      <c r="E1062" s="33">
        <f t="shared" ca="1" si="34"/>
        <v>49125</v>
      </c>
      <c r="F1062" s="47">
        <v>2.6093330970085886</v>
      </c>
    </row>
    <row r="1063" spans="4:6" x14ac:dyDescent="0.2">
      <c r="D1063" s="18">
        <f t="shared" ca="1" si="33"/>
        <v>19.567419575633128</v>
      </c>
      <c r="E1063" s="33">
        <f t="shared" ca="1" si="34"/>
        <v>49132</v>
      </c>
      <c r="F1063" s="47">
        <v>2.6101088621999531</v>
      </c>
    </row>
    <row r="1064" spans="4:6" x14ac:dyDescent="0.2">
      <c r="D1064" s="18">
        <f t="shared" ca="1" si="33"/>
        <v>19.586584531143053</v>
      </c>
      <c r="E1064" s="33">
        <f t="shared" ca="1" si="34"/>
        <v>49139</v>
      </c>
      <c r="F1064" s="47">
        <v>2.6108826888679686</v>
      </c>
    </row>
    <row r="1065" spans="4:6" x14ac:dyDescent="0.2">
      <c r="D1065" s="18">
        <f t="shared" ca="1" si="33"/>
        <v>19.605749486652979</v>
      </c>
      <c r="E1065" s="33">
        <f t="shared" ca="1" si="34"/>
        <v>49146</v>
      </c>
      <c r="F1065" s="47">
        <v>2.6116546109150662</v>
      </c>
    </row>
    <row r="1066" spans="4:6" x14ac:dyDescent="0.2">
      <c r="D1066" s="18">
        <f t="shared" ref="D1066:D1129" ca="1" si="35">(E1066-$E$42)/365.25</f>
        <v>19.6249144421629</v>
      </c>
      <c r="E1066" s="33">
        <f t="shared" ca="1" si="34"/>
        <v>49153</v>
      </c>
      <c r="F1066" s="47">
        <v>2.61242466213832</v>
      </c>
    </row>
    <row r="1067" spans="4:6" x14ac:dyDescent="0.2">
      <c r="D1067" s="18">
        <f t="shared" ca="1" si="35"/>
        <v>19.644079397672826</v>
      </c>
      <c r="E1067" s="33">
        <f t="shared" ref="E1067:E1130" ca="1" si="36">E1066+7</f>
        <v>49160</v>
      </c>
      <c r="F1067" s="47">
        <v>2.6131928762206229</v>
      </c>
    </row>
    <row r="1068" spans="4:6" x14ac:dyDescent="0.2">
      <c r="D1068" s="18">
        <f t="shared" ca="1" si="35"/>
        <v>19.663244353182751</v>
      </c>
      <c r="E1068" s="33">
        <f t="shared" ca="1" si="36"/>
        <v>49167</v>
      </c>
      <c r="F1068" s="47">
        <v>2.6139592867221046</v>
      </c>
    </row>
    <row r="1069" spans="4:6" x14ac:dyDescent="0.2">
      <c r="D1069" s="18">
        <f t="shared" ca="1" si="35"/>
        <v>19.682409308692677</v>
      </c>
      <c r="E1069" s="33">
        <f t="shared" ca="1" si="36"/>
        <v>49174</v>
      </c>
      <c r="F1069" s="47">
        <v>2.6147239270717857</v>
      </c>
    </row>
    <row r="1070" spans="4:6" x14ac:dyDescent="0.2">
      <c r="D1070" s="18">
        <f t="shared" ca="1" si="35"/>
        <v>19.701574264202602</v>
      </c>
      <c r="E1070" s="33">
        <f t="shared" ca="1" si="36"/>
        <v>49181</v>
      </c>
      <c r="F1070" s="47">
        <v>2.6154868305594552</v>
      </c>
    </row>
    <row r="1071" spans="4:6" x14ac:dyDescent="0.2">
      <c r="D1071" s="18">
        <f t="shared" ca="1" si="35"/>
        <v>19.720739219712527</v>
      </c>
      <c r="E1071" s="33">
        <f t="shared" ca="1" si="36"/>
        <v>49188</v>
      </c>
      <c r="F1071" s="47">
        <v>2.6162480303278035</v>
      </c>
    </row>
    <row r="1072" spans="4:6" x14ac:dyDescent="0.2">
      <c r="D1072" s="18">
        <f t="shared" ca="1" si="35"/>
        <v>19.739904175222449</v>
      </c>
      <c r="E1072" s="33">
        <f t="shared" ca="1" si="36"/>
        <v>49195</v>
      </c>
      <c r="F1072" s="47">
        <v>2.6170075593647693</v>
      </c>
    </row>
    <row r="1073" spans="4:6" x14ac:dyDescent="0.2">
      <c r="D1073" s="18">
        <f t="shared" ca="1" si="35"/>
        <v>19.759069130732374</v>
      </c>
      <c r="E1073" s="33">
        <f t="shared" ca="1" si="36"/>
        <v>49202</v>
      </c>
      <c r="F1073" s="47">
        <v>2.6177654504961363</v>
      </c>
    </row>
    <row r="1074" spans="4:6" x14ac:dyDescent="0.2">
      <c r="D1074" s="18">
        <f t="shared" ca="1" si="35"/>
        <v>19.7782340862423</v>
      </c>
      <c r="E1074" s="33">
        <f t="shared" ca="1" si="36"/>
        <v>49209</v>
      </c>
      <c r="F1074" s="47">
        <v>2.6185217363783524</v>
      </c>
    </row>
    <row r="1075" spans="4:6" x14ac:dyDescent="0.2">
      <c r="D1075" s="18">
        <f t="shared" ca="1" si="35"/>
        <v>19.797399041752225</v>
      </c>
      <c r="E1075" s="33">
        <f t="shared" ca="1" si="36"/>
        <v>49216</v>
      </c>
      <c r="F1075" s="47">
        <v>2.6192764494915859</v>
      </c>
    </row>
    <row r="1076" spans="4:6" x14ac:dyDescent="0.2">
      <c r="D1076" s="18">
        <f t="shared" ca="1" si="35"/>
        <v>19.816563997262151</v>
      </c>
      <c r="E1076" s="33">
        <f t="shared" ca="1" si="36"/>
        <v>49223</v>
      </c>
      <c r="F1076" s="47">
        <v>2.6200296221330106</v>
      </c>
    </row>
    <row r="1077" spans="4:6" x14ac:dyDescent="0.2">
      <c r="D1077" s="18">
        <f t="shared" ca="1" si="35"/>
        <v>19.835728952772072</v>
      </c>
      <c r="E1077" s="33">
        <f t="shared" ca="1" si="36"/>
        <v>49230</v>
      </c>
      <c r="F1077" s="47">
        <v>2.620781286410315</v>
      </c>
    </row>
    <row r="1078" spans="4:6" x14ac:dyDescent="0.2">
      <c r="D1078" s="18">
        <f t="shared" ca="1" si="35"/>
        <v>19.854893908281998</v>
      </c>
      <c r="E1078" s="33">
        <f t="shared" ca="1" si="36"/>
        <v>49237</v>
      </c>
      <c r="F1078" s="47">
        <v>2.6215314742354483</v>
      </c>
    </row>
    <row r="1079" spans="4:6" x14ac:dyDescent="0.2">
      <c r="D1079" s="18">
        <f t="shared" ca="1" si="35"/>
        <v>19.874058863791923</v>
      </c>
      <c r="E1079" s="33">
        <f t="shared" ca="1" si="36"/>
        <v>49244</v>
      </c>
      <c r="F1079" s="47">
        <v>2.6222802173185813</v>
      </c>
    </row>
    <row r="1080" spans="4:6" x14ac:dyDescent="0.2">
      <c r="D1080" s="18">
        <f t="shared" ca="1" si="35"/>
        <v>19.893223819301848</v>
      </c>
      <c r="E1080" s="33">
        <f t="shared" ca="1" si="36"/>
        <v>49251</v>
      </c>
      <c r="F1080" s="47">
        <v>2.6230275471622986</v>
      </c>
    </row>
    <row r="1081" spans="4:6" x14ac:dyDescent="0.2">
      <c r="D1081" s="18">
        <f t="shared" ca="1" si="35"/>
        <v>19.912388774811774</v>
      </c>
      <c r="E1081" s="33">
        <f t="shared" ca="1" si="36"/>
        <v>49258</v>
      </c>
      <c r="F1081" s="47">
        <v>2.623773495056005</v>
      </c>
    </row>
    <row r="1082" spans="4:6" x14ac:dyDescent="0.2">
      <c r="D1082" s="18">
        <f t="shared" ca="1" si="35"/>
        <v>19.931553730321699</v>
      </c>
      <c r="E1082" s="33">
        <f t="shared" ca="1" si="36"/>
        <v>49265</v>
      </c>
      <c r="F1082" s="47">
        <v>2.6245180920705575</v>
      </c>
    </row>
    <row r="1083" spans="4:6" x14ac:dyDescent="0.2">
      <c r="D1083" s="18">
        <f t="shared" ca="1" si="35"/>
        <v>19.950718685831621</v>
      </c>
      <c r="E1083" s="33">
        <f t="shared" ca="1" si="36"/>
        <v>49272</v>
      </c>
      <c r="F1083" s="47">
        <v>2.6252613690531086</v>
      </c>
    </row>
    <row r="1084" spans="4:6" x14ac:dyDescent="0.2">
      <c r="D1084" s="18">
        <f t="shared" ca="1" si="35"/>
        <v>19.969883641341546</v>
      </c>
      <c r="E1084" s="33">
        <f t="shared" ca="1" si="36"/>
        <v>49279</v>
      </c>
      <c r="F1084" s="47">
        <v>2.6260033566221681</v>
      </c>
    </row>
    <row r="1085" spans="4:6" x14ac:dyDescent="0.2">
      <c r="D1085" s="18">
        <f t="shared" ca="1" si="35"/>
        <v>19.989048596851472</v>
      </c>
      <c r="E1085" s="33">
        <f t="shared" ca="1" si="36"/>
        <v>49286</v>
      </c>
      <c r="F1085" s="47">
        <v>2.6267440851628727</v>
      </c>
    </row>
    <row r="1086" spans="4:6" x14ac:dyDescent="0.2">
      <c r="D1086" s="18">
        <f t="shared" ca="1" si="35"/>
        <v>20.008213552361397</v>
      </c>
      <c r="E1086" s="33">
        <f t="shared" ca="1" si="36"/>
        <v>49293</v>
      </c>
      <c r="F1086" s="47">
        <v>2.6274835519134245</v>
      </c>
    </row>
    <row r="1087" spans="4:6" x14ac:dyDescent="0.2">
      <c r="D1087" s="18">
        <f t="shared" ca="1" si="35"/>
        <v>20.027378507871322</v>
      </c>
      <c r="E1087" s="33">
        <f t="shared" ca="1" si="36"/>
        <v>49300</v>
      </c>
      <c r="F1087" s="47">
        <v>2.6282214995281081</v>
      </c>
    </row>
    <row r="1088" spans="4:6" x14ac:dyDescent="0.2">
      <c r="D1088" s="18">
        <f t="shared" ca="1" si="35"/>
        <v>20.046543463381244</v>
      </c>
      <c r="E1088" s="33">
        <f t="shared" ca="1" si="36"/>
        <v>49307</v>
      </c>
      <c r="F1088" s="47">
        <v>2.6289578427002138</v>
      </c>
    </row>
    <row r="1089" spans="4:6" x14ac:dyDescent="0.2">
      <c r="D1089" s="18">
        <f t="shared" ca="1" si="35"/>
        <v>20.06570841889117</v>
      </c>
      <c r="E1089" s="33">
        <f t="shared" ca="1" si="36"/>
        <v>49314</v>
      </c>
      <c r="F1089" s="47">
        <v>2.6296925511995988</v>
      </c>
    </row>
    <row r="1090" spans="4:6" x14ac:dyDescent="0.2">
      <c r="D1090" s="18">
        <f t="shared" ca="1" si="35"/>
        <v>20.084873374401095</v>
      </c>
      <c r="E1090" s="33">
        <f t="shared" ca="1" si="36"/>
        <v>49321</v>
      </c>
      <c r="F1090" s="47">
        <v>2.6304255946266299</v>
      </c>
    </row>
    <row r="1091" spans="4:6" x14ac:dyDescent="0.2">
      <c r="D1091" s="18">
        <f t="shared" ca="1" si="35"/>
        <v>20.10403832991102</v>
      </c>
      <c r="E1091" s="33">
        <f t="shared" ca="1" si="36"/>
        <v>49328</v>
      </c>
      <c r="F1091" s="47">
        <v>2.6311569424180608</v>
      </c>
    </row>
    <row r="1092" spans="4:6" x14ac:dyDescent="0.2">
      <c r="D1092" s="18">
        <f t="shared" ca="1" si="35"/>
        <v>20.123203285420946</v>
      </c>
      <c r="E1092" s="33">
        <f t="shared" ca="1" si="36"/>
        <v>49335</v>
      </c>
      <c r="F1092" s="47">
        <v>2.6318865638531164</v>
      </c>
    </row>
    <row r="1093" spans="4:6" x14ac:dyDescent="0.2">
      <c r="D1093" s="18">
        <f t="shared" ca="1" si="35"/>
        <v>20.142368240930868</v>
      </c>
      <c r="E1093" s="33">
        <f t="shared" ca="1" si="36"/>
        <v>49342</v>
      </c>
      <c r="F1093" s="47">
        <v>2.6326144280597874</v>
      </c>
    </row>
    <row r="1094" spans="4:6" x14ac:dyDescent="0.2">
      <c r="D1094" s="18">
        <f t="shared" ca="1" si="35"/>
        <v>20.161533196440793</v>
      </c>
      <c r="E1094" s="33">
        <f t="shared" ca="1" si="36"/>
        <v>49349</v>
      </c>
      <c r="F1094" s="47">
        <v>2.6333405040213411</v>
      </c>
    </row>
    <row r="1095" spans="4:6" x14ac:dyDescent="0.2">
      <c r="D1095" s="18">
        <f t="shared" ca="1" si="35"/>
        <v>20.180698151950718</v>
      </c>
      <c r="E1095" s="33">
        <f t="shared" ca="1" si="36"/>
        <v>49356</v>
      </c>
      <c r="F1095" s="47">
        <v>2.6340647605830458</v>
      </c>
    </row>
    <row r="1096" spans="4:6" x14ac:dyDescent="0.2">
      <c r="D1096" s="18">
        <f t="shared" ca="1" si="35"/>
        <v>20.199863107460644</v>
      </c>
      <c r="E1096" s="33">
        <f t="shared" ca="1" si="36"/>
        <v>49363</v>
      </c>
      <c r="F1096" s="47">
        <v>2.6347871664590987</v>
      </c>
    </row>
    <row r="1097" spans="4:6" x14ac:dyDescent="0.2">
      <c r="D1097" s="18">
        <f t="shared" ca="1" si="35"/>
        <v>20.219028062970569</v>
      </c>
      <c r="E1097" s="33">
        <f t="shared" ca="1" si="36"/>
        <v>49370</v>
      </c>
      <c r="F1097" s="47">
        <v>2.6355076902397871</v>
      </c>
    </row>
    <row r="1098" spans="4:6" x14ac:dyDescent="0.2">
      <c r="D1098" s="18">
        <f t="shared" ca="1" si="35"/>
        <v>20.238193018480494</v>
      </c>
      <c r="E1098" s="33">
        <f t="shared" ca="1" si="36"/>
        <v>49377</v>
      </c>
      <c r="F1098" s="47">
        <v>2.6362263003988526</v>
      </c>
    </row>
    <row r="1099" spans="4:6" x14ac:dyDescent="0.2">
      <c r="D1099" s="18">
        <f t="shared" ca="1" si="35"/>
        <v>20.257357973990416</v>
      </c>
      <c r="E1099" s="33">
        <f t="shared" ca="1" si="36"/>
        <v>49384</v>
      </c>
      <c r="F1099" s="47">
        <v>2.6369429653010816</v>
      </c>
    </row>
    <row r="1100" spans="4:6" x14ac:dyDescent="0.2">
      <c r="D1100" s="18">
        <f t="shared" ca="1" si="35"/>
        <v>20.276522929500342</v>
      </c>
      <c r="E1100" s="33">
        <f t="shared" ca="1" si="36"/>
        <v>49391</v>
      </c>
      <c r="F1100" s="47">
        <v>2.6376576532101099</v>
      </c>
    </row>
    <row r="1101" spans="4:6" x14ac:dyDescent="0.2">
      <c r="D1101" s="18">
        <f t="shared" ca="1" si="35"/>
        <v>20.295687885010267</v>
      </c>
      <c r="E1101" s="33">
        <f t="shared" ca="1" si="36"/>
        <v>49398</v>
      </c>
      <c r="F1101" s="47">
        <v>2.63837033229645</v>
      </c>
    </row>
    <row r="1102" spans="4:6" x14ac:dyDescent="0.2">
      <c r="D1102" s="18">
        <f t="shared" ca="1" si="35"/>
        <v>20.314852840520192</v>
      </c>
      <c r="E1102" s="33">
        <f t="shared" ca="1" si="36"/>
        <v>49405</v>
      </c>
      <c r="F1102" s="47">
        <v>2.6390809706457325</v>
      </c>
    </row>
    <row r="1103" spans="4:6" x14ac:dyDescent="0.2">
      <c r="D1103" s="18">
        <f t="shared" ca="1" si="35"/>
        <v>20.334017796030118</v>
      </c>
      <c r="E1103" s="33">
        <f t="shared" ca="1" si="36"/>
        <v>49412</v>
      </c>
      <c r="F1103" s="47">
        <v>2.6397895362671755</v>
      </c>
    </row>
    <row r="1104" spans="4:6" x14ac:dyDescent="0.2">
      <c r="D1104" s="18">
        <f t="shared" ca="1" si="35"/>
        <v>20.353182751540039</v>
      </c>
      <c r="E1104" s="33">
        <f t="shared" ca="1" si="36"/>
        <v>49419</v>
      </c>
      <c r="F1104" s="47">
        <v>2.640495997102267</v>
      </c>
    </row>
    <row r="1105" spans="4:6" x14ac:dyDescent="0.2">
      <c r="D1105" s="18">
        <f t="shared" ca="1" si="35"/>
        <v>20.372347707049965</v>
      </c>
      <c r="E1105" s="33">
        <f t="shared" ca="1" si="36"/>
        <v>49426</v>
      </c>
      <c r="F1105" s="47">
        <v>2.6412003210336668</v>
      </c>
    </row>
    <row r="1106" spans="4:6" x14ac:dyDescent="0.2">
      <c r="D1106" s="18">
        <f t="shared" ca="1" si="35"/>
        <v>20.39151266255989</v>
      </c>
      <c r="E1106" s="33">
        <f t="shared" ca="1" si="36"/>
        <v>49433</v>
      </c>
      <c r="F1106" s="47">
        <v>2.6419024758943324</v>
      </c>
    </row>
    <row r="1107" spans="4:6" x14ac:dyDescent="0.2">
      <c r="D1107" s="18">
        <f t="shared" ca="1" si="35"/>
        <v>20.410677618069816</v>
      </c>
      <c r="E1107" s="33">
        <f t="shared" ca="1" si="36"/>
        <v>49440</v>
      </c>
      <c r="F1107" s="47">
        <v>2.6426024294768604</v>
      </c>
    </row>
    <row r="1108" spans="4:6" x14ac:dyDescent="0.2">
      <c r="D1108" s="18">
        <f t="shared" ca="1" si="35"/>
        <v>20.429842573579741</v>
      </c>
      <c r="E1108" s="33">
        <f t="shared" ca="1" si="36"/>
        <v>49447</v>
      </c>
      <c r="F1108" s="47">
        <v>2.6433001495430468</v>
      </c>
    </row>
    <row r="1109" spans="4:6" x14ac:dyDescent="0.2">
      <c r="D1109" s="18">
        <f t="shared" ca="1" si="35"/>
        <v>20.449007529089666</v>
      </c>
      <c r="E1109" s="33">
        <f t="shared" ca="1" si="36"/>
        <v>49454</v>
      </c>
      <c r="F1109" s="47">
        <v>2.6439956038336598</v>
      </c>
    </row>
    <row r="1110" spans="4:6" x14ac:dyDescent="0.2">
      <c r="D1110" s="18">
        <f t="shared" ca="1" si="35"/>
        <v>20.468172484599588</v>
      </c>
      <c r="E1110" s="33">
        <f t="shared" ca="1" si="36"/>
        <v>49461</v>
      </c>
      <c r="F1110" s="47">
        <v>2.6446887600784352</v>
      </c>
    </row>
    <row r="1111" spans="4:6" x14ac:dyDescent="0.2">
      <c r="D1111" s="18">
        <f t="shared" ca="1" si="35"/>
        <v>20.487337440109513</v>
      </c>
      <c r="E1111" s="33">
        <f t="shared" ca="1" si="36"/>
        <v>49468</v>
      </c>
      <c r="F1111" s="47">
        <v>2.6453795860062819</v>
      </c>
    </row>
    <row r="1112" spans="4:6" x14ac:dyDescent="0.2">
      <c r="D1112" s="18">
        <f t="shared" ca="1" si="35"/>
        <v>20.506502395619439</v>
      </c>
      <c r="E1112" s="33">
        <f t="shared" ca="1" si="36"/>
        <v>49475</v>
      </c>
      <c r="F1112" s="47">
        <v>2.6460680493556952</v>
      </c>
    </row>
    <row r="1113" spans="4:6" x14ac:dyDescent="0.2">
      <c r="D1113" s="18">
        <f t="shared" ca="1" si="35"/>
        <v>20.525667351129364</v>
      </c>
      <c r="E1113" s="33">
        <f t="shared" ca="1" si="36"/>
        <v>49482</v>
      </c>
      <c r="F1113" s="47">
        <v>2.6467541178853935</v>
      </c>
    </row>
    <row r="1114" spans="4:6" x14ac:dyDescent="0.2">
      <c r="D1114" s="18">
        <f t="shared" ca="1" si="35"/>
        <v>20.544832306639289</v>
      </c>
      <c r="E1114" s="33">
        <f t="shared" ca="1" si="36"/>
        <v>49489</v>
      </c>
      <c r="F1114" s="47">
        <v>2.6474377593851441</v>
      </c>
    </row>
    <row r="1115" spans="4:6" x14ac:dyDescent="0.2">
      <c r="D1115" s="18">
        <f t="shared" ca="1" si="35"/>
        <v>20.563997262149211</v>
      </c>
      <c r="E1115" s="33">
        <f t="shared" ca="1" si="36"/>
        <v>49496</v>
      </c>
      <c r="F1115" s="47">
        <v>2.6481189416868136</v>
      </c>
    </row>
    <row r="1116" spans="4:6" x14ac:dyDescent="0.2">
      <c r="D1116" s="18">
        <f t="shared" ca="1" si="35"/>
        <v>20.583162217659137</v>
      </c>
      <c r="E1116" s="33">
        <f t="shared" ca="1" si="36"/>
        <v>49503</v>
      </c>
      <c r="F1116" s="47">
        <v>2.6487976326756071</v>
      </c>
    </row>
    <row r="1117" spans="4:6" x14ac:dyDescent="0.2">
      <c r="D1117" s="18">
        <f t="shared" ca="1" si="35"/>
        <v>20.602327173169062</v>
      </c>
      <c r="E1117" s="33">
        <f t="shared" ca="1" si="36"/>
        <v>49510</v>
      </c>
      <c r="F1117" s="47">
        <v>2.6494738003015197</v>
      </c>
    </row>
    <row r="1118" spans="4:6" x14ac:dyDescent="0.2">
      <c r="D1118" s="18">
        <f t="shared" ca="1" si="35"/>
        <v>20.621492128678987</v>
      </c>
      <c r="E1118" s="33">
        <f t="shared" ca="1" si="36"/>
        <v>49517</v>
      </c>
      <c r="F1118" s="47">
        <v>2.6501474125909668</v>
      </c>
    </row>
    <row r="1119" spans="4:6" x14ac:dyDescent="0.2">
      <c r="D1119" s="18">
        <f t="shared" ca="1" si="35"/>
        <v>20.640657084188913</v>
      </c>
      <c r="E1119" s="33">
        <f t="shared" ca="1" si="36"/>
        <v>49524</v>
      </c>
      <c r="F1119" s="47">
        <v>2.6508184376586308</v>
      </c>
    </row>
    <row r="1120" spans="4:6" x14ac:dyDescent="0.2">
      <c r="D1120" s="18">
        <f t="shared" ca="1" si="35"/>
        <v>20.659822039698838</v>
      </c>
      <c r="E1120" s="33">
        <f t="shared" ca="1" si="36"/>
        <v>49531</v>
      </c>
      <c r="F1120" s="47">
        <v>2.6514868437194754</v>
      </c>
    </row>
    <row r="1121" spans="4:6" x14ac:dyDescent="0.2">
      <c r="D1121" s="18">
        <f t="shared" ca="1" si="35"/>
        <v>20.67898699520876</v>
      </c>
      <c r="E1121" s="33">
        <f t="shared" ca="1" si="36"/>
        <v>49538</v>
      </c>
      <c r="F1121" s="47">
        <v>2.6521525991009618</v>
      </c>
    </row>
    <row r="1122" spans="4:6" x14ac:dyDescent="0.2">
      <c r="D1122" s="18">
        <f t="shared" ca="1" si="35"/>
        <v>20.698151950718685</v>
      </c>
      <c r="E1122" s="33">
        <f t="shared" ca="1" si="36"/>
        <v>49545</v>
      </c>
      <c r="F1122" s="47">
        <v>2.6528156722554344</v>
      </c>
    </row>
    <row r="1123" spans="4:6" x14ac:dyDescent="0.2">
      <c r="D1123" s="18">
        <f t="shared" ca="1" si="35"/>
        <v>20.717316906228611</v>
      </c>
      <c r="E1123" s="33">
        <f t="shared" ca="1" si="36"/>
        <v>49552</v>
      </c>
      <c r="F1123" s="47">
        <v>2.6534760317726889</v>
      </c>
    </row>
    <row r="1124" spans="4:6" x14ac:dyDescent="0.2">
      <c r="D1124" s="18">
        <f t="shared" ca="1" si="35"/>
        <v>20.736481861738536</v>
      </c>
      <c r="E1124" s="33">
        <f t="shared" ca="1" si="36"/>
        <v>49559</v>
      </c>
      <c r="F1124" s="47">
        <v>2.6541336463927103</v>
      </c>
    </row>
    <row r="1125" spans="4:6" x14ac:dyDescent="0.2">
      <c r="D1125" s="18">
        <f t="shared" ca="1" si="35"/>
        <v>20.755646817248461</v>
      </c>
      <c r="E1125" s="33">
        <f t="shared" ca="1" si="36"/>
        <v>49566</v>
      </c>
      <c r="F1125" s="47">
        <v>2.6547884850185786</v>
      </c>
    </row>
    <row r="1126" spans="4:6" x14ac:dyDescent="0.2">
      <c r="D1126" s="18">
        <f t="shared" ca="1" si="35"/>
        <v>20.774811772758383</v>
      </c>
      <c r="E1126" s="33">
        <f t="shared" ca="1" si="36"/>
        <v>49573</v>
      </c>
      <c r="F1126" s="47">
        <v>2.6554405167295312</v>
      </c>
    </row>
    <row r="1127" spans="4:6" x14ac:dyDescent="0.2">
      <c r="D1127" s="18">
        <f t="shared" ca="1" si="35"/>
        <v>20.793976728268309</v>
      </c>
      <c r="E1127" s="33">
        <f t="shared" ca="1" si="36"/>
        <v>49580</v>
      </c>
      <c r="F1127" s="47">
        <v>2.6560897107941841</v>
      </c>
    </row>
    <row r="1128" spans="4:6" x14ac:dyDescent="0.2">
      <c r="D1128" s="18">
        <f t="shared" ca="1" si="35"/>
        <v>20.813141683778234</v>
      </c>
      <c r="E1128" s="33">
        <f t="shared" ca="1" si="36"/>
        <v>49587</v>
      </c>
      <c r="F1128" s="47">
        <v>2.6567360366839035</v>
      </c>
    </row>
    <row r="1129" spans="4:6" x14ac:dyDescent="0.2">
      <c r="D1129" s="18">
        <f t="shared" ca="1" si="35"/>
        <v>20.832306639288159</v>
      </c>
      <c r="E1129" s="33">
        <f t="shared" ca="1" si="36"/>
        <v>49594</v>
      </c>
      <c r="F1129" s="47">
        <v>2.6573794640863131</v>
      </c>
    </row>
    <row r="1130" spans="4:6" x14ac:dyDescent="0.2">
      <c r="D1130" s="18">
        <f t="shared" ref="D1130:D1193" ca="1" si="37">(E1130-$E$42)/365.25</f>
        <v>20.851471594798085</v>
      </c>
      <c r="E1130" s="33">
        <f t="shared" ca="1" si="36"/>
        <v>49601</v>
      </c>
      <c r="F1130" s="47">
        <v>2.6580199629189463</v>
      </c>
    </row>
    <row r="1131" spans="4:6" x14ac:dyDescent="0.2">
      <c r="D1131" s="18">
        <f t="shared" ca="1" si="37"/>
        <v>20.870636550308006</v>
      </c>
      <c r="E1131" s="33">
        <f t="shared" ref="E1131:E1194" ca="1" si="38">E1130+7</f>
        <v>49608</v>
      </c>
      <c r="F1131" s="47">
        <v>2.65865750334302</v>
      </c>
    </row>
    <row r="1132" spans="4:6" x14ac:dyDescent="0.2">
      <c r="D1132" s="18">
        <f t="shared" ca="1" si="37"/>
        <v>20.889801505817932</v>
      </c>
      <c r="E1132" s="33">
        <f t="shared" ca="1" si="38"/>
        <v>49615</v>
      </c>
      <c r="F1132" s="47">
        <v>2.659292055777331</v>
      </c>
    </row>
    <row r="1133" spans="4:6" x14ac:dyDescent="0.2">
      <c r="D1133" s="18">
        <f t="shared" ca="1" si="37"/>
        <v>20.908966461327857</v>
      </c>
      <c r="E1133" s="33">
        <f t="shared" ca="1" si="38"/>
        <v>49622</v>
      </c>
      <c r="F1133" s="47">
        <v>2.6599235909122765</v>
      </c>
    </row>
    <row r="1134" spans="4:6" x14ac:dyDescent="0.2">
      <c r="D1134" s="18">
        <f t="shared" ca="1" si="37"/>
        <v>20.928131416837783</v>
      </c>
      <c r="E1134" s="33">
        <f t="shared" ca="1" si="38"/>
        <v>49629</v>
      </c>
      <c r="F1134" s="47">
        <v>2.6605520797239612</v>
      </c>
    </row>
    <row r="1135" spans="4:6" x14ac:dyDescent="0.2">
      <c r="D1135" s="18">
        <f t="shared" ca="1" si="37"/>
        <v>20.947296372347708</v>
      </c>
      <c r="E1135" s="33">
        <f t="shared" ca="1" si="38"/>
        <v>49636</v>
      </c>
      <c r="F1135" s="47">
        <v>2.6611774934884282</v>
      </c>
    </row>
    <row r="1136" spans="4:6" x14ac:dyDescent="0.2">
      <c r="D1136" s="18">
        <f t="shared" ca="1" si="37"/>
        <v>20.966461327857633</v>
      </c>
      <c r="E1136" s="33">
        <f t="shared" ca="1" si="38"/>
        <v>49643</v>
      </c>
      <c r="F1136" s="47">
        <v>2.6617998037959545</v>
      </c>
    </row>
    <row r="1137" spans="4:6" x14ac:dyDescent="0.2">
      <c r="D1137" s="18">
        <f t="shared" ca="1" si="37"/>
        <v>20.985626283367555</v>
      </c>
      <c r="E1137" s="33">
        <f t="shared" ca="1" si="38"/>
        <v>49650</v>
      </c>
      <c r="F1137" s="47">
        <v>2.6624189825654465</v>
      </c>
    </row>
    <row r="1138" spans="4:6" x14ac:dyDescent="0.2">
      <c r="D1138" s="18">
        <f t="shared" ca="1" si="37"/>
        <v>21.00479123887748</v>
      </c>
      <c r="E1138" s="33">
        <f t="shared" ca="1" si="38"/>
        <v>49657</v>
      </c>
      <c r="F1138" s="47">
        <v>2.6630350020588982</v>
      </c>
    </row>
    <row r="1139" spans="4:6" x14ac:dyDescent="0.2">
      <c r="D1139" s="18">
        <f t="shared" ca="1" si="37"/>
        <v>21.023956194387406</v>
      </c>
      <c r="E1139" s="33">
        <f t="shared" ca="1" si="38"/>
        <v>49664</v>
      </c>
      <c r="F1139" s="47">
        <v>2.6636478348959161</v>
      </c>
    </row>
    <row r="1140" spans="4:6" x14ac:dyDescent="0.2">
      <c r="D1140" s="18">
        <f t="shared" ca="1" si="37"/>
        <v>21.043121149897331</v>
      </c>
      <c r="E1140" s="33">
        <f t="shared" ca="1" si="38"/>
        <v>49671</v>
      </c>
      <c r="F1140" s="47">
        <v>2.6642574540682959</v>
      </c>
    </row>
    <row r="1141" spans="4:6" x14ac:dyDescent="0.2">
      <c r="D1141" s="18">
        <f t="shared" ca="1" si="37"/>
        <v>21.062286105407257</v>
      </c>
      <c r="E1141" s="33">
        <f t="shared" ca="1" si="38"/>
        <v>49678</v>
      </c>
      <c r="F1141" s="47">
        <v>2.6648638329546421</v>
      </c>
    </row>
    <row r="1142" spans="4:6" x14ac:dyDescent="0.2">
      <c r="D1142" s="18">
        <f t="shared" ca="1" si="37"/>
        <v>21.081451060917178</v>
      </c>
      <c r="E1142" s="33">
        <f t="shared" ca="1" si="38"/>
        <v>49685</v>
      </c>
      <c r="F1142" s="47">
        <v>2.6654669453350288</v>
      </c>
    </row>
    <row r="1143" spans="4:6" x14ac:dyDescent="0.2">
      <c r="D1143" s="18">
        <f t="shared" ca="1" si="37"/>
        <v>21.100616016427104</v>
      </c>
      <c r="E1143" s="33">
        <f t="shared" ca="1" si="38"/>
        <v>49692</v>
      </c>
      <c r="F1143" s="47">
        <v>2.6660667654056689</v>
      </c>
    </row>
    <row r="1144" spans="4:6" x14ac:dyDescent="0.2">
      <c r="D1144" s="18">
        <f t="shared" ca="1" si="37"/>
        <v>21.119780971937029</v>
      </c>
      <c r="E1144" s="33">
        <f t="shared" ca="1" si="38"/>
        <v>49699</v>
      </c>
      <c r="F1144" s="47">
        <v>2.6666632677936137</v>
      </c>
    </row>
    <row r="1145" spans="4:6" x14ac:dyDescent="0.2">
      <c r="D1145" s="18">
        <f t="shared" ca="1" si="37"/>
        <v>21.138945927446954</v>
      </c>
      <c r="E1145" s="33">
        <f t="shared" ca="1" si="38"/>
        <v>49706</v>
      </c>
      <c r="F1145" s="47">
        <v>2.6672564275714437</v>
      </c>
    </row>
    <row r="1146" spans="4:6" x14ac:dyDescent="0.2">
      <c r="D1146" s="18">
        <f t="shared" ca="1" si="37"/>
        <v>21.15811088295688</v>
      </c>
      <c r="E1146" s="33">
        <f t="shared" ca="1" si="38"/>
        <v>49713</v>
      </c>
      <c r="F1146" s="47">
        <v>2.6678462202719526</v>
      </c>
    </row>
    <row r="1147" spans="4:6" x14ac:dyDescent="0.2">
      <c r="D1147" s="18">
        <f t="shared" ca="1" si="37"/>
        <v>21.177275838466805</v>
      </c>
      <c r="E1147" s="33">
        <f t="shared" ca="1" si="38"/>
        <v>49720</v>
      </c>
      <c r="F1147" s="47">
        <v>2.6684326219028103</v>
      </c>
    </row>
    <row r="1148" spans="4:6" x14ac:dyDescent="0.2">
      <c r="D1148" s="18">
        <f t="shared" ca="1" si="37"/>
        <v>21.196440793976727</v>
      </c>
      <c r="E1148" s="33">
        <f t="shared" ca="1" si="38"/>
        <v>49727</v>
      </c>
      <c r="F1148" s="47">
        <v>2.6690156089612045</v>
      </c>
    </row>
    <row r="1149" spans="4:6" x14ac:dyDescent="0.2">
      <c r="D1149" s="18">
        <f t="shared" ca="1" si="37"/>
        <v>21.215605749486652</v>
      </c>
      <c r="E1149" s="33">
        <f t="shared" ca="1" si="38"/>
        <v>49734</v>
      </c>
      <c r="F1149" s="47">
        <v>2.6695951584484185</v>
      </c>
    </row>
    <row r="1150" spans="4:6" x14ac:dyDescent="0.2">
      <c r="D1150" s="18">
        <f t="shared" ca="1" si="37"/>
        <v>21.234770704996578</v>
      </c>
      <c r="E1150" s="33">
        <f t="shared" ca="1" si="38"/>
        <v>49741</v>
      </c>
      <c r="F1150" s="47">
        <v>2.6701712478843795</v>
      </c>
    </row>
    <row r="1151" spans="4:6" x14ac:dyDescent="0.2">
      <c r="D1151" s="18">
        <f t="shared" ca="1" si="37"/>
        <v>21.253935660506503</v>
      </c>
      <c r="E1151" s="33">
        <f t="shared" ca="1" si="38"/>
        <v>49748</v>
      </c>
      <c r="F1151" s="47">
        <v>2.6707438553221188</v>
      </c>
    </row>
    <row r="1152" spans="4:6" x14ac:dyDescent="0.2">
      <c r="D1152" s="18">
        <f t="shared" ca="1" si="37"/>
        <v>21.273100616016428</v>
      </c>
      <c r="E1152" s="33">
        <f t="shared" ca="1" si="38"/>
        <v>49755</v>
      </c>
      <c r="F1152" s="47">
        <v>2.6713129593621621</v>
      </c>
    </row>
    <row r="1153" spans="4:6" x14ac:dyDescent="0.2">
      <c r="D1153" s="18">
        <f t="shared" ca="1" si="37"/>
        <v>21.29226557152635</v>
      </c>
      <c r="E1153" s="33">
        <f t="shared" ca="1" si="38"/>
        <v>49762</v>
      </c>
      <c r="F1153" s="47">
        <v>2.6718785391668356</v>
      </c>
    </row>
    <row r="1154" spans="4:6" x14ac:dyDescent="0.2">
      <c r="D1154" s="18">
        <f t="shared" ca="1" si="37"/>
        <v>21.311430527036276</v>
      </c>
      <c r="E1154" s="33">
        <f t="shared" ca="1" si="38"/>
        <v>49769</v>
      </c>
      <c r="F1154" s="47">
        <v>2.6724405744744515</v>
      </c>
    </row>
    <row r="1155" spans="4:6" x14ac:dyDescent="0.2">
      <c r="D1155" s="18">
        <f t="shared" ca="1" si="37"/>
        <v>21.330595482546201</v>
      </c>
      <c r="E1155" s="33">
        <f t="shared" ca="1" si="38"/>
        <v>49776</v>
      </c>
      <c r="F1155" s="47">
        <v>2.6729990456133885</v>
      </c>
    </row>
    <row r="1156" spans="4:6" x14ac:dyDescent="0.2">
      <c r="D1156" s="18">
        <f t="shared" ca="1" si="37"/>
        <v>21.349760438056126</v>
      </c>
      <c r="E1156" s="33">
        <f t="shared" ca="1" si="38"/>
        <v>49783</v>
      </c>
      <c r="F1156" s="47">
        <v>2.6735539335160445</v>
      </c>
    </row>
    <row r="1157" spans="4:6" x14ac:dyDescent="0.2">
      <c r="D1157" s="18">
        <f t="shared" ca="1" si="37"/>
        <v>21.368925393566052</v>
      </c>
      <c r="E1157" s="33">
        <f t="shared" ca="1" si="38"/>
        <v>49790</v>
      </c>
      <c r="F1157" s="47">
        <v>2.6741052197326396</v>
      </c>
    </row>
    <row r="1158" spans="4:6" x14ac:dyDescent="0.2">
      <c r="D1158" s="18">
        <f t="shared" ca="1" si="37"/>
        <v>21.388090349075977</v>
      </c>
      <c r="E1158" s="33">
        <f t="shared" ca="1" si="38"/>
        <v>49797</v>
      </c>
      <c r="F1158" s="47">
        <v>2.6746528864448713</v>
      </c>
    </row>
    <row r="1159" spans="4:6" x14ac:dyDescent="0.2">
      <c r="D1159" s="18">
        <f t="shared" ca="1" si="37"/>
        <v>21.407255304585899</v>
      </c>
      <c r="E1159" s="33">
        <f t="shared" ca="1" si="38"/>
        <v>49804</v>
      </c>
      <c r="F1159" s="47">
        <v>2.6751969164793969</v>
      </c>
    </row>
    <row r="1160" spans="4:6" x14ac:dyDescent="0.2">
      <c r="D1160" s="18">
        <f t="shared" ca="1" si="37"/>
        <v>21.426420260095824</v>
      </c>
      <c r="E1160" s="33">
        <f t="shared" ca="1" si="38"/>
        <v>49811</v>
      </c>
      <c r="F1160" s="47">
        <v>2.6757372933211392</v>
      </c>
    </row>
    <row r="1161" spans="4:6" x14ac:dyDescent="0.2">
      <c r="D1161" s="18">
        <f t="shared" ca="1" si="37"/>
        <v>21.44558521560575</v>
      </c>
      <c r="E1161" s="33">
        <f t="shared" ca="1" si="38"/>
        <v>49818</v>
      </c>
      <c r="F1161" s="47">
        <v>2.6762740011263926</v>
      </c>
    </row>
    <row r="1162" spans="4:6" x14ac:dyDescent="0.2">
      <c r="D1162" s="18">
        <f t="shared" ca="1" si="37"/>
        <v>21.464750171115675</v>
      </c>
      <c r="E1162" s="33">
        <f t="shared" ca="1" si="38"/>
        <v>49825</v>
      </c>
      <c r="F1162" s="47">
        <v>2.6768070247357327</v>
      </c>
    </row>
    <row r="1163" spans="4:6" x14ac:dyDescent="0.2">
      <c r="D1163" s="18">
        <f t="shared" ca="1" si="37"/>
        <v>21.4839151266256</v>
      </c>
      <c r="E1163" s="33">
        <f t="shared" ca="1" si="38"/>
        <v>49832</v>
      </c>
      <c r="F1163" s="47">
        <v>2.6773363496866889</v>
      </c>
    </row>
    <row r="1164" spans="4:6" x14ac:dyDescent="0.2">
      <c r="D1164" s="18">
        <f t="shared" ca="1" si="37"/>
        <v>21.503080082135522</v>
      </c>
      <c r="E1164" s="33">
        <f t="shared" ca="1" si="38"/>
        <v>49839</v>
      </c>
      <c r="F1164" s="47">
        <v>2.6778619622262059</v>
      </c>
    </row>
    <row r="1165" spans="4:6" x14ac:dyDescent="0.2">
      <c r="D1165" s="18">
        <f t="shared" ca="1" si="37"/>
        <v>21.522245037645447</v>
      </c>
      <c r="E1165" s="33">
        <f t="shared" ca="1" si="38"/>
        <v>49846</v>
      </c>
      <c r="F1165" s="47">
        <v>2.6783838493228354</v>
      </c>
    </row>
    <row r="1166" spans="4:6" x14ac:dyDescent="0.2">
      <c r="D1166" s="18">
        <f t="shared" ca="1" si="37"/>
        <v>21.541409993155373</v>
      </c>
      <c r="E1166" s="33">
        <f t="shared" ca="1" si="38"/>
        <v>49853</v>
      </c>
      <c r="F1166" s="47">
        <v>2.6789019986786893</v>
      </c>
    </row>
    <row r="1167" spans="4:6" x14ac:dyDescent="0.2">
      <c r="D1167" s="18">
        <f t="shared" ca="1" si="37"/>
        <v>21.560574948665298</v>
      </c>
      <c r="E1167" s="33">
        <f t="shared" ca="1" si="38"/>
        <v>49860</v>
      </c>
      <c r="F1167" s="47">
        <v>2.6794163987411039</v>
      </c>
    </row>
    <row r="1168" spans="4:6" x14ac:dyDescent="0.2">
      <c r="D1168" s="18">
        <f t="shared" ca="1" si="37"/>
        <v>21.579739904175224</v>
      </c>
      <c r="E1168" s="33">
        <f t="shared" ca="1" si="38"/>
        <v>49867</v>
      </c>
      <c r="F1168" s="47">
        <v>2.679927038714033</v>
      </c>
    </row>
    <row r="1169" spans="4:6" x14ac:dyDescent="0.2">
      <c r="D1169" s="18">
        <f t="shared" ca="1" si="37"/>
        <v>21.598904859685145</v>
      </c>
      <c r="E1169" s="33">
        <f t="shared" ca="1" si="38"/>
        <v>49874</v>
      </c>
      <c r="F1169" s="47">
        <v>2.6804339085691322</v>
      </c>
    </row>
    <row r="1170" spans="4:6" x14ac:dyDescent="0.2">
      <c r="D1170" s="18">
        <f t="shared" ca="1" si="37"/>
        <v>21.618069815195071</v>
      </c>
      <c r="E1170" s="33">
        <f t="shared" ca="1" si="38"/>
        <v>49881</v>
      </c>
      <c r="F1170" s="47">
        <v>2.6809369990565357</v>
      </c>
    </row>
    <row r="1171" spans="4:6" x14ac:dyDescent="0.2">
      <c r="D1171" s="18">
        <f t="shared" ca="1" si="37"/>
        <v>21.637234770704996</v>
      </c>
      <c r="E1171" s="33">
        <f t="shared" ca="1" si="38"/>
        <v>49888</v>
      </c>
      <c r="F1171" s="47">
        <v>2.6814363017153204</v>
      </c>
    </row>
    <row r="1172" spans="4:6" x14ac:dyDescent="0.2">
      <c r="D1172" s="18">
        <f t="shared" ca="1" si="37"/>
        <v>21.656399726214921</v>
      </c>
      <c r="E1172" s="33">
        <f t="shared" ca="1" si="38"/>
        <v>49895</v>
      </c>
      <c r="F1172" s="47">
        <v>2.6819318088836162</v>
      </c>
    </row>
    <row r="1173" spans="4:6" x14ac:dyDescent="0.2">
      <c r="D1173" s="18">
        <f t="shared" ca="1" si="37"/>
        <v>21.675564681724847</v>
      </c>
      <c r="E1173" s="33">
        <f t="shared" ca="1" si="38"/>
        <v>49902</v>
      </c>
      <c r="F1173" s="47">
        <v>2.6824235137083807</v>
      </c>
    </row>
    <row r="1174" spans="4:6" x14ac:dyDescent="0.2">
      <c r="D1174" s="18">
        <f t="shared" ca="1" si="37"/>
        <v>21.694729637234772</v>
      </c>
      <c r="E1174" s="33">
        <f t="shared" ca="1" si="38"/>
        <v>49909</v>
      </c>
      <c r="F1174" s="47">
        <v>2.6829114101548139</v>
      </c>
    </row>
    <row r="1175" spans="4:6" x14ac:dyDescent="0.2">
      <c r="D1175" s="18">
        <f t="shared" ca="1" si="37"/>
        <v>21.713894592744694</v>
      </c>
      <c r="E1175" s="33">
        <f t="shared" ca="1" si="38"/>
        <v>49916</v>
      </c>
      <c r="F1175" s="47">
        <v>2.6833954930154018</v>
      </c>
    </row>
    <row r="1176" spans="4:6" x14ac:dyDescent="0.2">
      <c r="D1176" s="18">
        <f t="shared" ca="1" si="37"/>
        <v>21.733059548254619</v>
      </c>
      <c r="E1176" s="33">
        <f t="shared" ca="1" si="38"/>
        <v>49923</v>
      </c>
      <c r="F1176" s="47">
        <v>2.6838757579185692</v>
      </c>
    </row>
    <row r="1177" spans="4:6" x14ac:dyDescent="0.2">
      <c r="D1177" s="18">
        <f t="shared" ca="1" si="37"/>
        <v>21.752224503764545</v>
      </c>
      <c r="E1177" s="33">
        <f t="shared" ca="1" si="38"/>
        <v>49930</v>
      </c>
      <c r="F1177" s="47">
        <v>2.6843522013369503</v>
      </c>
    </row>
    <row r="1178" spans="4:6" x14ac:dyDescent="0.2">
      <c r="D1178" s="18">
        <f t="shared" ca="1" si="37"/>
        <v>21.77138945927447</v>
      </c>
      <c r="E1178" s="33">
        <f t="shared" ca="1" si="38"/>
        <v>49937</v>
      </c>
      <c r="F1178" s="47">
        <v>2.6848248205952454</v>
      </c>
    </row>
    <row r="1179" spans="4:6" x14ac:dyDescent="0.2">
      <c r="D1179" s="18">
        <f t="shared" ca="1" si="37"/>
        <v>21.790554414784395</v>
      </c>
      <c r="E1179" s="33">
        <f t="shared" ca="1" si="38"/>
        <v>49944</v>
      </c>
      <c r="F1179" s="47">
        <v>2.6852936138776662</v>
      </c>
    </row>
    <row r="1180" spans="4:6" x14ac:dyDescent="0.2">
      <c r="D1180" s="18">
        <f t="shared" ca="1" si="37"/>
        <v>21.809719370294317</v>
      </c>
      <c r="E1180" s="33">
        <f t="shared" ca="1" si="38"/>
        <v>49951</v>
      </c>
      <c r="F1180" s="47">
        <v>2.6857585802349542</v>
      </c>
    </row>
    <row r="1181" spans="4:6" x14ac:dyDescent="0.2">
      <c r="D1181" s="18">
        <f t="shared" ca="1" si="37"/>
        <v>21.828884325804243</v>
      </c>
      <c r="E1181" s="33">
        <f t="shared" ca="1" si="38"/>
        <v>49958</v>
      </c>
      <c r="F1181" s="47">
        <v>2.6862197195909636</v>
      </c>
    </row>
    <row r="1182" spans="4:6" x14ac:dyDescent="0.2">
      <c r="D1182" s="18">
        <f t="shared" ca="1" si="37"/>
        <v>21.848049281314168</v>
      </c>
      <c r="E1182" s="33">
        <f t="shared" ca="1" si="38"/>
        <v>49965</v>
      </c>
      <c r="F1182" s="47">
        <v>2.6866770327487965</v>
      </c>
    </row>
    <row r="1183" spans="4:6" x14ac:dyDescent="0.2">
      <c r="D1183" s="18">
        <f t="shared" ca="1" si="37"/>
        <v>21.867214236824093</v>
      </c>
      <c r="E1183" s="33">
        <f t="shared" ca="1" si="38"/>
        <v>49972</v>
      </c>
      <c r="F1183" s="47">
        <v>2.6871305213964853</v>
      </c>
    </row>
    <row r="1184" spans="4:6" x14ac:dyDescent="0.2">
      <c r="D1184" s="18">
        <f t="shared" ca="1" si="37"/>
        <v>21.886379192334019</v>
      </c>
      <c r="E1184" s="33">
        <f t="shared" ca="1" si="38"/>
        <v>49979</v>
      </c>
      <c r="F1184" s="47">
        <v>2.6875801881122103</v>
      </c>
    </row>
    <row r="1185" spans="4:6" x14ac:dyDescent="0.2">
      <c r="D1185" s="18">
        <f t="shared" ca="1" si="37"/>
        <v>21.905544147843944</v>
      </c>
      <c r="E1185" s="33">
        <f t="shared" ca="1" si="38"/>
        <v>49986</v>
      </c>
      <c r="F1185" s="47">
        <v>2.6880260363690436</v>
      </c>
    </row>
    <row r="1186" spans="4:6" x14ac:dyDescent="0.2">
      <c r="D1186" s="18">
        <f t="shared" ca="1" si="37"/>
        <v>21.924709103353866</v>
      </c>
      <c r="E1186" s="33">
        <f t="shared" ca="1" si="38"/>
        <v>49993</v>
      </c>
      <c r="F1186" s="47">
        <v>2.6884680705392152</v>
      </c>
    </row>
    <row r="1187" spans="4:6" x14ac:dyDescent="0.2">
      <c r="D1187" s="18">
        <f t="shared" ca="1" si="37"/>
        <v>21.943874058863791</v>
      </c>
      <c r="E1187" s="33">
        <f t="shared" ca="1" si="38"/>
        <v>50000</v>
      </c>
      <c r="F1187" s="47">
        <v>2.6889062958978891</v>
      </c>
    </row>
    <row r="1188" spans="4:6" x14ac:dyDescent="0.2">
      <c r="D1188" s="18">
        <f t="shared" ca="1" si="37"/>
        <v>21.963039014373717</v>
      </c>
      <c r="E1188" s="33">
        <f t="shared" ca="1" si="38"/>
        <v>50007</v>
      </c>
      <c r="F1188" s="47">
        <v>2.6893407186264424</v>
      </c>
    </row>
    <row r="1189" spans="4:6" x14ac:dyDescent="0.2">
      <c r="D1189" s="18">
        <f t="shared" ca="1" si="37"/>
        <v>21.982203969883642</v>
      </c>
      <c r="E1189" s="33">
        <f t="shared" ca="1" si="38"/>
        <v>50014</v>
      </c>
      <c r="F1189" s="47">
        <v>2.6897713458152439</v>
      </c>
    </row>
    <row r="1190" spans="4:6" x14ac:dyDescent="0.2">
      <c r="D1190" s="18">
        <f t="shared" ca="1" si="37"/>
        <v>22.001368925393567</v>
      </c>
      <c r="E1190" s="33">
        <f t="shared" ca="1" si="38"/>
        <v>50021</v>
      </c>
      <c r="F1190" s="47">
        <v>2.6901981854659267</v>
      </c>
    </row>
    <row r="1191" spans="4:6" x14ac:dyDescent="0.2">
      <c r="D1191" s="18">
        <f t="shared" ca="1" si="37"/>
        <v>22.020533880903489</v>
      </c>
      <c r="E1191" s="33">
        <f t="shared" ca="1" si="38"/>
        <v>50028</v>
      </c>
      <c r="F1191" s="47">
        <v>2.6906212464931416</v>
      </c>
    </row>
    <row r="1192" spans="4:6" x14ac:dyDescent="0.2">
      <c r="D1192" s="18">
        <f t="shared" ca="1" si="37"/>
        <v>22.039698836413415</v>
      </c>
      <c r="E1192" s="33">
        <f t="shared" ca="1" si="38"/>
        <v>50035</v>
      </c>
      <c r="F1192" s="47">
        <v>2.6910405387257952</v>
      </c>
    </row>
    <row r="1193" spans="4:6" x14ac:dyDescent="0.2">
      <c r="D1193" s="18">
        <f t="shared" ca="1" si="37"/>
        <v>22.05886379192334</v>
      </c>
      <c r="E1193" s="33">
        <f t="shared" ca="1" si="38"/>
        <v>50042</v>
      </c>
      <c r="F1193" s="47">
        <v>2.6914560729077559</v>
      </c>
    </row>
    <row r="1194" spans="4:6" x14ac:dyDescent="0.2">
      <c r="D1194" s="18">
        <f t="shared" ref="D1194:D1257" ca="1" si="39">(E1194-$E$42)/365.25</f>
        <v>22.078028747433265</v>
      </c>
      <c r="E1194" s="33">
        <f t="shared" ca="1" si="38"/>
        <v>50049</v>
      </c>
      <c r="F1194" s="47">
        <v>2.6918678606980477</v>
      </c>
    </row>
    <row r="1195" spans="4:6" x14ac:dyDescent="0.2">
      <c r="D1195" s="18">
        <f t="shared" ca="1" si="39"/>
        <v>22.097193702943191</v>
      </c>
      <c r="E1195" s="33">
        <f t="shared" ref="E1195:E1258" ca="1" si="40">E1194+7</f>
        <v>50056</v>
      </c>
      <c r="F1195" s="47">
        <v>2.692275914670494</v>
      </c>
    </row>
    <row r="1196" spans="4:6" x14ac:dyDescent="0.2">
      <c r="D1196" s="18">
        <f t="shared" ca="1" si="39"/>
        <v>22.116358658453116</v>
      </c>
      <c r="E1196" s="33">
        <f t="shared" ca="1" si="40"/>
        <v>50063</v>
      </c>
      <c r="F1196" s="47">
        <v>2.6926802483128327</v>
      </c>
    </row>
    <row r="1197" spans="4:6" x14ac:dyDescent="0.2">
      <c r="D1197" s="18">
        <f t="shared" ca="1" si="39"/>
        <v>22.135523613963038</v>
      </c>
      <c r="E1197" s="33">
        <f t="shared" ca="1" si="40"/>
        <v>50070</v>
      </c>
      <c r="F1197" s="47">
        <v>2.6930808760253</v>
      </c>
    </row>
    <row r="1198" spans="4:6" x14ac:dyDescent="0.2">
      <c r="D1198" s="18">
        <f t="shared" ca="1" si="39"/>
        <v>22.154688569472963</v>
      </c>
      <c r="E1198" s="33">
        <f t="shared" ca="1" si="40"/>
        <v>50077</v>
      </c>
      <c r="F1198" s="47">
        <v>2.6934778131186654</v>
      </c>
    </row>
    <row r="1199" spans="4:6" x14ac:dyDescent="0.2">
      <c r="D1199" s="18">
        <f t="shared" ca="1" si="39"/>
        <v>22.173853524982889</v>
      </c>
      <c r="E1199" s="33">
        <f t="shared" ca="1" si="40"/>
        <v>50084</v>
      </c>
      <c r="F1199" s="47">
        <v>2.6938710758117268</v>
      </c>
    </row>
    <row r="1200" spans="4:6" x14ac:dyDescent="0.2">
      <c r="D1200" s="18">
        <f t="shared" ca="1" si="39"/>
        <v>22.193018480492814</v>
      </c>
      <c r="E1200" s="33">
        <f t="shared" ca="1" si="40"/>
        <v>50091</v>
      </c>
      <c r="F1200" s="47">
        <v>2.6942606812282706</v>
      </c>
    </row>
    <row r="1201" spans="4:6" x14ac:dyDescent="0.2">
      <c r="D1201" s="18">
        <f t="shared" ca="1" si="39"/>
        <v>22.212183436002739</v>
      </c>
      <c r="E1201" s="33">
        <f t="shared" ca="1" si="40"/>
        <v>50098</v>
      </c>
      <c r="F1201" s="47">
        <v>2.6946466473934767</v>
      </c>
    </row>
    <row r="1202" spans="4:6" x14ac:dyDescent="0.2">
      <c r="D1202" s="18">
        <f t="shared" ca="1" si="39"/>
        <v>22.231348391512661</v>
      </c>
      <c r="E1202" s="33">
        <f t="shared" ca="1" si="40"/>
        <v>50105</v>
      </c>
      <c r="F1202" s="47">
        <v>2.6950289932297995</v>
      </c>
    </row>
    <row r="1203" spans="4:6" x14ac:dyDescent="0.2">
      <c r="D1203" s="18">
        <f t="shared" ca="1" si="39"/>
        <v>22.250513347022586</v>
      </c>
      <c r="E1203" s="33">
        <f t="shared" ca="1" si="40"/>
        <v>50112</v>
      </c>
      <c r="F1203" s="47">
        <v>2.6954077385522872</v>
      </c>
    </row>
    <row r="1204" spans="4:6" x14ac:dyDescent="0.2">
      <c r="D1204" s="18">
        <f t="shared" ca="1" si="39"/>
        <v>22.269678302532512</v>
      </c>
      <c r="E1204" s="33">
        <f t="shared" ca="1" si="40"/>
        <v>50119</v>
      </c>
      <c r="F1204" s="47">
        <v>2.6957829040633787</v>
      </c>
    </row>
    <row r="1205" spans="4:6" x14ac:dyDescent="0.2">
      <c r="D1205" s="18">
        <f t="shared" ca="1" si="39"/>
        <v>22.288843258042437</v>
      </c>
      <c r="E1205" s="33">
        <f t="shared" ca="1" si="40"/>
        <v>50126</v>
      </c>
      <c r="F1205" s="47">
        <v>2.6961545113471512</v>
      </c>
    </row>
    <row r="1206" spans="4:6" x14ac:dyDescent="0.2">
      <c r="D1206" s="18">
        <f t="shared" ca="1" si="39"/>
        <v>22.308008213552363</v>
      </c>
      <c r="E1206" s="33">
        <f t="shared" ca="1" si="40"/>
        <v>50133</v>
      </c>
      <c r="F1206" s="47">
        <v>2.6965225828630439</v>
      </c>
    </row>
    <row r="1207" spans="4:6" x14ac:dyDescent="0.2">
      <c r="D1207" s="18">
        <f t="shared" ca="1" si="39"/>
        <v>22.327173169062284</v>
      </c>
      <c r="E1207" s="33">
        <f t="shared" ca="1" si="40"/>
        <v>50140</v>
      </c>
      <c r="F1207" s="47">
        <v>2.6968871419390412</v>
      </c>
    </row>
    <row r="1208" spans="4:6" x14ac:dyDescent="0.2">
      <c r="D1208" s="18">
        <f t="shared" ca="1" si="39"/>
        <v>22.34633812457221</v>
      </c>
      <c r="E1208" s="33">
        <f t="shared" ca="1" si="40"/>
        <v>50147</v>
      </c>
      <c r="F1208" s="47">
        <v>2.6972482127643298</v>
      </c>
    </row>
    <row r="1209" spans="4:6" x14ac:dyDescent="0.2">
      <c r="D1209" s="18">
        <f t="shared" ca="1" si="39"/>
        <v>22.365503080082135</v>
      </c>
      <c r="E1209" s="33">
        <f t="shared" ca="1" si="40"/>
        <v>50154</v>
      </c>
      <c r="F1209" s="47">
        <v>2.6976058203814399</v>
      </c>
    </row>
    <row r="1210" spans="4:6" x14ac:dyDescent="0.2">
      <c r="D1210" s="18">
        <f t="shared" ca="1" si="39"/>
        <v>22.38466803559206</v>
      </c>
      <c r="E1210" s="33">
        <f t="shared" ca="1" si="40"/>
        <v>50161</v>
      </c>
      <c r="F1210" s="47">
        <v>2.6979599906778611</v>
      </c>
    </row>
    <row r="1211" spans="4:6" x14ac:dyDescent="0.2">
      <c r="D1211" s="18">
        <f t="shared" ca="1" si="39"/>
        <v>22.403832991101986</v>
      </c>
      <c r="E1211" s="33">
        <f t="shared" ca="1" si="40"/>
        <v>50168</v>
      </c>
      <c r="F1211" s="47">
        <v>2.6983107503771495</v>
      </c>
    </row>
    <row r="1212" spans="4:6" x14ac:dyDescent="0.2">
      <c r="D1212" s="18">
        <f t="shared" ca="1" si="39"/>
        <v>22.422997946611911</v>
      </c>
      <c r="E1212" s="33">
        <f t="shared" ca="1" si="40"/>
        <v>50175</v>
      </c>
      <c r="F1212" s="47">
        <v>2.6986581270295287</v>
      </c>
    </row>
    <row r="1213" spans="4:6" x14ac:dyDescent="0.2">
      <c r="D1213" s="18">
        <f t="shared" ca="1" si="39"/>
        <v>22.442162902121833</v>
      </c>
      <c r="E1213" s="33">
        <f t="shared" ca="1" si="40"/>
        <v>50182</v>
      </c>
      <c r="F1213" s="47">
        <v>2.6990021490019882</v>
      </c>
    </row>
    <row r="1214" spans="4:6" x14ac:dyDescent="0.2">
      <c r="D1214" s="18">
        <f t="shared" ca="1" si="39"/>
        <v>22.461327857631758</v>
      </c>
      <c r="E1214" s="33">
        <f t="shared" ca="1" si="40"/>
        <v>50189</v>
      </c>
      <c r="F1214" s="47">
        <v>2.6993428454678994</v>
      </c>
    </row>
    <row r="1215" spans="4:6" x14ac:dyDescent="0.2">
      <c r="D1215" s="18">
        <f t="shared" ca="1" si="39"/>
        <v>22.480492813141684</v>
      </c>
      <c r="E1215" s="33">
        <f t="shared" ca="1" si="40"/>
        <v>50196</v>
      </c>
      <c r="F1215" s="47">
        <v>2.699680246396138</v>
      </c>
    </row>
    <row r="1216" spans="4:6" x14ac:dyDescent="0.2">
      <c r="D1216" s="18">
        <f t="shared" ca="1" si="39"/>
        <v>22.499657768651609</v>
      </c>
      <c r="E1216" s="33">
        <f t="shared" ca="1" si="40"/>
        <v>50203</v>
      </c>
      <c r="F1216" s="47">
        <v>2.7000143825397336</v>
      </c>
    </row>
    <row r="1217" spans="4:6" x14ac:dyDescent="0.2">
      <c r="D1217" s="18">
        <f t="shared" ca="1" si="39"/>
        <v>22.518822724161534</v>
      </c>
      <c r="E1217" s="33">
        <f t="shared" ca="1" si="40"/>
        <v>50210</v>
      </c>
      <c r="F1217" s="47">
        <v>2.7003452854240604</v>
      </c>
    </row>
    <row r="1218" spans="4:6" x14ac:dyDescent="0.2">
      <c r="D1218" s="18">
        <f t="shared" ca="1" si="39"/>
        <v>22.537987679671456</v>
      </c>
      <c r="E1218" s="33">
        <f t="shared" ca="1" si="40"/>
        <v>50217</v>
      </c>
      <c r="F1218" s="47">
        <v>2.7006729873345585</v>
      </c>
    </row>
    <row r="1219" spans="4:6" x14ac:dyDescent="0.2">
      <c r="D1219" s="18">
        <f t="shared" ca="1" si="39"/>
        <v>22.557152635181382</v>
      </c>
      <c r="E1219" s="33">
        <f t="shared" ca="1" si="40"/>
        <v>50224</v>
      </c>
      <c r="F1219" s="47">
        <v>2.7009975213040192</v>
      </c>
    </row>
    <row r="1220" spans="4:6" x14ac:dyDescent="0.2">
      <c r="D1220" s="18">
        <f t="shared" ca="1" si="39"/>
        <v>22.576317590691307</v>
      </c>
      <c r="E1220" s="33">
        <f t="shared" ca="1" si="40"/>
        <v>50231</v>
      </c>
      <c r="F1220" s="47">
        <v>2.7013189210994328</v>
      </c>
    </row>
    <row r="1221" spans="4:6" x14ac:dyDescent="0.2">
      <c r="D1221" s="18">
        <f t="shared" ca="1" si="39"/>
        <v>22.595482546201232</v>
      </c>
      <c r="E1221" s="33">
        <f t="shared" ca="1" si="40"/>
        <v>50238</v>
      </c>
      <c r="F1221" s="47">
        <v>2.701637221208403</v>
      </c>
    </row>
    <row r="1222" spans="4:6" x14ac:dyDescent="0.2">
      <c r="D1222" s="18">
        <f t="shared" ca="1" si="39"/>
        <v>22.614647501711158</v>
      </c>
      <c r="E1222" s="33">
        <f t="shared" ca="1" si="40"/>
        <v>50245</v>
      </c>
      <c r="F1222" s="47">
        <v>2.7019524568251572</v>
      </c>
    </row>
    <row r="1223" spans="4:6" x14ac:dyDescent="0.2">
      <c r="D1223" s="18">
        <f t="shared" ca="1" si="39"/>
        <v>22.633812457221083</v>
      </c>
      <c r="E1223" s="33">
        <f t="shared" ca="1" si="40"/>
        <v>50252</v>
      </c>
      <c r="F1223" s="47">
        <v>2.7022646638361523</v>
      </c>
    </row>
    <row r="1224" spans="4:6" x14ac:dyDescent="0.2">
      <c r="D1224" s="18">
        <f t="shared" ca="1" si="39"/>
        <v>22.652977412731005</v>
      </c>
      <c r="E1224" s="33">
        <f t="shared" ca="1" si="40"/>
        <v>50259</v>
      </c>
      <c r="F1224" s="47">
        <v>2.7025738788052869</v>
      </c>
    </row>
    <row r="1225" spans="4:6" x14ac:dyDescent="0.2">
      <c r="D1225" s="18">
        <f t="shared" ca="1" si="39"/>
        <v>22.67214236824093</v>
      </c>
      <c r="E1225" s="33">
        <f t="shared" ca="1" si="40"/>
        <v>50266</v>
      </c>
      <c r="F1225" s="47">
        <v>2.702880138958744</v>
      </c>
    </row>
    <row r="1226" spans="4:6" x14ac:dyDescent="0.2">
      <c r="D1226" s="18">
        <f t="shared" ca="1" si="39"/>
        <v>22.691307323750856</v>
      </c>
      <c r="E1226" s="33">
        <f t="shared" ca="1" si="40"/>
        <v>50273</v>
      </c>
      <c r="F1226" s="47">
        <v>2.7031834821694605</v>
      </c>
    </row>
    <row r="1227" spans="4:6" x14ac:dyDescent="0.2">
      <c r="D1227" s="18">
        <f t="shared" ca="1" si="39"/>
        <v>22.710472279260781</v>
      </c>
      <c r="E1227" s="33">
        <f t="shared" ca="1" si="40"/>
        <v>50280</v>
      </c>
      <c r="F1227" s="47">
        <v>2.7034839469412586</v>
      </c>
    </row>
    <row r="1228" spans="4:6" x14ac:dyDescent="0.2">
      <c r="D1228" s="18">
        <f t="shared" ca="1" si="39"/>
        <v>22.729637234770706</v>
      </c>
      <c r="E1228" s="33">
        <f t="shared" ca="1" si="40"/>
        <v>50287</v>
      </c>
      <c r="F1228" s="47">
        <v>2.7037815723926291</v>
      </c>
    </row>
    <row r="1229" spans="4:6" x14ac:dyDescent="0.2">
      <c r="D1229" s="18">
        <f t="shared" ca="1" si="39"/>
        <v>22.748802190280628</v>
      </c>
      <c r="E1229" s="33">
        <f t="shared" ca="1" si="40"/>
        <v>50294</v>
      </c>
      <c r="F1229" s="47">
        <v>2.7040763982402023</v>
      </c>
    </row>
    <row r="1230" spans="4:6" x14ac:dyDescent="0.2">
      <c r="D1230" s="18">
        <f t="shared" ca="1" si="39"/>
        <v>22.767967145790553</v>
      </c>
      <c r="E1230" s="33">
        <f t="shared" ca="1" si="40"/>
        <v>50301</v>
      </c>
      <c r="F1230" s="47">
        <v>2.7043684647819006</v>
      </c>
    </row>
    <row r="1231" spans="4:6" x14ac:dyDescent="0.2">
      <c r="D1231" s="18">
        <f t="shared" ca="1" si="39"/>
        <v>22.787132101300479</v>
      </c>
      <c r="E1231" s="33">
        <f t="shared" ca="1" si="40"/>
        <v>50308</v>
      </c>
      <c r="F1231" s="47">
        <v>2.7046578128798147</v>
      </c>
    </row>
    <row r="1232" spans="4:6" x14ac:dyDescent="0.2">
      <c r="D1232" s="18">
        <f t="shared" ca="1" si="39"/>
        <v>22.806297056810404</v>
      </c>
      <c r="E1232" s="33">
        <f t="shared" ca="1" si="40"/>
        <v>50315</v>
      </c>
      <c r="F1232" s="47">
        <v>2.704944483942779</v>
      </c>
    </row>
    <row r="1233" spans="4:6" x14ac:dyDescent="0.2">
      <c r="D1233" s="18">
        <f t="shared" ca="1" si="39"/>
        <v>22.82546201232033</v>
      </c>
      <c r="E1233" s="33">
        <f t="shared" ca="1" si="40"/>
        <v>50322</v>
      </c>
      <c r="F1233" s="47">
        <v>2.7052285199087098</v>
      </c>
    </row>
    <row r="1234" spans="4:6" x14ac:dyDescent="0.2">
      <c r="D1234" s="18">
        <f t="shared" ca="1" si="39"/>
        <v>22.844626967830255</v>
      </c>
      <c r="E1234" s="33">
        <f t="shared" ca="1" si="40"/>
        <v>50329</v>
      </c>
      <c r="F1234" s="47">
        <v>2.7055099632266724</v>
      </c>
    </row>
    <row r="1235" spans="4:6" x14ac:dyDescent="0.2">
      <c r="D1235" s="18">
        <f t="shared" ca="1" si="39"/>
        <v>22.863791923340177</v>
      </c>
      <c r="E1235" s="33">
        <f t="shared" ca="1" si="40"/>
        <v>50336</v>
      </c>
      <c r="F1235" s="47">
        <v>2.7057888568387365</v>
      </c>
    </row>
    <row r="1236" spans="4:6" x14ac:dyDescent="0.2">
      <c r="D1236" s="18">
        <f t="shared" ca="1" si="39"/>
        <v>22.882956878850102</v>
      </c>
      <c r="E1236" s="33">
        <f t="shared" ca="1" si="40"/>
        <v>50343</v>
      </c>
      <c r="F1236" s="47">
        <v>2.7060652441616035</v>
      </c>
    </row>
    <row r="1237" spans="4:6" x14ac:dyDescent="0.2">
      <c r="D1237" s="18">
        <f t="shared" ca="1" si="39"/>
        <v>22.902121834360027</v>
      </c>
      <c r="E1237" s="33">
        <f t="shared" ca="1" si="40"/>
        <v>50350</v>
      </c>
      <c r="F1237" s="47">
        <v>2.7063391690680403</v>
      </c>
    </row>
    <row r="1238" spans="4:6" x14ac:dyDescent="0.2">
      <c r="D1238" s="18">
        <f t="shared" ca="1" si="39"/>
        <v>22.921286789869953</v>
      </c>
      <c r="E1238" s="33">
        <f t="shared" ca="1" si="40"/>
        <v>50357</v>
      </c>
      <c r="F1238" s="47">
        <v>2.706610675868125</v>
      </c>
    </row>
    <row r="1239" spans="4:6" x14ac:dyDescent="0.2">
      <c r="D1239" s="18">
        <f t="shared" ca="1" si="39"/>
        <v>22.940451745379878</v>
      </c>
      <c r="E1239" s="33">
        <f t="shared" ca="1" si="40"/>
        <v>50364</v>
      </c>
      <c r="F1239" s="47">
        <v>2.7068798092903306</v>
      </c>
    </row>
    <row r="1240" spans="4:6" x14ac:dyDescent="0.2">
      <c r="D1240" s="18">
        <f t="shared" ca="1" si="39"/>
        <v>22.9596167008898</v>
      </c>
      <c r="E1240" s="33">
        <f t="shared" ca="1" si="40"/>
        <v>50371</v>
      </c>
      <c r="F1240" s="47">
        <v>2.7071466144624545</v>
      </c>
    </row>
    <row r="1241" spans="4:6" x14ac:dyDescent="0.2">
      <c r="D1241" s="18">
        <f t="shared" ca="1" si="39"/>
        <v>22.978781656399725</v>
      </c>
      <c r="E1241" s="33">
        <f t="shared" ca="1" si="40"/>
        <v>50378</v>
      </c>
      <c r="F1241" s="47">
        <v>2.7074111368924165</v>
      </c>
    </row>
    <row r="1242" spans="4:6" x14ac:dyDescent="0.2">
      <c r="D1242" s="18">
        <f t="shared" ca="1" si="39"/>
        <v>22.997946611909651</v>
      </c>
      <c r="E1242" s="33">
        <f t="shared" ca="1" si="40"/>
        <v>50385</v>
      </c>
      <c r="F1242" s="47">
        <v>2.7076734224489316</v>
      </c>
    </row>
    <row r="1243" spans="4:6" x14ac:dyDescent="0.2">
      <c r="D1243" s="18">
        <f t="shared" ca="1" si="39"/>
        <v>23.017111567419576</v>
      </c>
      <c r="E1243" s="33">
        <f t="shared" ca="1" si="40"/>
        <v>50392</v>
      </c>
      <c r="F1243" s="47">
        <v>2.7079335173420915</v>
      </c>
    </row>
    <row r="1244" spans="4:6" x14ac:dyDescent="0.2">
      <c r="D1244" s="18">
        <f t="shared" ca="1" si="39"/>
        <v>23.036276522929501</v>
      </c>
      <c r="E1244" s="33">
        <f t="shared" ca="1" si="40"/>
        <v>50399</v>
      </c>
      <c r="F1244" s="47">
        <v>2.7081914681038515</v>
      </c>
    </row>
    <row r="1245" spans="4:6" x14ac:dyDescent="0.2">
      <c r="D1245" s="18">
        <f t="shared" ca="1" si="39"/>
        <v>23.055441478439427</v>
      </c>
      <c r="E1245" s="33">
        <f t="shared" ca="1" si="40"/>
        <v>50406</v>
      </c>
      <c r="F1245" s="47">
        <v>2.708447321568455</v>
      </c>
    </row>
    <row r="1246" spans="4:6" x14ac:dyDescent="0.2">
      <c r="D1246" s="18">
        <f t="shared" ca="1" si="39"/>
        <v>23.074606433949349</v>
      </c>
      <c r="E1246" s="33">
        <f t="shared" ca="1" si="40"/>
        <v>50413</v>
      </c>
      <c r="F1246" s="47">
        <v>2.7087011248528032</v>
      </c>
    </row>
    <row r="1247" spans="4:6" x14ac:dyDescent="0.2">
      <c r="D1247" s="18">
        <f t="shared" ca="1" si="39"/>
        <v>23.093771389459274</v>
      </c>
      <c r="E1247" s="33">
        <f t="shared" ca="1" si="40"/>
        <v>50420</v>
      </c>
      <c r="F1247" s="47">
        <v>2.7089529253367859</v>
      </c>
    </row>
    <row r="1248" spans="4:6" x14ac:dyDescent="0.2">
      <c r="D1248" s="18">
        <f t="shared" ca="1" si="39"/>
        <v>23.112936344969199</v>
      </c>
      <c r="E1248" s="33">
        <f t="shared" ca="1" si="40"/>
        <v>50427</v>
      </c>
      <c r="F1248" s="47">
        <v>2.7092027706435968</v>
      </c>
    </row>
    <row r="1249" spans="4:6" x14ac:dyDescent="0.2">
      <c r="D1249" s="18">
        <f t="shared" ca="1" si="39"/>
        <v>23.132101300479125</v>
      </c>
      <c r="E1249" s="33">
        <f t="shared" ca="1" si="40"/>
        <v>50434</v>
      </c>
      <c r="F1249" s="47">
        <v>2.7094507086200426</v>
      </c>
    </row>
    <row r="1250" spans="4:6" x14ac:dyDescent="0.2">
      <c r="D1250" s="18">
        <f t="shared" ca="1" si="39"/>
        <v>23.15126625598905</v>
      </c>
      <c r="E1250" s="33">
        <f t="shared" ca="1" si="40"/>
        <v>50441</v>
      </c>
      <c r="F1250" s="47">
        <v>2.7096967873168598</v>
      </c>
    </row>
    <row r="1251" spans="4:6" x14ac:dyDescent="0.2">
      <c r="D1251" s="18">
        <f t="shared" ca="1" si="39"/>
        <v>23.170431211498972</v>
      </c>
      <c r="E1251" s="33">
        <f t="shared" ca="1" si="40"/>
        <v>50448</v>
      </c>
      <c r="F1251" s="47">
        <v>2.7099410549690668</v>
      </c>
    </row>
    <row r="1252" spans="4:6" x14ac:dyDescent="0.2">
      <c r="D1252" s="18">
        <f t="shared" ca="1" si="39"/>
        <v>23.189596167008897</v>
      </c>
      <c r="E1252" s="33">
        <f t="shared" ca="1" si="40"/>
        <v>50455</v>
      </c>
      <c r="F1252" s="47">
        <v>2.7101835599763566</v>
      </c>
    </row>
    <row r="1253" spans="4:6" x14ac:dyDescent="0.2">
      <c r="D1253" s="18">
        <f t="shared" ca="1" si="39"/>
        <v>23.208761122518823</v>
      </c>
      <c r="E1253" s="33">
        <f t="shared" ca="1" si="40"/>
        <v>50462</v>
      </c>
      <c r="F1253" s="47">
        <v>2.7104243508835402</v>
      </c>
    </row>
    <row r="1254" spans="4:6" x14ac:dyDescent="0.2">
      <c r="D1254" s="18">
        <f t="shared" ca="1" si="39"/>
        <v>23.227926078028748</v>
      </c>
      <c r="E1254" s="33">
        <f t="shared" ca="1" si="40"/>
        <v>50469</v>
      </c>
      <c r="F1254" s="47">
        <v>2.7106634763610726</v>
      </c>
    </row>
    <row r="1255" spans="4:6" x14ac:dyDescent="0.2">
      <c r="D1255" s="18">
        <f t="shared" ca="1" si="39"/>
        <v>23.247091033538673</v>
      </c>
      <c r="E1255" s="33">
        <f t="shared" ca="1" si="40"/>
        <v>50476</v>
      </c>
      <c r="F1255" s="47">
        <v>2.7109009851856647</v>
      </c>
    </row>
    <row r="1256" spans="4:6" x14ac:dyDescent="0.2">
      <c r="D1256" s="18">
        <f t="shared" ca="1" si="39"/>
        <v>23.266255989048595</v>
      </c>
      <c r="E1256" s="33">
        <f t="shared" ca="1" si="40"/>
        <v>50483</v>
      </c>
      <c r="F1256" s="47">
        <v>2.7111369262209961</v>
      </c>
    </row>
    <row r="1257" spans="4:6" x14ac:dyDescent="0.2">
      <c r="D1257" s="18">
        <f t="shared" ca="1" si="39"/>
        <v>23.285420944558521</v>
      </c>
      <c r="E1257" s="33">
        <f t="shared" ca="1" si="40"/>
        <v>50490</v>
      </c>
      <c r="F1257" s="47">
        <v>2.7113713483985458</v>
      </c>
    </row>
    <row r="1258" spans="4:6" x14ac:dyDescent="0.2">
      <c r="D1258" s="18">
        <f t="shared" ref="D1258:D1321" ca="1" si="41">(E1258-$E$42)/365.25</f>
        <v>23.304585900068446</v>
      </c>
      <c r="E1258" s="33">
        <f t="shared" ca="1" si="40"/>
        <v>50497</v>
      </c>
      <c r="F1258" s="47">
        <v>2.7116043006985566</v>
      </c>
    </row>
    <row r="1259" spans="4:6" x14ac:dyDescent="0.2">
      <c r="D1259" s="18">
        <f t="shared" ca="1" si="41"/>
        <v>23.323750855578371</v>
      </c>
      <c r="E1259" s="33">
        <f t="shared" ref="E1259:E1322" ca="1" si="42">E1258+7</f>
        <v>50504</v>
      </c>
      <c r="F1259" s="47">
        <v>2.7118358321311389</v>
      </c>
    </row>
    <row r="1260" spans="4:6" x14ac:dyDescent="0.2">
      <c r="D1260" s="18">
        <f t="shared" ca="1" si="41"/>
        <v>23.342915811088297</v>
      </c>
      <c r="E1260" s="33">
        <f t="shared" ca="1" si="42"/>
        <v>50511</v>
      </c>
      <c r="F1260" s="47">
        <v>2.7120659917175418</v>
      </c>
    </row>
    <row r="1261" spans="4:6" x14ac:dyDescent="0.2">
      <c r="D1261" s="18">
        <f t="shared" ca="1" si="41"/>
        <v>23.362080766598222</v>
      </c>
      <c r="E1261" s="33">
        <f t="shared" ca="1" si="42"/>
        <v>50518</v>
      </c>
      <c r="F1261" s="47">
        <v>2.7122948284715864</v>
      </c>
    </row>
    <row r="1262" spans="4:6" x14ac:dyDescent="0.2">
      <c r="D1262" s="18">
        <f t="shared" ca="1" si="41"/>
        <v>23.381245722108144</v>
      </c>
      <c r="E1262" s="33">
        <f t="shared" ca="1" si="42"/>
        <v>50525</v>
      </c>
      <c r="F1262" s="47">
        <v>2.7125223913812895</v>
      </c>
    </row>
    <row r="1263" spans="4:6" x14ac:dyDescent="0.2">
      <c r="D1263" s="18">
        <f t="shared" ca="1" si="41"/>
        <v>23.400410677618069</v>
      </c>
      <c r="E1263" s="33">
        <f t="shared" ca="1" si="42"/>
        <v>50532</v>
      </c>
      <c r="F1263" s="47">
        <v>2.7127487293906789</v>
      </c>
    </row>
    <row r="1264" spans="4:6" x14ac:dyDescent="0.2">
      <c r="D1264" s="18">
        <f t="shared" ca="1" si="41"/>
        <v>23.419575633127995</v>
      </c>
      <c r="E1264" s="33">
        <f t="shared" ca="1" si="42"/>
        <v>50539</v>
      </c>
      <c r="F1264" s="47">
        <v>2.7129738913818247</v>
      </c>
    </row>
    <row r="1265" spans="4:6" x14ac:dyDescent="0.2">
      <c r="D1265" s="18">
        <f t="shared" ca="1" si="41"/>
        <v>23.43874058863792</v>
      </c>
      <c r="E1265" s="33">
        <f t="shared" ca="1" si="42"/>
        <v>50546</v>
      </c>
      <c r="F1265" s="47">
        <v>2.7131979261570853</v>
      </c>
    </row>
    <row r="1266" spans="4:6" x14ac:dyDescent="0.2">
      <c r="D1266" s="18">
        <f t="shared" ca="1" si="41"/>
        <v>23.457905544147845</v>
      </c>
      <c r="E1266" s="33">
        <f t="shared" ca="1" si="42"/>
        <v>50553</v>
      </c>
      <c r="F1266" s="47">
        <v>2.7134208824215857</v>
      </c>
    </row>
    <row r="1267" spans="4:6" x14ac:dyDescent="0.2">
      <c r="D1267" s="18">
        <f t="shared" ca="1" si="41"/>
        <v>23.477070499657767</v>
      </c>
      <c r="E1267" s="33">
        <f t="shared" ca="1" si="42"/>
        <v>50560</v>
      </c>
      <c r="F1267" s="47">
        <v>2.7136428087659383</v>
      </c>
    </row>
    <row r="1268" spans="4:6" x14ac:dyDescent="0.2">
      <c r="D1268" s="18">
        <f t="shared" ca="1" si="41"/>
        <v>23.496235455167692</v>
      </c>
      <c r="E1268" s="33">
        <f t="shared" ca="1" si="42"/>
        <v>50567</v>
      </c>
      <c r="F1268" s="47">
        <v>2.7138637536492198</v>
      </c>
    </row>
    <row r="1269" spans="4:6" x14ac:dyDescent="0.2">
      <c r="D1269" s="18">
        <f t="shared" ca="1" si="41"/>
        <v>23.515400410677618</v>
      </c>
      <c r="E1269" s="33">
        <f t="shared" ca="1" si="42"/>
        <v>50574</v>
      </c>
      <c r="F1269" s="47">
        <v>2.7140837653822061</v>
      </c>
    </row>
    <row r="1270" spans="4:6" x14ac:dyDescent="0.2">
      <c r="D1270" s="18">
        <f t="shared" ca="1" si="41"/>
        <v>23.534565366187543</v>
      </c>
      <c r="E1270" s="33">
        <f t="shared" ca="1" si="42"/>
        <v>50581</v>
      </c>
      <c r="F1270" s="47">
        <v>2.7143028921108794</v>
      </c>
    </row>
    <row r="1271" spans="4:6" x14ac:dyDescent="0.2">
      <c r="D1271" s="18">
        <f t="shared" ca="1" si="41"/>
        <v>23.553730321697468</v>
      </c>
      <c r="E1271" s="33">
        <f t="shared" ca="1" si="42"/>
        <v>50588</v>
      </c>
      <c r="F1271" s="47">
        <v>2.7145211818002282</v>
      </c>
    </row>
    <row r="1272" spans="4:6" x14ac:dyDescent="0.2">
      <c r="D1272" s="18">
        <f t="shared" ca="1" si="41"/>
        <v>23.572895277207394</v>
      </c>
      <c r="E1272" s="33">
        <f t="shared" ca="1" si="42"/>
        <v>50595</v>
      </c>
      <c r="F1272" s="47">
        <v>2.7147386822183179</v>
      </c>
    </row>
    <row r="1273" spans="4:6" x14ac:dyDescent="0.2">
      <c r="D1273" s="18">
        <f t="shared" ca="1" si="41"/>
        <v>23.592060232717316</v>
      </c>
      <c r="E1273" s="33">
        <f t="shared" ca="1" si="42"/>
        <v>50602</v>
      </c>
      <c r="F1273" s="47">
        <v>2.7149554409206802</v>
      </c>
    </row>
    <row r="1274" spans="4:6" x14ac:dyDescent="0.2">
      <c r="D1274" s="18">
        <f t="shared" ca="1" si="41"/>
        <v>23.611225188227241</v>
      </c>
      <c r="E1274" s="33">
        <f t="shared" ca="1" si="42"/>
        <v>50609</v>
      </c>
      <c r="F1274" s="47">
        <v>2.7151715052349967</v>
      </c>
    </row>
    <row r="1275" spans="4:6" x14ac:dyDescent="0.2">
      <c r="D1275" s="18">
        <f t="shared" ca="1" si="41"/>
        <v>23.630390143737166</v>
      </c>
      <c r="E1275" s="33">
        <f t="shared" ca="1" si="42"/>
        <v>50616</v>
      </c>
      <c r="F1275" s="47">
        <v>2.7153869222460982</v>
      </c>
    </row>
    <row r="1276" spans="4:6" x14ac:dyDescent="0.2">
      <c r="D1276" s="18">
        <f t="shared" ca="1" si="41"/>
        <v>23.649555099247092</v>
      </c>
      <c r="E1276" s="33">
        <f t="shared" ca="1" si="42"/>
        <v>50623</v>
      </c>
      <c r="F1276" s="47">
        <v>2.7156017387812876</v>
      </c>
    </row>
    <row r="1277" spans="4:6" x14ac:dyDescent="0.2">
      <c r="D1277" s="18">
        <f t="shared" ca="1" si="41"/>
        <v>23.668720054757017</v>
      </c>
      <c r="E1277" s="33">
        <f t="shared" ca="1" si="42"/>
        <v>50630</v>
      </c>
      <c r="F1277" s="47">
        <v>2.7158160013959942</v>
      </c>
    </row>
    <row r="1278" spans="4:6" x14ac:dyDescent="0.2">
      <c r="D1278" s="18">
        <f t="shared" ca="1" si="41"/>
        <v>23.687885010266939</v>
      </c>
      <c r="E1278" s="33">
        <f t="shared" ca="1" si="42"/>
        <v>50637</v>
      </c>
      <c r="F1278" s="47">
        <v>2.7160297563597484</v>
      </c>
    </row>
    <row r="1279" spans="4:6" x14ac:dyDescent="0.2">
      <c r="D1279" s="18">
        <f t="shared" ca="1" si="41"/>
        <v>23.707049965776864</v>
      </c>
      <c r="E1279" s="33">
        <f t="shared" ca="1" si="42"/>
        <v>50644</v>
      </c>
      <c r="F1279" s="47">
        <v>2.7162430496425127</v>
      </c>
    </row>
    <row r="1280" spans="4:6" x14ac:dyDescent="0.2">
      <c r="D1280" s="18">
        <f t="shared" ca="1" si="41"/>
        <v>23.72621492128679</v>
      </c>
      <c r="E1280" s="33">
        <f t="shared" ca="1" si="42"/>
        <v>50651</v>
      </c>
      <c r="F1280" s="47">
        <v>2.7164559269013422</v>
      </c>
    </row>
    <row r="1281" spans="4:6" x14ac:dyDescent="0.2">
      <c r="D1281" s="18">
        <f t="shared" ca="1" si="41"/>
        <v>23.745379876796715</v>
      </c>
      <c r="E1281" s="33">
        <f t="shared" ca="1" si="42"/>
        <v>50658</v>
      </c>
      <c r="F1281" s="47">
        <v>2.7166684334674049</v>
      </c>
    </row>
    <row r="1282" spans="4:6" x14ac:dyDescent="0.2">
      <c r="D1282" s="18">
        <f t="shared" ca="1" si="41"/>
        <v>23.76454483230664</v>
      </c>
      <c r="E1282" s="33">
        <f t="shared" ca="1" si="42"/>
        <v>50665</v>
      </c>
      <c r="F1282" s="47">
        <v>2.7168806143333484</v>
      </c>
    </row>
    <row r="1283" spans="4:6" x14ac:dyDescent="0.2">
      <c r="D1283" s="18">
        <f t="shared" ca="1" si="41"/>
        <v>23.783709787816566</v>
      </c>
      <c r="E1283" s="33">
        <f t="shared" ca="1" si="42"/>
        <v>50672</v>
      </c>
      <c r="F1283" s="47">
        <v>2.7170925141410311</v>
      </c>
    </row>
    <row r="1284" spans="4:6" x14ac:dyDescent="0.2">
      <c r="D1284" s="18">
        <f t="shared" ca="1" si="41"/>
        <v>23.802874743326488</v>
      </c>
      <c r="E1284" s="33">
        <f t="shared" ca="1" si="42"/>
        <v>50679</v>
      </c>
      <c r="F1284" s="47">
        <v>2.7173041771696074</v>
      </c>
    </row>
    <row r="1285" spans="4:6" x14ac:dyDescent="0.2">
      <c r="D1285" s="18">
        <f t="shared" ca="1" si="41"/>
        <v>23.822039698836413</v>
      </c>
      <c r="E1285" s="33">
        <f t="shared" ca="1" si="42"/>
        <v>50686</v>
      </c>
      <c r="F1285" s="47">
        <v>2.7175156473239799</v>
      </c>
    </row>
    <row r="1286" spans="4:6" x14ac:dyDescent="0.2">
      <c r="D1286" s="18">
        <f t="shared" ca="1" si="41"/>
        <v>23.841204654346338</v>
      </c>
      <c r="E1286" s="33">
        <f t="shared" ca="1" si="42"/>
        <v>50693</v>
      </c>
      <c r="F1286" s="47">
        <v>2.7177269681236194</v>
      </c>
    </row>
    <row r="1287" spans="4:6" x14ac:dyDescent="0.2">
      <c r="D1287" s="18">
        <f t="shared" ca="1" si="41"/>
        <v>23.860369609856264</v>
      </c>
      <c r="E1287" s="33">
        <f t="shared" ca="1" si="42"/>
        <v>50700</v>
      </c>
      <c r="F1287" s="47">
        <v>2.717938182691753</v>
      </c>
    </row>
    <row r="1288" spans="4:6" x14ac:dyDescent="0.2">
      <c r="D1288" s="18">
        <f t="shared" ca="1" si="41"/>
        <v>23.879534565366189</v>
      </c>
      <c r="E1288" s="33">
        <f t="shared" ca="1" si="42"/>
        <v>50707</v>
      </c>
      <c r="F1288" s="47">
        <v>2.7181493337449201</v>
      </c>
    </row>
    <row r="1289" spans="4:6" x14ac:dyDescent="0.2">
      <c r="D1289" s="18">
        <f t="shared" ca="1" si="41"/>
        <v>23.898699520876111</v>
      </c>
      <c r="E1289" s="33">
        <f t="shared" ca="1" si="42"/>
        <v>50714</v>
      </c>
      <c r="F1289" s="47">
        <v>2.7183604635829073</v>
      </c>
    </row>
    <row r="1290" spans="4:6" x14ac:dyDescent="0.2">
      <c r="D1290" s="18">
        <f t="shared" ca="1" si="41"/>
        <v>23.917864476386036</v>
      </c>
      <c r="E1290" s="33">
        <f t="shared" ca="1" si="42"/>
        <v>50721</v>
      </c>
      <c r="F1290" s="47">
        <v>2.7185716140790435</v>
      </c>
    </row>
    <row r="1291" spans="4:6" x14ac:dyDescent="0.2">
      <c r="D1291" s="18">
        <f t="shared" ca="1" si="41"/>
        <v>23.937029431895962</v>
      </c>
      <c r="E1291" s="33">
        <f t="shared" ca="1" si="42"/>
        <v>50728</v>
      </c>
      <c r="F1291" s="47">
        <v>2.7187828266708842</v>
      </c>
    </row>
    <row r="1292" spans="4:6" x14ac:dyDescent="0.2">
      <c r="D1292" s="18">
        <f t="shared" ca="1" si="41"/>
        <v>23.956194387405887</v>
      </c>
      <c r="E1292" s="33">
        <f t="shared" ca="1" si="42"/>
        <v>50735</v>
      </c>
      <c r="F1292" s="47">
        <v>2.7189941423512574</v>
      </c>
    </row>
    <row r="1293" spans="4:6" x14ac:dyDescent="0.2">
      <c r="D1293" s="18">
        <f t="shared" ca="1" si="41"/>
        <v>23.975359342915812</v>
      </c>
      <c r="E1293" s="33">
        <f t="shared" ca="1" si="42"/>
        <v>50742</v>
      </c>
      <c r="F1293" s="47">
        <v>2.7192056016596924</v>
      </c>
    </row>
    <row r="1294" spans="4:6" x14ac:dyDescent="0.2">
      <c r="D1294" s="18">
        <f t="shared" ca="1" si="41"/>
        <v>23.994524298425734</v>
      </c>
      <c r="E1294" s="33">
        <f t="shared" ca="1" si="42"/>
        <v>50749</v>
      </c>
      <c r="F1294" s="47">
        <v>2.7194172446742093</v>
      </c>
    </row>
    <row r="1295" spans="4:6" x14ac:dyDescent="0.2">
      <c r="D1295" s="18">
        <f t="shared" ca="1" si="41"/>
        <v>24.013689253935659</v>
      </c>
      <c r="E1295" s="33">
        <f t="shared" ca="1" si="42"/>
        <v>50756</v>
      </c>
      <c r="F1295" s="47">
        <v>2.7196291110034947</v>
      </c>
    </row>
    <row r="1296" spans="4:6" x14ac:dyDescent="0.2">
      <c r="D1296" s="18">
        <f t="shared" ca="1" si="41"/>
        <v>24.032854209445585</v>
      </c>
      <c r="E1296" s="33">
        <f t="shared" ca="1" si="42"/>
        <v>50763</v>
      </c>
      <c r="F1296" s="47">
        <v>2.7198412397794427</v>
      </c>
    </row>
    <row r="1297" spans="4:6" x14ac:dyDescent="0.2">
      <c r="D1297" s="18">
        <f t="shared" ca="1" si="41"/>
        <v>24.05201916495551</v>
      </c>
      <c r="E1297" s="33">
        <f t="shared" ca="1" si="42"/>
        <v>50770</v>
      </c>
      <c r="F1297" s="47">
        <v>2.7200536696500599</v>
      </c>
    </row>
    <row r="1298" spans="4:6" x14ac:dyDescent="0.2">
      <c r="D1298" s="18">
        <f t="shared" ca="1" si="41"/>
        <v>24.071184120465436</v>
      </c>
      <c r="E1298" s="33">
        <f t="shared" ca="1" si="42"/>
        <v>50777</v>
      </c>
      <c r="F1298" s="47">
        <v>2.7202664387727431</v>
      </c>
    </row>
    <row r="1299" spans="4:6" x14ac:dyDescent="0.2">
      <c r="D1299" s="18">
        <f t="shared" ca="1" si="41"/>
        <v>24.090349075975361</v>
      </c>
      <c r="E1299" s="33">
        <f t="shared" ca="1" si="42"/>
        <v>50784</v>
      </c>
      <c r="F1299" s="47">
        <v>2.7204795848079302</v>
      </c>
    </row>
    <row r="1300" spans="4:6" x14ac:dyDescent="0.2">
      <c r="D1300" s="18">
        <f t="shared" ca="1" si="41"/>
        <v>24.109514031485283</v>
      </c>
      <c r="E1300" s="33">
        <f t="shared" ca="1" si="42"/>
        <v>50791</v>
      </c>
      <c r="F1300" s="47">
        <v>2.7206931449130947</v>
      </c>
    </row>
    <row r="1301" spans="4:6" x14ac:dyDescent="0.2">
      <c r="D1301" s="18">
        <f t="shared" ca="1" si="41"/>
        <v>24.128678986995208</v>
      </c>
      <c r="E1301" s="33">
        <f t="shared" ca="1" si="42"/>
        <v>50798</v>
      </c>
      <c r="F1301" s="47">
        <v>2.7209071557371227</v>
      </c>
    </row>
    <row r="1302" spans="4:6" x14ac:dyDescent="0.2">
      <c r="D1302" s="18">
        <f t="shared" ca="1" si="41"/>
        <v>24.147843942505133</v>
      </c>
      <c r="E1302" s="33">
        <f t="shared" ca="1" si="42"/>
        <v>50805</v>
      </c>
      <c r="F1302" s="47">
        <v>2.7211216534150253</v>
      </c>
    </row>
    <row r="1303" spans="4:6" x14ac:dyDescent="0.2">
      <c r="D1303" s="18">
        <f t="shared" ca="1" si="41"/>
        <v>24.167008898015059</v>
      </c>
      <c r="E1303" s="33">
        <f t="shared" ca="1" si="42"/>
        <v>50812</v>
      </c>
      <c r="F1303" s="47">
        <v>2.7213366735630249</v>
      </c>
    </row>
    <row r="1304" spans="4:6" x14ac:dyDescent="0.2">
      <c r="D1304" s="18">
        <f t="shared" ca="1" si="41"/>
        <v>24.186173853524984</v>
      </c>
      <c r="E1304" s="33">
        <f t="shared" ca="1" si="42"/>
        <v>50819</v>
      </c>
      <c r="F1304" s="47">
        <v>2.7215522512739754</v>
      </c>
    </row>
    <row r="1305" spans="4:6" x14ac:dyDescent="0.2">
      <c r="D1305" s="18">
        <f t="shared" ca="1" si="41"/>
        <v>24.205338809034906</v>
      </c>
      <c r="E1305" s="33">
        <f t="shared" ca="1" si="42"/>
        <v>50826</v>
      </c>
      <c r="F1305" s="47">
        <v>2.7217684211131381</v>
      </c>
    </row>
    <row r="1306" spans="4:6" x14ac:dyDescent="0.2">
      <c r="D1306" s="18">
        <f t="shared" ca="1" si="41"/>
        <v>24.224503764544831</v>
      </c>
      <c r="E1306" s="33">
        <f t="shared" ca="1" si="42"/>
        <v>50833</v>
      </c>
      <c r="F1306" s="47">
        <v>2.7219852171142982</v>
      </c>
    </row>
    <row r="1307" spans="4:6" x14ac:dyDescent="0.2">
      <c r="D1307" s="18">
        <f t="shared" ca="1" si="41"/>
        <v>24.243668720054757</v>
      </c>
      <c r="E1307" s="33">
        <f t="shared" ca="1" si="42"/>
        <v>50840</v>
      </c>
      <c r="F1307" s="47">
        <v>2.7222026727762176</v>
      </c>
    </row>
    <row r="1308" spans="4:6" x14ac:dyDescent="0.2">
      <c r="D1308" s="18">
        <f t="shared" ca="1" si="41"/>
        <v>24.262833675564682</v>
      </c>
      <c r="E1308" s="33">
        <f t="shared" ca="1" si="42"/>
        <v>50847</v>
      </c>
      <c r="F1308" s="47">
        <v>2.7224208210594183</v>
      </c>
    </row>
    <row r="1309" spans="4:6" x14ac:dyDescent="0.2">
      <c r="D1309" s="18">
        <f t="shared" ca="1" si="41"/>
        <v>24.281998631074607</v>
      </c>
      <c r="E1309" s="33">
        <f t="shared" ca="1" si="42"/>
        <v>50854</v>
      </c>
      <c r="F1309" s="47">
        <v>2.7226396943833011</v>
      </c>
    </row>
    <row r="1310" spans="4:6" x14ac:dyDescent="0.2">
      <c r="D1310" s="18">
        <f t="shared" ca="1" si="41"/>
        <v>24.301163586584533</v>
      </c>
      <c r="E1310" s="33">
        <f t="shared" ca="1" si="42"/>
        <v>50861</v>
      </c>
      <c r="F1310" s="47">
        <v>2.7228593246235842</v>
      </c>
    </row>
    <row r="1311" spans="4:6" x14ac:dyDescent="0.2">
      <c r="D1311" s="18">
        <f t="shared" ca="1" si="41"/>
        <v>24.320328542094455</v>
      </c>
      <c r="E1311" s="33">
        <f t="shared" ca="1" si="42"/>
        <v>50868</v>
      </c>
      <c r="F1311" s="47">
        <v>2.7230797431100613</v>
      </c>
    </row>
    <row r="1312" spans="4:6" x14ac:dyDescent="0.2">
      <c r="D1312" s="18">
        <f t="shared" ca="1" si="41"/>
        <v>24.33949349760438</v>
      </c>
      <c r="E1312" s="33">
        <f t="shared" ca="1" si="42"/>
        <v>50875</v>
      </c>
      <c r="F1312" s="47">
        <v>2.7233009806246686</v>
      </c>
    </row>
    <row r="1313" spans="4:6" x14ac:dyDescent="0.2">
      <c r="D1313" s="18">
        <f t="shared" ca="1" si="41"/>
        <v>24.358658453114305</v>
      </c>
      <c r="E1313" s="33">
        <f t="shared" ca="1" si="42"/>
        <v>50882</v>
      </c>
      <c r="F1313" s="47">
        <v>2.723523067399868</v>
      </c>
    </row>
    <row r="1314" spans="4:6" x14ac:dyDescent="0.2">
      <c r="D1314" s="18">
        <f t="shared" ca="1" si="41"/>
        <v>24.377823408624231</v>
      </c>
      <c r="E1314" s="33">
        <f t="shared" ca="1" si="42"/>
        <v>50889</v>
      </c>
      <c r="F1314" s="47">
        <v>2.7237460331173282</v>
      </c>
    </row>
    <row r="1315" spans="4:6" x14ac:dyDescent="0.2">
      <c r="D1315" s="18">
        <f t="shared" ca="1" si="41"/>
        <v>24.396988364134156</v>
      </c>
      <c r="E1315" s="33">
        <f t="shared" ca="1" si="42"/>
        <v>50896</v>
      </c>
      <c r="F1315" s="47">
        <v>2.7239699069068957</v>
      </c>
    </row>
    <row r="1316" spans="4:6" x14ac:dyDescent="0.2">
      <c r="D1316" s="18">
        <f t="shared" ca="1" si="41"/>
        <v>24.416153319644078</v>
      </c>
      <c r="E1316" s="33">
        <f t="shared" ca="1" si="42"/>
        <v>50903</v>
      </c>
      <c r="F1316" s="47">
        <v>2.7241947173458723</v>
      </c>
    </row>
    <row r="1317" spans="4:6" x14ac:dyDescent="0.2">
      <c r="D1317" s="18">
        <f t="shared" ca="1" si="41"/>
        <v>24.435318275154003</v>
      </c>
      <c r="E1317" s="33">
        <f t="shared" ca="1" si="42"/>
        <v>50910</v>
      </c>
      <c r="F1317" s="47">
        <v>2.72442049245856</v>
      </c>
    </row>
    <row r="1318" spans="4:6" x14ac:dyDescent="0.2">
      <c r="D1318" s="18">
        <f t="shared" ca="1" si="41"/>
        <v>24.454483230663929</v>
      </c>
      <c r="E1318" s="33">
        <f t="shared" ca="1" si="42"/>
        <v>50917</v>
      </c>
      <c r="F1318" s="47">
        <v>2.7246472597161002</v>
      </c>
    </row>
    <row r="1319" spans="4:6" x14ac:dyDescent="0.2">
      <c r="D1319" s="18">
        <f t="shared" ca="1" si="41"/>
        <v>24.473648186173854</v>
      </c>
      <c r="E1319" s="33">
        <f t="shared" ca="1" si="42"/>
        <v>50924</v>
      </c>
      <c r="F1319" s="47">
        <v>2.7248750460365674</v>
      </c>
    </row>
    <row r="1320" spans="4:6" x14ac:dyDescent="0.2">
      <c r="D1320" s="18">
        <f t="shared" ca="1" si="41"/>
        <v>24.492813141683779</v>
      </c>
      <c r="E1320" s="33">
        <f t="shared" ca="1" si="42"/>
        <v>50931</v>
      </c>
      <c r="F1320" s="47">
        <v>2.72510387778535</v>
      </c>
    </row>
    <row r="1321" spans="4:6" x14ac:dyDescent="0.2">
      <c r="D1321" s="18">
        <f t="shared" ca="1" si="41"/>
        <v>24.511978097193705</v>
      </c>
      <c r="E1321" s="33">
        <f t="shared" ca="1" si="42"/>
        <v>50938</v>
      </c>
      <c r="F1321" s="47">
        <v>2.7253337807757738</v>
      </c>
    </row>
    <row r="1322" spans="4:6" x14ac:dyDescent="0.2">
      <c r="D1322" s="18">
        <f t="shared" ref="D1322:D1385" ca="1" si="43">(E1322-$E$42)/365.25</f>
        <v>24.531143052703626</v>
      </c>
      <c r="E1322" s="33">
        <f t="shared" ca="1" si="42"/>
        <v>50945</v>
      </c>
      <c r="F1322" s="47">
        <v>2.7255647802699876</v>
      </c>
    </row>
    <row r="1323" spans="4:6" x14ac:dyDescent="0.2">
      <c r="D1323" s="18">
        <f t="shared" ca="1" si="43"/>
        <v>24.550308008213552</v>
      </c>
      <c r="E1323" s="33">
        <f t="shared" ref="E1323:E1386" ca="1" si="44">E1322+7</f>
        <v>50952</v>
      </c>
      <c r="F1323" s="47">
        <v>2.7257969009800931</v>
      </c>
    </row>
    <row r="1324" spans="4:6" x14ac:dyDescent="0.2">
      <c r="D1324" s="18">
        <f t="shared" ca="1" si="43"/>
        <v>24.569472963723477</v>
      </c>
      <c r="E1324" s="33">
        <f t="shared" ca="1" si="44"/>
        <v>50959</v>
      </c>
      <c r="F1324" s="47">
        <v>2.7260301670695135</v>
      </c>
    </row>
    <row r="1325" spans="4:6" x14ac:dyDescent="0.2">
      <c r="D1325" s="18">
        <f t="shared" ca="1" si="43"/>
        <v>24.588637919233403</v>
      </c>
      <c r="E1325" s="33">
        <f t="shared" ca="1" si="44"/>
        <v>50966</v>
      </c>
      <c r="F1325" s="47">
        <v>2.7262646021546044</v>
      </c>
    </row>
    <row r="1326" spans="4:6" x14ac:dyDescent="0.2">
      <c r="D1326" s="18">
        <f t="shared" ca="1" si="43"/>
        <v>24.607802874743328</v>
      </c>
      <c r="E1326" s="33">
        <f t="shared" ca="1" si="44"/>
        <v>50973</v>
      </c>
      <c r="F1326" s="47">
        <v>2.726500229306478</v>
      </c>
    </row>
    <row r="1327" spans="4:6" x14ac:dyDescent="0.2">
      <c r="D1327" s="18">
        <f t="shared" ca="1" si="43"/>
        <v>24.62696783025325</v>
      </c>
      <c r="E1327" s="33">
        <f t="shared" ca="1" si="44"/>
        <v>50980</v>
      </c>
      <c r="F1327" s="47">
        <v>2.7267370710530603</v>
      </c>
    </row>
    <row r="1328" spans="4:6" x14ac:dyDescent="0.2">
      <c r="D1328" s="18">
        <f t="shared" ca="1" si="43"/>
        <v>24.646132785763175</v>
      </c>
      <c r="E1328" s="33">
        <f t="shared" ca="1" si="44"/>
        <v>50987</v>
      </c>
      <c r="F1328" s="47">
        <v>2.7269751493813579</v>
      </c>
    </row>
    <row r="1329" spans="4:6" x14ac:dyDescent="0.2">
      <c r="D1329" s="18">
        <f t="shared" ca="1" si="43"/>
        <v>24.6652977412731</v>
      </c>
      <c r="E1329" s="33">
        <f t="shared" ca="1" si="44"/>
        <v>50994</v>
      </c>
      <c r="F1329" s="47">
        <v>2.7272144857399296</v>
      </c>
    </row>
    <row r="1330" spans="4:6" x14ac:dyDescent="0.2">
      <c r="D1330" s="18">
        <f t="shared" ca="1" si="43"/>
        <v>24.684462696783026</v>
      </c>
      <c r="E1330" s="33">
        <f t="shared" ca="1" si="44"/>
        <v>51001</v>
      </c>
      <c r="F1330" s="47">
        <v>2.727455101041564</v>
      </c>
    </row>
    <row r="1331" spans="4:6" x14ac:dyDescent="0.2">
      <c r="D1331" s="18">
        <f t="shared" ca="1" si="43"/>
        <v>24.703627652292951</v>
      </c>
      <c r="E1331" s="33">
        <f t="shared" ca="1" si="44"/>
        <v>51008</v>
      </c>
      <c r="F1331" s="47">
        <v>2.7276970156661458</v>
      </c>
    </row>
    <row r="1332" spans="4:6" x14ac:dyDescent="0.2">
      <c r="D1332" s="18">
        <f t="shared" ca="1" si="43"/>
        <v>24.722792607802873</v>
      </c>
      <c r="E1332" s="33">
        <f t="shared" ca="1" si="44"/>
        <v>51015</v>
      </c>
      <c r="F1332" s="47">
        <v>2.7279402494637135</v>
      </c>
    </row>
    <row r="1333" spans="4:6" x14ac:dyDescent="0.2">
      <c r="D1333" s="18">
        <f t="shared" ca="1" si="43"/>
        <v>24.741957563312798</v>
      </c>
      <c r="E1333" s="33">
        <f t="shared" ca="1" si="44"/>
        <v>51022</v>
      </c>
      <c r="F1333" s="47">
        <v>2.7281848217576994</v>
      </c>
    </row>
    <row r="1334" spans="4:6" x14ac:dyDescent="0.2">
      <c r="D1334" s="18">
        <f t="shared" ca="1" si="43"/>
        <v>24.761122518822724</v>
      </c>
      <c r="E1334" s="33">
        <f t="shared" ca="1" si="44"/>
        <v>51029</v>
      </c>
      <c r="F1334" s="47">
        <v>2.7284307513483368</v>
      </c>
    </row>
    <row r="1335" spans="4:6" x14ac:dyDescent="0.2">
      <c r="D1335" s="18">
        <f t="shared" ca="1" si="43"/>
        <v>24.780287474332649</v>
      </c>
      <c r="E1335" s="33">
        <f t="shared" ca="1" si="44"/>
        <v>51036</v>
      </c>
      <c r="F1335" s="47">
        <v>2.7286780565162445</v>
      </c>
    </row>
    <row r="1336" spans="4:6" x14ac:dyDescent="0.2">
      <c r="D1336" s="18">
        <f t="shared" ca="1" si="43"/>
        <v>24.799452429842574</v>
      </c>
      <c r="E1336" s="33">
        <f t="shared" ca="1" si="44"/>
        <v>51043</v>
      </c>
      <c r="F1336" s="47">
        <v>2.7289267550261633</v>
      </c>
    </row>
    <row r="1337" spans="4:6" x14ac:dyDescent="0.2">
      <c r="D1337" s="18">
        <f t="shared" ca="1" si="43"/>
        <v>24.8186173853525</v>
      </c>
      <c r="E1337" s="33">
        <f t="shared" ca="1" si="44"/>
        <v>51050</v>
      </c>
      <c r="F1337" s="47">
        <v>2.7291768641308582</v>
      </c>
    </row>
    <row r="1338" spans="4:6" x14ac:dyDescent="0.2">
      <c r="D1338" s="18">
        <f t="shared" ca="1" si="43"/>
        <v>24.837782340862422</v>
      </c>
      <c r="E1338" s="33">
        <f t="shared" ca="1" si="44"/>
        <v>51057</v>
      </c>
      <c r="F1338" s="47">
        <v>2.729428400575157</v>
      </c>
    </row>
    <row r="1339" spans="4:6" x14ac:dyDescent="0.2">
      <c r="D1339" s="18">
        <f t="shared" ca="1" si="43"/>
        <v>24.856947296372347</v>
      </c>
      <c r="E1339" s="33">
        <f t="shared" ca="1" si="44"/>
        <v>51064</v>
      </c>
      <c r="F1339" s="47">
        <v>2.7296813806001428</v>
      </c>
    </row>
    <row r="1340" spans="4:6" x14ac:dyDescent="0.2">
      <c r="D1340" s="18">
        <f t="shared" ca="1" si="43"/>
        <v>24.876112251882272</v>
      </c>
      <c r="E1340" s="33">
        <f t="shared" ca="1" si="44"/>
        <v>51071</v>
      </c>
      <c r="F1340" s="47">
        <v>2.7299358199474715</v>
      </c>
    </row>
    <row r="1341" spans="4:6" x14ac:dyDescent="0.2">
      <c r="D1341" s="18">
        <f t="shared" ca="1" si="43"/>
        <v>24.895277207392198</v>
      </c>
      <c r="E1341" s="33">
        <f t="shared" ca="1" si="44"/>
        <v>51078</v>
      </c>
      <c r="F1341" s="47">
        <v>2.7301917338638302</v>
      </c>
    </row>
    <row r="1342" spans="4:6" x14ac:dyDescent="0.2">
      <c r="D1342" s="18">
        <f t="shared" ca="1" si="43"/>
        <v>24.914442162902123</v>
      </c>
      <c r="E1342" s="33">
        <f t="shared" ca="1" si="44"/>
        <v>51085</v>
      </c>
      <c r="F1342" s="47">
        <v>2.7304491371055111</v>
      </c>
    </row>
    <row r="1343" spans="4:6" x14ac:dyDescent="0.2">
      <c r="D1343" s="18">
        <f t="shared" ca="1" si="43"/>
        <v>24.933607118412045</v>
      </c>
      <c r="E1343" s="33">
        <f t="shared" ca="1" si="44"/>
        <v>51092</v>
      </c>
      <c r="F1343" s="47">
        <v>2.7307080439431046</v>
      </c>
    </row>
    <row r="1344" spans="4:6" x14ac:dyDescent="0.2">
      <c r="D1344" s="18">
        <f t="shared" ca="1" si="43"/>
        <v>24.95277207392197</v>
      </c>
      <c r="E1344" s="33">
        <f t="shared" ca="1" si="44"/>
        <v>51099</v>
      </c>
      <c r="F1344" s="47">
        <v>2.7309684681663073</v>
      </c>
    </row>
    <row r="1345" spans="4:6" x14ac:dyDescent="0.2">
      <c r="D1345" s="18">
        <f t="shared" ca="1" si="43"/>
        <v>24.971937029431896</v>
      </c>
      <c r="E1345" s="33">
        <f t="shared" ca="1" si="44"/>
        <v>51106</v>
      </c>
      <c r="F1345" s="47">
        <v>2.7312304230888342</v>
      </c>
    </row>
    <row r="1346" spans="4:6" x14ac:dyDescent="0.2">
      <c r="D1346" s="18">
        <f t="shared" ca="1" si="43"/>
        <v>24.991101984941821</v>
      </c>
      <c r="E1346" s="33">
        <f t="shared" ca="1" si="44"/>
        <v>51113</v>
      </c>
      <c r="F1346" s="47">
        <v>2.7314939215534282</v>
      </c>
    </row>
    <row r="1347" spans="4:6" x14ac:dyDescent="0.2">
      <c r="D1347" s="18">
        <f t="shared" ca="1" si="43"/>
        <v>25.010266940451746</v>
      </c>
      <c r="E1347" s="33">
        <f t="shared" ca="1" si="44"/>
        <v>51120</v>
      </c>
      <c r="F1347" s="47">
        <v>2.7317587867161874</v>
      </c>
    </row>
    <row r="1348" spans="4:6" x14ac:dyDescent="0.2">
      <c r="D1348" s="18">
        <f t="shared" ca="1" si="43"/>
        <v>25.029431895961672</v>
      </c>
      <c r="E1348" s="33">
        <f t="shared" ca="1" si="44"/>
        <v>51127</v>
      </c>
      <c r="F1348" s="47">
        <v>2.7320240338479453</v>
      </c>
    </row>
    <row r="1349" spans="4:6" x14ac:dyDescent="0.2">
      <c r="D1349" s="18">
        <f t="shared" ca="1" si="43"/>
        <v>25.048596851471594</v>
      </c>
      <c r="E1349" s="33">
        <f t="shared" ca="1" si="44"/>
        <v>51134</v>
      </c>
      <c r="F1349" s="47">
        <v>2.7322895095130391</v>
      </c>
    </row>
    <row r="1350" spans="4:6" x14ac:dyDescent="0.2">
      <c r="D1350" s="18">
        <f t="shared" ca="1" si="43"/>
        <v>25.067761806981519</v>
      </c>
      <c r="E1350" s="33">
        <f t="shared" ca="1" si="44"/>
        <v>51141</v>
      </c>
      <c r="F1350" s="47">
        <v>2.7325552013167469</v>
      </c>
    </row>
    <row r="1351" spans="4:6" x14ac:dyDescent="0.2">
      <c r="D1351" s="18">
        <f t="shared" ca="1" si="43"/>
        <v>25.086926762491444</v>
      </c>
      <c r="E1351" s="33">
        <f t="shared" ca="1" si="44"/>
        <v>51148</v>
      </c>
      <c r="F1351" s="47">
        <v>2.7328210966360027</v>
      </c>
    </row>
    <row r="1352" spans="4:6" x14ac:dyDescent="0.2">
      <c r="D1352" s="18">
        <f t="shared" ca="1" si="43"/>
        <v>25.10609171800137</v>
      </c>
      <c r="E1352" s="33">
        <f t="shared" ca="1" si="44"/>
        <v>51155</v>
      </c>
      <c r="F1352" s="47">
        <v>2.7330871826188061</v>
      </c>
    </row>
    <row r="1353" spans="4:6" x14ac:dyDescent="0.2">
      <c r="D1353" s="18">
        <f t="shared" ca="1" si="43"/>
        <v>25.125256673511295</v>
      </c>
      <c r="E1353" s="33">
        <f t="shared" ca="1" si="44"/>
        <v>51162</v>
      </c>
      <c r="F1353" s="47">
        <v>2.7333534461837559</v>
      </c>
    </row>
    <row r="1354" spans="4:6" x14ac:dyDescent="0.2">
      <c r="D1354" s="18">
        <f t="shared" ca="1" si="43"/>
        <v>25.144421629021217</v>
      </c>
      <c r="E1354" s="33">
        <f t="shared" ca="1" si="44"/>
        <v>51169</v>
      </c>
      <c r="F1354" s="47">
        <v>2.7336198740196354</v>
      </c>
    </row>
    <row r="1355" spans="4:6" x14ac:dyDescent="0.2">
      <c r="D1355" s="18">
        <f t="shared" ca="1" si="43"/>
        <v>25.163586584531142</v>
      </c>
      <c r="E1355" s="33">
        <f t="shared" ca="1" si="44"/>
        <v>51176</v>
      </c>
      <c r="F1355" s="47">
        <v>2.7338864525851259</v>
      </c>
    </row>
    <row r="1356" spans="4:6" x14ac:dyDescent="0.2">
      <c r="D1356" s="18">
        <f t="shared" ca="1" si="43"/>
        <v>25.182751540041068</v>
      </c>
      <c r="E1356" s="33">
        <f t="shared" ca="1" si="44"/>
        <v>51183</v>
      </c>
      <c r="F1356" s="47">
        <v>2.7341531681086049</v>
      </c>
    </row>
    <row r="1357" spans="4:6" x14ac:dyDescent="0.2">
      <c r="D1357" s="18">
        <f t="shared" ca="1" si="43"/>
        <v>25.201916495550993</v>
      </c>
      <c r="E1357" s="33">
        <f t="shared" ca="1" si="44"/>
        <v>51190</v>
      </c>
      <c r="F1357" s="47">
        <v>2.7344200065880431</v>
      </c>
    </row>
    <row r="1358" spans="4:6" x14ac:dyDescent="0.2">
      <c r="D1358" s="18">
        <f t="shared" ca="1" si="43"/>
        <v>25.221081451060918</v>
      </c>
      <c r="E1358" s="33">
        <f t="shared" ca="1" si="44"/>
        <v>51197</v>
      </c>
      <c r="F1358" s="47">
        <v>2.734686953791011</v>
      </c>
    </row>
    <row r="1359" spans="4:6" x14ac:dyDescent="0.2">
      <c r="D1359" s="18">
        <f t="shared" ca="1" si="43"/>
        <v>25.240246406570844</v>
      </c>
      <c r="E1359" s="33">
        <f t="shared" ca="1" si="44"/>
        <v>51204</v>
      </c>
      <c r="F1359" s="47">
        <v>2.7349539952547932</v>
      </c>
    </row>
    <row r="1360" spans="4:6" x14ac:dyDescent="0.2">
      <c r="D1360" s="18">
        <f t="shared" ca="1" si="43"/>
        <v>25.259411362080765</v>
      </c>
      <c r="E1360" s="33">
        <f t="shared" ca="1" si="44"/>
        <v>51211</v>
      </c>
      <c r="F1360" s="47">
        <v>2.7352211162866062</v>
      </c>
    </row>
    <row r="1361" spans="4:6" x14ac:dyDescent="0.2">
      <c r="D1361" s="18">
        <f t="shared" ca="1" si="43"/>
        <v>25.278576317590691</v>
      </c>
      <c r="E1361" s="33">
        <f t="shared" ca="1" si="44"/>
        <v>51218</v>
      </c>
      <c r="F1361" s="47">
        <v>2.7354883019639273</v>
      </c>
    </row>
    <row r="1362" spans="4:6" x14ac:dyDescent="0.2">
      <c r="D1362" s="18">
        <f t="shared" ca="1" si="43"/>
        <v>25.297741273100616</v>
      </c>
      <c r="E1362" s="33">
        <f t="shared" ca="1" si="44"/>
        <v>51225</v>
      </c>
      <c r="F1362" s="47">
        <v>2.7357555371349456</v>
      </c>
    </row>
    <row r="1363" spans="4:6" x14ac:dyDescent="0.2">
      <c r="D1363" s="18">
        <f t="shared" ca="1" si="43"/>
        <v>25.316906228610542</v>
      </c>
      <c r="E1363" s="33">
        <f t="shared" ca="1" si="44"/>
        <v>51232</v>
      </c>
      <c r="F1363" s="47">
        <v>2.7360228064191272</v>
      </c>
    </row>
    <row r="1364" spans="4:6" x14ac:dyDescent="0.2">
      <c r="D1364" s="18">
        <f t="shared" ca="1" si="43"/>
        <v>25.336071184120467</v>
      </c>
      <c r="E1364" s="33">
        <f t="shared" ca="1" si="44"/>
        <v>51239</v>
      </c>
      <c r="F1364" s="47">
        <v>2.7362900942078987</v>
      </c>
    </row>
    <row r="1365" spans="4:6" x14ac:dyDescent="0.2">
      <c r="D1365" s="18">
        <f t="shared" ca="1" si="43"/>
        <v>25.355236139630389</v>
      </c>
      <c r="E1365" s="33">
        <f t="shared" ca="1" si="44"/>
        <v>51246</v>
      </c>
      <c r="F1365" s="47">
        <v>2.7365573846654483</v>
      </c>
    </row>
    <row r="1366" spans="4:6" x14ac:dyDescent="0.2">
      <c r="D1366" s="18">
        <f t="shared" ca="1" si="43"/>
        <v>25.374401095140314</v>
      </c>
      <c r="E1366" s="33">
        <f t="shared" ca="1" si="44"/>
        <v>51253</v>
      </c>
      <c r="F1366" s="47">
        <v>2.7368246617296639</v>
      </c>
    </row>
    <row r="1367" spans="4:6" x14ac:dyDescent="0.2">
      <c r="D1367" s="18">
        <f t="shared" ca="1" si="43"/>
        <v>25.393566050650239</v>
      </c>
      <c r="E1367" s="33">
        <f t="shared" ca="1" si="44"/>
        <v>51260</v>
      </c>
      <c r="F1367" s="47">
        <v>2.73709190911319</v>
      </c>
    </row>
    <row r="1368" spans="4:6" x14ac:dyDescent="0.2">
      <c r="D1368" s="18">
        <f t="shared" ca="1" si="43"/>
        <v>25.412731006160165</v>
      </c>
      <c r="E1368" s="33">
        <f t="shared" ca="1" si="44"/>
        <v>51267</v>
      </c>
      <c r="F1368" s="47">
        <v>2.7373591103046135</v>
      </c>
    </row>
    <row r="1369" spans="4:6" x14ac:dyDescent="0.2">
      <c r="D1369" s="18">
        <f t="shared" ca="1" si="43"/>
        <v>25.43189596167009</v>
      </c>
      <c r="E1369" s="33">
        <f t="shared" ca="1" si="44"/>
        <v>51274</v>
      </c>
      <c r="F1369" s="47">
        <v>2.737626248569792</v>
      </c>
    </row>
    <row r="1370" spans="4:6" x14ac:dyDescent="0.2">
      <c r="D1370" s="18">
        <f t="shared" ca="1" si="43"/>
        <v>25.451060917180012</v>
      </c>
      <c r="E1370" s="33">
        <f t="shared" ca="1" si="44"/>
        <v>51281</v>
      </c>
      <c r="F1370" s="47">
        <v>2.737893306953302</v>
      </c>
    </row>
    <row r="1371" spans="4:6" x14ac:dyDescent="0.2">
      <c r="D1371" s="18">
        <f t="shared" ca="1" si="43"/>
        <v>25.470225872689937</v>
      </c>
      <c r="E1371" s="33">
        <f t="shared" ca="1" si="44"/>
        <v>51288</v>
      </c>
      <c r="F1371" s="47">
        <v>2.7381602682800388</v>
      </c>
    </row>
    <row r="1372" spans="4:6" x14ac:dyDescent="0.2">
      <c r="D1372" s="18">
        <f t="shared" ca="1" si="43"/>
        <v>25.489390828199863</v>
      </c>
      <c r="E1372" s="33">
        <f t="shared" ca="1" si="44"/>
        <v>51295</v>
      </c>
      <c r="F1372" s="47">
        <v>2.7384271151569468</v>
      </c>
    </row>
    <row r="1373" spans="4:6" x14ac:dyDescent="0.2">
      <c r="D1373" s="18">
        <f t="shared" ca="1" si="43"/>
        <v>25.508555783709788</v>
      </c>
      <c r="E1373" s="33">
        <f t="shared" ca="1" si="44"/>
        <v>51302</v>
      </c>
      <c r="F1373" s="47">
        <v>2.7386938299748942</v>
      </c>
    </row>
    <row r="1374" spans="4:6" x14ac:dyDescent="0.2">
      <c r="D1374" s="18">
        <f t="shared" ca="1" si="43"/>
        <v>25.527720739219713</v>
      </c>
      <c r="E1374" s="33">
        <f t="shared" ca="1" si="44"/>
        <v>51309</v>
      </c>
      <c r="F1374" s="47">
        <v>2.7389603949106909</v>
      </c>
    </row>
    <row r="1375" spans="4:6" x14ac:dyDescent="0.2">
      <c r="D1375" s="18">
        <f t="shared" ca="1" si="43"/>
        <v>25.546885694729639</v>
      </c>
      <c r="E1375" s="33">
        <f t="shared" ca="1" si="44"/>
        <v>51316</v>
      </c>
      <c r="F1375" s="47">
        <v>2.7392267919292532</v>
      </c>
    </row>
    <row r="1376" spans="4:6" x14ac:dyDescent="0.2">
      <c r="D1376" s="18">
        <f t="shared" ca="1" si="43"/>
        <v>25.566050650239561</v>
      </c>
      <c r="E1376" s="33">
        <f t="shared" ca="1" si="44"/>
        <v>51323</v>
      </c>
      <c r="F1376" s="47">
        <v>2.7394930027859203</v>
      </c>
    </row>
    <row r="1377" spans="4:6" x14ac:dyDescent="0.2">
      <c r="D1377" s="18">
        <f t="shared" ca="1" si="43"/>
        <v>25.585215605749486</v>
      </c>
      <c r="E1377" s="33">
        <f t="shared" ca="1" si="44"/>
        <v>51330</v>
      </c>
      <c r="F1377" s="47">
        <v>2.7397590090289072</v>
      </c>
    </row>
    <row r="1378" spans="4:6" x14ac:dyDescent="0.2">
      <c r="D1378" s="18">
        <f t="shared" ca="1" si="43"/>
        <v>25.604380561259411</v>
      </c>
      <c r="E1378" s="33">
        <f t="shared" ca="1" si="44"/>
        <v>51337</v>
      </c>
      <c r="F1378" s="47">
        <v>2.7400247920019272</v>
      </c>
    </row>
    <row r="1379" spans="4:6" x14ac:dyDescent="0.2">
      <c r="D1379" s="18">
        <f t="shared" ca="1" si="43"/>
        <v>25.623545516769337</v>
      </c>
      <c r="E1379" s="33">
        <f t="shared" ca="1" si="44"/>
        <v>51344</v>
      </c>
      <c r="F1379" s="47">
        <v>2.7402903328469526</v>
      </c>
    </row>
    <row r="1380" spans="4:6" x14ac:dyDescent="0.2">
      <c r="D1380" s="18">
        <f t="shared" ca="1" si="43"/>
        <v>25.642710472279262</v>
      </c>
      <c r="E1380" s="33">
        <f t="shared" ca="1" si="44"/>
        <v>51351</v>
      </c>
      <c r="F1380" s="47">
        <v>2.740555612507142</v>
      </c>
    </row>
    <row r="1381" spans="4:6" x14ac:dyDescent="0.2">
      <c r="D1381" s="18">
        <f t="shared" ca="1" si="43"/>
        <v>25.661875427789184</v>
      </c>
      <c r="E1381" s="33">
        <f t="shared" ca="1" si="44"/>
        <v>51358</v>
      </c>
      <c r="F1381" s="47">
        <v>2.7408206117299154</v>
      </c>
    </row>
    <row r="1382" spans="4:6" x14ac:dyDescent="0.2">
      <c r="D1382" s="18">
        <f t="shared" ca="1" si="43"/>
        <v>25.681040383299109</v>
      </c>
      <c r="E1382" s="33">
        <f t="shared" ca="1" si="44"/>
        <v>51365</v>
      </c>
      <c r="F1382" s="47">
        <v>2.7410853110701914</v>
      </c>
    </row>
    <row r="1383" spans="4:6" x14ac:dyDescent="0.2">
      <c r="D1383" s="18">
        <f t="shared" ca="1" si="43"/>
        <v>25.700205338809035</v>
      </c>
      <c r="E1383" s="33">
        <f t="shared" ca="1" si="44"/>
        <v>51372</v>
      </c>
      <c r="F1383" s="47">
        <v>2.741349690893784</v>
      </c>
    </row>
    <row r="1384" spans="4:6" x14ac:dyDescent="0.2">
      <c r="D1384" s="18">
        <f t="shared" ca="1" si="43"/>
        <v>25.71937029431896</v>
      </c>
      <c r="E1384" s="33">
        <f t="shared" ca="1" si="44"/>
        <v>51379</v>
      </c>
      <c r="F1384" s="47">
        <v>2.7416137313809585</v>
      </c>
    </row>
    <row r="1385" spans="4:6" x14ac:dyDescent="0.2">
      <c r="D1385" s="18">
        <f t="shared" ca="1" si="43"/>
        <v>25.738535249828885</v>
      </c>
      <c r="E1385" s="33">
        <f t="shared" ca="1" si="44"/>
        <v>51386</v>
      </c>
      <c r="F1385" s="47">
        <v>2.7418774125301506</v>
      </c>
    </row>
    <row r="1386" spans="4:6" x14ac:dyDescent="0.2">
      <c r="D1386" s="18">
        <f t="shared" ref="D1386:D1449" ca="1" si="45">(E1386-$E$42)/365.25</f>
        <v>25.757700205338811</v>
      </c>
      <c r="E1386" s="33">
        <f t="shared" ca="1" si="44"/>
        <v>51393</v>
      </c>
      <c r="F1386" s="47">
        <v>2.742140714161847</v>
      </c>
    </row>
    <row r="1387" spans="4:6" x14ac:dyDescent="0.2">
      <c r="D1387" s="18">
        <f t="shared" ca="1" si="45"/>
        <v>25.776865160848732</v>
      </c>
      <c r="E1387" s="33">
        <f t="shared" ref="E1387:E1450" ca="1" si="46">E1386+7</f>
        <v>51400</v>
      </c>
      <c r="F1387" s="47">
        <v>2.7424036159226266</v>
      </c>
    </row>
    <row r="1388" spans="4:6" x14ac:dyDescent="0.2">
      <c r="D1388" s="18">
        <f t="shared" ca="1" si="45"/>
        <v>25.796030116358658</v>
      </c>
      <c r="E1388" s="33">
        <f t="shared" ca="1" si="46"/>
        <v>51407</v>
      </c>
      <c r="F1388" s="47">
        <v>2.7426660972893737</v>
      </c>
    </row>
    <row r="1389" spans="4:6" x14ac:dyDescent="0.2">
      <c r="D1389" s="18">
        <f t="shared" ca="1" si="45"/>
        <v>25.815195071868583</v>
      </c>
      <c r="E1389" s="33">
        <f t="shared" ca="1" si="46"/>
        <v>51414</v>
      </c>
      <c r="F1389" s="47">
        <v>2.7429281375736476</v>
      </c>
    </row>
    <row r="1390" spans="4:6" x14ac:dyDescent="0.2">
      <c r="D1390" s="18">
        <f t="shared" ca="1" si="45"/>
        <v>25.834360027378509</v>
      </c>
      <c r="E1390" s="33">
        <f t="shared" ca="1" si="46"/>
        <v>51421</v>
      </c>
      <c r="F1390" s="47">
        <v>2.743189715926222</v>
      </c>
    </row>
    <row r="1391" spans="4:6" x14ac:dyDescent="0.2">
      <c r="D1391" s="18">
        <f t="shared" ca="1" si="45"/>
        <v>25.853524982888434</v>
      </c>
      <c r="E1391" s="33">
        <f t="shared" ca="1" si="46"/>
        <v>51428</v>
      </c>
      <c r="F1391" s="47">
        <v>2.7434508113417908</v>
      </c>
    </row>
    <row r="1392" spans="4:6" x14ac:dyDescent="0.2">
      <c r="D1392" s="18">
        <f t="shared" ca="1" si="45"/>
        <v>25.872689938398356</v>
      </c>
      <c r="E1392" s="33">
        <f t="shared" ca="1" si="46"/>
        <v>51435</v>
      </c>
      <c r="F1392" s="47">
        <v>2.7437114026638318</v>
      </c>
    </row>
    <row r="1393" spans="4:6" x14ac:dyDescent="0.2">
      <c r="D1393" s="18">
        <f t="shared" ca="1" si="45"/>
        <v>25.891854893908281</v>
      </c>
      <c r="E1393" s="33">
        <f t="shared" ca="1" si="46"/>
        <v>51442</v>
      </c>
      <c r="F1393" s="47">
        <v>2.7439714685896477</v>
      </c>
    </row>
    <row r="1394" spans="4:6" x14ac:dyDescent="0.2">
      <c r="D1394" s="18">
        <f t="shared" ca="1" si="45"/>
        <v>25.911019849418206</v>
      </c>
      <c r="E1394" s="33">
        <f t="shared" ca="1" si="46"/>
        <v>51449</v>
      </c>
      <c r="F1394" s="47">
        <v>2.7442309876755613</v>
      </c>
    </row>
    <row r="1395" spans="4:6" x14ac:dyDescent="0.2">
      <c r="D1395" s="18">
        <f t="shared" ca="1" si="45"/>
        <v>25.930184804928132</v>
      </c>
      <c r="E1395" s="33">
        <f t="shared" ca="1" si="46"/>
        <v>51456</v>
      </c>
      <c r="F1395" s="47">
        <v>2.7444899383422836</v>
      </c>
    </row>
    <row r="1396" spans="4:6" x14ac:dyDescent="0.2">
      <c r="D1396" s="18">
        <f t="shared" ca="1" si="45"/>
        <v>25.949349760438057</v>
      </c>
      <c r="E1396" s="33">
        <f t="shared" ca="1" si="46"/>
        <v>51463</v>
      </c>
      <c r="F1396" s="47">
        <v>2.744748298880443</v>
      </c>
    </row>
    <row r="1397" spans="4:6" x14ac:dyDescent="0.2">
      <c r="D1397" s="18">
        <f t="shared" ca="1" si="45"/>
        <v>25.968514715947983</v>
      </c>
      <c r="E1397" s="33">
        <f t="shared" ca="1" si="46"/>
        <v>51470</v>
      </c>
      <c r="F1397" s="47">
        <v>2.7450060474562741</v>
      </c>
    </row>
    <row r="1398" spans="4:6" x14ac:dyDescent="0.2">
      <c r="D1398" s="18">
        <f t="shared" ca="1" si="45"/>
        <v>25.987679671457904</v>
      </c>
      <c r="E1398" s="33">
        <f t="shared" ca="1" si="46"/>
        <v>51477</v>
      </c>
      <c r="F1398" s="47">
        <v>2.7452631621174808</v>
      </c>
    </row>
    <row r="1399" spans="4:6" x14ac:dyDescent="0.2">
      <c r="D1399" s="18">
        <f t="shared" ca="1" si="45"/>
        <v>26.00684462696783</v>
      </c>
      <c r="E1399" s="33">
        <f t="shared" ca="1" si="46"/>
        <v>51484</v>
      </c>
      <c r="F1399" s="47">
        <v>2.7455196207992496</v>
      </c>
    </row>
    <row r="1400" spans="4:6" x14ac:dyDescent="0.2">
      <c r="D1400" s="18">
        <f t="shared" ca="1" si="45"/>
        <v>26.026009582477755</v>
      </c>
      <c r="E1400" s="33">
        <f t="shared" ca="1" si="46"/>
        <v>51491</v>
      </c>
      <c r="F1400" s="47">
        <v>2.7457754013304285</v>
      </c>
    </row>
    <row r="1401" spans="4:6" x14ac:dyDescent="0.2">
      <c r="D1401" s="18">
        <f t="shared" ca="1" si="45"/>
        <v>26.04517453798768</v>
      </c>
      <c r="E1401" s="33">
        <f t="shared" ca="1" si="46"/>
        <v>51498</v>
      </c>
      <c r="F1401" s="47">
        <v>2.7460304814398637</v>
      </c>
    </row>
    <row r="1402" spans="4:6" x14ac:dyDescent="0.2">
      <c r="D1402" s="18">
        <f t="shared" ca="1" si="45"/>
        <v>26.064339493497606</v>
      </c>
      <c r="E1402" s="33">
        <f t="shared" ca="1" si="46"/>
        <v>51505</v>
      </c>
      <c r="F1402" s="47">
        <v>2.7462848387628993</v>
      </c>
    </row>
    <row r="1403" spans="4:6" x14ac:dyDescent="0.2">
      <c r="D1403" s="18">
        <f t="shared" ca="1" si="45"/>
        <v>26.083504449007528</v>
      </c>
      <c r="E1403" s="33">
        <f t="shared" ca="1" si="46"/>
        <v>51512</v>
      </c>
      <c r="F1403" s="47">
        <v>2.7465384508480231</v>
      </c>
    </row>
    <row r="1404" spans="4:6" x14ac:dyDescent="0.2">
      <c r="D1404" s="18">
        <f t="shared" ca="1" si="45"/>
        <v>26.102669404517453</v>
      </c>
      <c r="E1404" s="33">
        <f t="shared" ca="1" si="46"/>
        <v>51519</v>
      </c>
      <c r="F1404" s="47">
        <v>2.7467912951636704</v>
      </c>
    </row>
    <row r="1405" spans="4:6" x14ac:dyDescent="0.2">
      <c r="D1405" s="18">
        <f t="shared" ca="1" si="45"/>
        <v>26.121834360027378</v>
      </c>
      <c r="E1405" s="33">
        <f t="shared" ca="1" si="46"/>
        <v>51526</v>
      </c>
      <c r="F1405" s="47">
        <v>2.747043349105184</v>
      </c>
    </row>
    <row r="1406" spans="4:6" x14ac:dyDescent="0.2">
      <c r="D1406" s="18">
        <f t="shared" ca="1" si="45"/>
        <v>26.140999315537304</v>
      </c>
      <c r="E1406" s="33">
        <f t="shared" ca="1" si="46"/>
        <v>51533</v>
      </c>
      <c r="F1406" s="47">
        <v>2.7472945900019199</v>
      </c>
    </row>
    <row r="1407" spans="4:6" x14ac:dyDescent="0.2">
      <c r="D1407" s="18">
        <f t="shared" ca="1" si="45"/>
        <v>26.160164271047229</v>
      </c>
      <c r="E1407" s="33">
        <f t="shared" ca="1" si="46"/>
        <v>51540</v>
      </c>
      <c r="F1407" s="47">
        <v>2.7475449951244904</v>
      </c>
    </row>
    <row r="1408" spans="4:6" x14ac:dyDescent="0.2">
      <c r="D1408" s="18">
        <f t="shared" ca="1" si="45"/>
        <v>26.179329226557151</v>
      </c>
      <c r="E1408" s="33">
        <f t="shared" ca="1" si="46"/>
        <v>51547</v>
      </c>
      <c r="F1408" s="47">
        <v>2.7477945416921727</v>
      </c>
    </row>
    <row r="1409" spans="4:6" x14ac:dyDescent="0.2">
      <c r="D1409" s="18">
        <f t="shared" ca="1" si="45"/>
        <v>26.198494182067076</v>
      </c>
      <c r="E1409" s="33">
        <f t="shared" ca="1" si="46"/>
        <v>51554</v>
      </c>
      <c r="F1409" s="47">
        <v>2.7480432068804346</v>
      </c>
    </row>
    <row r="1410" spans="4:6" x14ac:dyDescent="0.2">
      <c r="D1410" s="18">
        <f t="shared" ca="1" si="45"/>
        <v>26.217659137577002</v>
      </c>
      <c r="E1410" s="33">
        <f t="shared" ca="1" si="46"/>
        <v>51561</v>
      </c>
      <c r="F1410" s="47">
        <v>2.74829096782861</v>
      </c>
    </row>
    <row r="1411" spans="4:6" x14ac:dyDescent="0.2">
      <c r="D1411" s="18">
        <f t="shared" ca="1" si="45"/>
        <v>26.236824093086927</v>
      </c>
      <c r="E1411" s="33">
        <f t="shared" ca="1" si="46"/>
        <v>51568</v>
      </c>
      <c r="F1411" s="47">
        <v>2.7485378016477111</v>
      </c>
    </row>
    <row r="1412" spans="4:6" x14ac:dyDescent="0.2">
      <c r="D1412" s="18">
        <f t="shared" ca="1" si="45"/>
        <v>26.255989048596852</v>
      </c>
      <c r="E1412" s="33">
        <f t="shared" ca="1" si="46"/>
        <v>51575</v>
      </c>
      <c r="F1412" s="47">
        <v>2.7487836854283616</v>
      </c>
    </row>
    <row r="1413" spans="4:6" x14ac:dyDescent="0.2">
      <c r="D1413" s="18">
        <f t="shared" ca="1" si="45"/>
        <v>26.275154004106778</v>
      </c>
      <c r="E1413" s="33">
        <f t="shared" ca="1" si="46"/>
        <v>51582</v>
      </c>
      <c r="F1413" s="47">
        <v>2.7490285962488636</v>
      </c>
    </row>
    <row r="1414" spans="4:6" x14ac:dyDescent="0.2">
      <c r="D1414" s="18">
        <f t="shared" ca="1" si="45"/>
        <v>26.2943189596167</v>
      </c>
      <c r="E1414" s="33">
        <f t="shared" ca="1" si="46"/>
        <v>51589</v>
      </c>
      <c r="F1414" s="47">
        <v>2.7492725111833867</v>
      </c>
    </row>
    <row r="1415" spans="4:6" x14ac:dyDescent="0.2">
      <c r="D1415" s="18">
        <f t="shared" ca="1" si="45"/>
        <v>26.313483915126625</v>
      </c>
      <c r="E1415" s="33">
        <f t="shared" ca="1" si="46"/>
        <v>51596</v>
      </c>
      <c r="F1415" s="47">
        <v>2.7495154073102719</v>
      </c>
    </row>
    <row r="1416" spans="4:6" x14ac:dyDescent="0.2">
      <c r="D1416" s="18">
        <f t="shared" ca="1" si="45"/>
        <v>26.33264887063655</v>
      </c>
      <c r="E1416" s="33">
        <f t="shared" ca="1" si="46"/>
        <v>51603</v>
      </c>
      <c r="F1416" s="47">
        <v>2.7497572617204544</v>
      </c>
    </row>
    <row r="1417" spans="4:6" x14ac:dyDescent="0.2">
      <c r="D1417" s="18">
        <f t="shared" ca="1" si="45"/>
        <v>26.351813826146476</v>
      </c>
      <c r="E1417" s="33">
        <f t="shared" ca="1" si="46"/>
        <v>51610</v>
      </c>
      <c r="F1417" s="47">
        <v>2.7499980515259876</v>
      </c>
    </row>
    <row r="1418" spans="4:6" x14ac:dyDescent="0.2">
      <c r="D1418" s="18">
        <f t="shared" ca="1" si="45"/>
        <v>26.370978781656401</v>
      </c>
      <c r="E1418" s="33">
        <f t="shared" ca="1" si="46"/>
        <v>51617</v>
      </c>
      <c r="F1418" s="47">
        <v>2.7502377538686842</v>
      </c>
    </row>
    <row r="1419" spans="4:6" x14ac:dyDescent="0.2">
      <c r="D1419" s="18">
        <f t="shared" ca="1" si="45"/>
        <v>26.390143737166323</v>
      </c>
      <c r="E1419" s="33">
        <f t="shared" ca="1" si="46"/>
        <v>51624</v>
      </c>
      <c r="F1419" s="47">
        <v>2.7504763459288468</v>
      </c>
    </row>
    <row r="1420" spans="4:6" x14ac:dyDescent="0.2">
      <c r="D1420" s="18">
        <f t="shared" ca="1" si="45"/>
        <v>26.409308692676248</v>
      </c>
      <c r="E1420" s="33">
        <f t="shared" ca="1" si="46"/>
        <v>51631</v>
      </c>
      <c r="F1420" s="47">
        <v>2.7507138049340951</v>
      </c>
    </row>
    <row r="1421" spans="4:6" x14ac:dyDescent="0.2">
      <c r="D1421" s="18">
        <f t="shared" ca="1" si="45"/>
        <v>26.428473648186174</v>
      </c>
      <c r="E1421" s="33">
        <f t="shared" ca="1" si="46"/>
        <v>51638</v>
      </c>
      <c r="F1421" s="47">
        <v>2.7509501081682854</v>
      </c>
    </row>
    <row r="1422" spans="4:6" x14ac:dyDescent="0.2">
      <c r="D1422" s="18">
        <f t="shared" ca="1" si="45"/>
        <v>26.447638603696099</v>
      </c>
      <c r="E1422" s="33">
        <f t="shared" ca="1" si="46"/>
        <v>51645</v>
      </c>
      <c r="F1422" s="47">
        <v>2.7511852329805073</v>
      </c>
    </row>
    <row r="1423" spans="4:6" x14ac:dyDescent="0.2">
      <c r="D1423" s="18">
        <f t="shared" ca="1" si="45"/>
        <v>26.466803559206024</v>
      </c>
      <c r="E1423" s="33">
        <f t="shared" ca="1" si="46"/>
        <v>51652</v>
      </c>
      <c r="F1423" s="47">
        <v>2.7514191567941677</v>
      </c>
    </row>
    <row r="1424" spans="4:6" x14ac:dyDescent="0.2">
      <c r="D1424" s="18">
        <f t="shared" ca="1" si="45"/>
        <v>26.48596851471595</v>
      </c>
      <c r="E1424" s="33">
        <f t="shared" ca="1" si="46"/>
        <v>51659</v>
      </c>
      <c r="F1424" s="47">
        <v>2.7516518571161375</v>
      </c>
    </row>
    <row r="1425" spans="4:6" x14ac:dyDescent="0.2">
      <c r="D1425" s="18">
        <f t="shared" ca="1" si="45"/>
        <v>26.505133470225871</v>
      </c>
      <c r="E1425" s="33">
        <f t="shared" ca="1" si="46"/>
        <v>51666</v>
      </c>
      <c r="F1425" s="47">
        <v>2.7518833115459636</v>
      </c>
    </row>
    <row r="1426" spans="4:6" x14ac:dyDescent="0.2">
      <c r="D1426" s="18">
        <f t="shared" ca="1" si="45"/>
        <v>26.524298425735797</v>
      </c>
      <c r="E1426" s="33">
        <f t="shared" ca="1" si="46"/>
        <v>51673</v>
      </c>
      <c r="F1426" s="47">
        <v>2.7521134977851518</v>
      </c>
    </row>
    <row r="1427" spans="4:6" x14ac:dyDescent="0.2">
      <c r="D1427" s="18">
        <f t="shared" ca="1" si="45"/>
        <v>26.543463381245722</v>
      </c>
      <c r="E1427" s="33">
        <f t="shared" ca="1" si="46"/>
        <v>51680</v>
      </c>
      <c r="F1427" s="47">
        <v>2.7523423936464879</v>
      </c>
    </row>
    <row r="1428" spans="4:6" x14ac:dyDescent="0.2">
      <c r="D1428" s="18">
        <f t="shared" ca="1" si="45"/>
        <v>26.562628336755647</v>
      </c>
      <c r="E1428" s="33">
        <f t="shared" ca="1" si="46"/>
        <v>51687</v>
      </c>
      <c r="F1428" s="47">
        <v>2.7525699770634136</v>
      </c>
    </row>
    <row r="1429" spans="4:6" x14ac:dyDescent="0.2">
      <c r="D1429" s="18">
        <f t="shared" ca="1" si="45"/>
        <v>26.581793292265573</v>
      </c>
      <c r="E1429" s="33">
        <f t="shared" ca="1" si="46"/>
        <v>51694</v>
      </c>
      <c r="F1429" s="47">
        <v>2.7527962260994436</v>
      </c>
    </row>
    <row r="1430" spans="4:6" x14ac:dyDescent="0.2">
      <c r="D1430" s="18">
        <f t="shared" ca="1" si="45"/>
        <v>26.600958247775495</v>
      </c>
      <c r="E1430" s="33">
        <f t="shared" ca="1" si="46"/>
        <v>51701</v>
      </c>
      <c r="F1430" s="47">
        <v>2.7530211189576033</v>
      </c>
    </row>
    <row r="1431" spans="4:6" x14ac:dyDescent="0.2">
      <c r="D1431" s="18">
        <f t="shared" ca="1" si="45"/>
        <v>26.62012320328542</v>
      </c>
      <c r="E1431" s="33">
        <f t="shared" ca="1" si="46"/>
        <v>51708</v>
      </c>
      <c r="F1431" s="47">
        <v>2.7532446339899095</v>
      </c>
    </row>
    <row r="1432" spans="4:6" x14ac:dyDescent="0.2">
      <c r="D1432" s="18">
        <f t="shared" ca="1" si="45"/>
        <v>26.639288158795345</v>
      </c>
      <c r="E1432" s="33">
        <f t="shared" ca="1" si="46"/>
        <v>51715</v>
      </c>
      <c r="F1432" s="47">
        <v>2.7534667497068548</v>
      </c>
    </row>
    <row r="1433" spans="4:6" x14ac:dyDescent="0.2">
      <c r="D1433" s="18">
        <f t="shared" ca="1" si="45"/>
        <v>26.658453114305271</v>
      </c>
      <c r="E1433" s="33">
        <f t="shared" ca="1" si="46"/>
        <v>51722</v>
      </c>
      <c r="F1433" s="47">
        <v>2.7536874447869124</v>
      </c>
    </row>
    <row r="1434" spans="4:6" x14ac:dyDescent="0.2">
      <c r="D1434" s="18">
        <f t="shared" ca="1" si="45"/>
        <v>26.677618069815196</v>
      </c>
      <c r="E1434" s="33">
        <f t="shared" ca="1" si="46"/>
        <v>51729</v>
      </c>
      <c r="F1434" s="47">
        <v>2.7539066980860354</v>
      </c>
    </row>
    <row r="1435" spans="4:6" x14ac:dyDescent="0.2">
      <c r="D1435" s="18">
        <f t="shared" ca="1" si="45"/>
        <v>26.696783025325121</v>
      </c>
      <c r="E1435" s="33">
        <f t="shared" ca="1" si="46"/>
        <v>51736</v>
      </c>
      <c r="F1435" s="47">
        <v>2.7541244886471632</v>
      </c>
    </row>
    <row r="1436" spans="4:6" x14ac:dyDescent="0.2">
      <c r="D1436" s="18">
        <f t="shared" ca="1" si="45"/>
        <v>26.715947980835043</v>
      </c>
      <c r="E1436" s="33">
        <f t="shared" ca="1" si="46"/>
        <v>51743</v>
      </c>
      <c r="F1436" s="47">
        <v>2.7543407957097101</v>
      </c>
    </row>
    <row r="1437" spans="4:6" x14ac:dyDescent="0.2">
      <c r="D1437" s="18">
        <f t="shared" ca="1" si="45"/>
        <v>26.735112936344969</v>
      </c>
      <c r="E1437" s="33">
        <f t="shared" ca="1" si="46"/>
        <v>51750</v>
      </c>
      <c r="F1437" s="47">
        <v>2.7545555987190329</v>
      </c>
    </row>
    <row r="1438" spans="4:6" x14ac:dyDescent="0.2">
      <c r="D1438" s="18">
        <f t="shared" ca="1" si="45"/>
        <v>26.754277891854894</v>
      </c>
      <c r="E1438" s="33">
        <f t="shared" ca="1" si="46"/>
        <v>51757</v>
      </c>
      <c r="F1438" s="47">
        <v>2.7547688773358772</v>
      </c>
    </row>
    <row r="1439" spans="4:6" x14ac:dyDescent="0.2">
      <c r="D1439" s="18">
        <f t="shared" ca="1" si="45"/>
        <v>26.773442847364819</v>
      </c>
      <c r="E1439" s="33">
        <f t="shared" ca="1" si="46"/>
        <v>51764</v>
      </c>
      <c r="F1439" s="47">
        <v>2.7549806114457858</v>
      </c>
    </row>
    <row r="1440" spans="4:6" x14ac:dyDescent="0.2">
      <c r="D1440" s="18">
        <f t="shared" ca="1" si="45"/>
        <v>26.792607802874745</v>
      </c>
      <c r="E1440" s="33">
        <f t="shared" ca="1" si="46"/>
        <v>51771</v>
      </c>
      <c r="F1440" s="47">
        <v>2.7551907811684617</v>
      </c>
    </row>
    <row r="1441" spans="4:6" x14ac:dyDescent="0.2">
      <c r="D1441" s="18">
        <f t="shared" ca="1" si="45"/>
        <v>26.811772758384667</v>
      </c>
      <c r="E1441" s="33">
        <f t="shared" ca="1" si="46"/>
        <v>51778</v>
      </c>
      <c r="F1441" s="47">
        <v>2.7553993668670875</v>
      </c>
    </row>
    <row r="1442" spans="4:6" x14ac:dyDescent="0.2">
      <c r="D1442" s="18">
        <f t="shared" ca="1" si="45"/>
        <v>26.830937713894592</v>
      </c>
      <c r="E1442" s="33">
        <f t="shared" ca="1" si="46"/>
        <v>51785</v>
      </c>
      <c r="F1442" s="47">
        <v>2.7556063491575817</v>
      </c>
    </row>
    <row r="1443" spans="4:6" x14ac:dyDescent="0.2">
      <c r="D1443" s="18">
        <f t="shared" ca="1" si="45"/>
        <v>26.850102669404517</v>
      </c>
      <c r="E1443" s="33">
        <f t="shared" ca="1" si="46"/>
        <v>51792</v>
      </c>
      <c r="F1443" s="47">
        <v>2.7558117089177814</v>
      </c>
    </row>
    <row r="1444" spans="4:6" x14ac:dyDescent="0.2">
      <c r="D1444" s="18">
        <f t="shared" ca="1" si="45"/>
        <v>26.869267624914443</v>
      </c>
      <c r="E1444" s="33">
        <f t="shared" ca="1" si="46"/>
        <v>51799</v>
      </c>
      <c r="F1444" s="47">
        <v>2.756015427296572</v>
      </c>
    </row>
    <row r="1445" spans="4:6" x14ac:dyDescent="0.2">
      <c r="D1445" s="18">
        <f t="shared" ca="1" si="45"/>
        <v>26.888432580424368</v>
      </c>
      <c r="E1445" s="33">
        <f t="shared" ca="1" si="46"/>
        <v>51806</v>
      </c>
      <c r="F1445" s="47">
        <v>2.7562174857229023</v>
      </c>
    </row>
    <row r="1446" spans="4:6" x14ac:dyDescent="0.2">
      <c r="D1446" s="18">
        <f t="shared" ca="1" si="45"/>
        <v>26.90759753593429</v>
      </c>
      <c r="E1446" s="33">
        <f t="shared" ca="1" si="46"/>
        <v>51813</v>
      </c>
      <c r="F1446" s="47">
        <v>2.7564178659147407</v>
      </c>
    </row>
    <row r="1447" spans="4:6" x14ac:dyDescent="0.2">
      <c r="D1447" s="18">
        <f t="shared" ca="1" si="45"/>
        <v>26.926762491444215</v>
      </c>
      <c r="E1447" s="33">
        <f t="shared" ca="1" si="46"/>
        <v>51820</v>
      </c>
      <c r="F1447" s="47">
        <v>2.7566165498879083</v>
      </c>
    </row>
    <row r="1448" spans="4:6" x14ac:dyDescent="0.2">
      <c r="D1448" s="18">
        <f t="shared" ca="1" si="45"/>
        <v>26.945927446954141</v>
      </c>
      <c r="E1448" s="33">
        <f t="shared" ca="1" si="46"/>
        <v>51827</v>
      </c>
      <c r="F1448" s="47">
        <v>2.7568135199648198</v>
      </c>
    </row>
    <row r="1449" spans="4:6" x14ac:dyDescent="0.2">
      <c r="D1449" s="18">
        <f t="shared" ca="1" si="45"/>
        <v>26.965092402464066</v>
      </c>
      <c r="E1449" s="33">
        <f t="shared" ca="1" si="46"/>
        <v>51834</v>
      </c>
      <c r="F1449" s="47">
        <v>2.7570087587831007</v>
      </c>
    </row>
    <row r="1450" spans="4:6" x14ac:dyDescent="0.2">
      <c r="D1450" s="18">
        <f t="shared" ref="D1450:D1513" ca="1" si="47">(E1450-$E$42)/365.25</f>
        <v>26.984257357973991</v>
      </c>
      <c r="E1450" s="33">
        <f t="shared" ca="1" si="46"/>
        <v>51841</v>
      </c>
      <c r="F1450" s="47">
        <v>2.7572022493040871</v>
      </c>
    </row>
    <row r="1451" spans="4:6" x14ac:dyDescent="0.2">
      <c r="D1451" s="18">
        <f t="shared" ca="1" si="47"/>
        <v>27.003422313483917</v>
      </c>
      <c r="E1451" s="33">
        <f t="shared" ref="E1451:E1514" ca="1" si="48">E1450+7</f>
        <v>51848</v>
      </c>
      <c r="F1451" s="47">
        <v>2.7573939748211909</v>
      </c>
    </row>
    <row r="1452" spans="4:6" x14ac:dyDescent="0.2">
      <c r="D1452" s="18">
        <f t="shared" ca="1" si="47"/>
        <v>27.022587268993838</v>
      </c>
      <c r="E1452" s="33">
        <f t="shared" ca="1" si="48"/>
        <v>51855</v>
      </c>
      <c r="F1452" s="47">
        <v>2.7575839189681308</v>
      </c>
    </row>
    <row r="1453" spans="4:6" x14ac:dyDescent="0.2">
      <c r="D1453" s="18">
        <f t="shared" ca="1" si="47"/>
        <v>27.041752224503764</v>
      </c>
      <c r="E1453" s="33">
        <f t="shared" ca="1" si="48"/>
        <v>51862</v>
      </c>
      <c r="F1453" s="47">
        <v>2.7577720657270128</v>
      </c>
    </row>
    <row r="1454" spans="4:6" x14ac:dyDescent="0.2">
      <c r="D1454" s="18">
        <f t="shared" ca="1" si="47"/>
        <v>27.060917180013689</v>
      </c>
      <c r="E1454" s="33">
        <f t="shared" ca="1" si="48"/>
        <v>51869</v>
      </c>
      <c r="F1454" s="47">
        <v>2.7579583994362573</v>
      </c>
    </row>
    <row r="1455" spans="4:6" x14ac:dyDescent="0.2">
      <c r="D1455" s="18">
        <f t="shared" ca="1" si="47"/>
        <v>27.080082135523615</v>
      </c>
      <c r="E1455" s="33">
        <f t="shared" ca="1" si="48"/>
        <v>51876</v>
      </c>
      <c r="F1455" s="47">
        <v>2.7581429047983685</v>
      </c>
    </row>
    <row r="1456" spans="4:6" x14ac:dyDescent="0.2">
      <c r="D1456" s="18">
        <f t="shared" ca="1" si="47"/>
        <v>27.09924709103354</v>
      </c>
      <c r="E1456" s="33">
        <f t="shared" ca="1" si="48"/>
        <v>51883</v>
      </c>
      <c r="F1456" s="47">
        <v>2.7583255668875291</v>
      </c>
    </row>
    <row r="1457" spans="4:6" x14ac:dyDescent="0.2">
      <c r="D1457" s="18">
        <f t="shared" ca="1" si="47"/>
        <v>27.118412046543462</v>
      </c>
      <c r="E1457" s="33">
        <f t="shared" ca="1" si="48"/>
        <v>51890</v>
      </c>
      <c r="F1457" s="47">
        <v>2.7585063711570252</v>
      </c>
    </row>
    <row r="1458" spans="4:6" x14ac:dyDescent="0.2">
      <c r="D1458" s="18">
        <f t="shared" ca="1" si="47"/>
        <v>27.137577002053387</v>
      </c>
      <c r="E1458" s="33">
        <f t="shared" ca="1" si="48"/>
        <v>51897</v>
      </c>
      <c r="F1458" s="47">
        <v>2.7586853034464842</v>
      </c>
    </row>
    <row r="1459" spans="4:6" x14ac:dyDescent="0.2">
      <c r="D1459" s="18">
        <f t="shared" ca="1" si="47"/>
        <v>27.156741957563312</v>
      </c>
      <c r="E1459" s="33">
        <f t="shared" ca="1" si="48"/>
        <v>51904</v>
      </c>
      <c r="F1459" s="47">
        <v>2.7588623499889189</v>
      </c>
    </row>
    <row r="1460" spans="4:6" x14ac:dyDescent="0.2">
      <c r="D1460" s="18">
        <f t="shared" ca="1" si="47"/>
        <v>27.175906913073238</v>
      </c>
      <c r="E1460" s="33">
        <f t="shared" ca="1" si="48"/>
        <v>51911</v>
      </c>
      <c r="F1460" s="47">
        <v>2.7590374974175833</v>
      </c>
    </row>
    <row r="1461" spans="4:6" x14ac:dyDescent="0.2">
      <c r="D1461" s="18">
        <f t="shared" ca="1" si="47"/>
        <v>27.195071868583163</v>
      </c>
      <c r="E1461" s="33">
        <f t="shared" ca="1" si="48"/>
        <v>51918</v>
      </c>
      <c r="F1461" s="47">
        <v>2.7592107327726203</v>
      </c>
    </row>
    <row r="1462" spans="4:6" x14ac:dyDescent="0.2">
      <c r="D1462" s="18">
        <f t="shared" ca="1" si="47"/>
        <v>27.214236824093089</v>
      </c>
      <c r="E1462" s="33">
        <f t="shared" ca="1" si="48"/>
        <v>51925</v>
      </c>
      <c r="F1462" s="47">
        <v>2.7593820435074936</v>
      </c>
    </row>
    <row r="1463" spans="4:6" x14ac:dyDescent="0.2">
      <c r="D1463" s="18">
        <f t="shared" ca="1" si="47"/>
        <v>27.23340177960301</v>
      </c>
      <c r="E1463" s="33">
        <f t="shared" ca="1" si="48"/>
        <v>51932</v>
      </c>
      <c r="F1463" s="47">
        <v>2.7595514174952145</v>
      </c>
    </row>
    <row r="1464" spans="4:6" x14ac:dyDescent="0.2">
      <c r="D1464" s="18">
        <f t="shared" ca="1" si="47"/>
        <v>27.252566735112936</v>
      </c>
      <c r="E1464" s="33">
        <f t="shared" ca="1" si="48"/>
        <v>51939</v>
      </c>
      <c r="F1464" s="47">
        <v>2.759718843034336</v>
      </c>
    </row>
    <row r="1465" spans="4:6" x14ac:dyDescent="0.2">
      <c r="D1465" s="18">
        <f t="shared" ca="1" si="47"/>
        <v>27.271731690622861</v>
      </c>
      <c r="E1465" s="33">
        <f t="shared" ca="1" si="48"/>
        <v>51946</v>
      </c>
      <c r="F1465" s="47">
        <v>2.7598843088547227</v>
      </c>
    </row>
    <row r="1466" spans="4:6" x14ac:dyDescent="0.2">
      <c r="D1466" s="18">
        <f t="shared" ca="1" si="47"/>
        <v>27.290896646132786</v>
      </c>
      <c r="E1466" s="33">
        <f t="shared" ca="1" si="48"/>
        <v>51953</v>
      </c>
      <c r="F1466" s="47">
        <v>2.7600478041230874</v>
      </c>
    </row>
    <row r="1467" spans="4:6" x14ac:dyDescent="0.2">
      <c r="D1467" s="18">
        <f t="shared" ca="1" si="47"/>
        <v>27.310061601642712</v>
      </c>
      <c r="E1467" s="33">
        <f t="shared" ca="1" si="48"/>
        <v>51960</v>
      </c>
      <c r="F1467" s="47">
        <v>2.7602093184482905</v>
      </c>
    </row>
    <row r="1468" spans="4:6" x14ac:dyDescent="0.2">
      <c r="D1468" s="18">
        <f t="shared" ca="1" si="47"/>
        <v>27.329226557152634</v>
      </c>
      <c r="E1468" s="33">
        <f t="shared" ca="1" si="48"/>
        <v>51967</v>
      </c>
      <c r="F1468" s="47">
        <v>2.7603688418863839</v>
      </c>
    </row>
    <row r="1469" spans="4:6" x14ac:dyDescent="0.2">
      <c r="D1469" s="18">
        <f t="shared" ca="1" si="47"/>
        <v>27.348391512662559</v>
      </c>
      <c r="E1469" s="33">
        <f t="shared" ca="1" si="48"/>
        <v>51974</v>
      </c>
      <c r="F1469" s="47">
        <v>2.7605263649454184</v>
      </c>
    </row>
    <row r="1470" spans="4:6" x14ac:dyDescent="0.2">
      <c r="D1470" s="18">
        <f t="shared" ca="1" si="47"/>
        <v>27.367556468172484</v>
      </c>
      <c r="E1470" s="33">
        <f t="shared" ca="1" si="48"/>
        <v>51981</v>
      </c>
      <c r="F1470" s="47">
        <v>2.7606818785899909</v>
      </c>
    </row>
    <row r="1471" spans="4:6" x14ac:dyDescent="0.2">
      <c r="D1471" s="18">
        <f t="shared" ca="1" si="47"/>
        <v>27.38672142368241</v>
      </c>
      <c r="E1471" s="33">
        <f t="shared" ca="1" si="48"/>
        <v>51988</v>
      </c>
      <c r="F1471" s="47">
        <v>2.760835374245536</v>
      </c>
    </row>
    <row r="1472" spans="4:6" x14ac:dyDescent="0.2">
      <c r="D1472" s="18">
        <f t="shared" ca="1" si="47"/>
        <v>27.405886379192335</v>
      </c>
      <c r="E1472" s="33">
        <f t="shared" ca="1" si="48"/>
        <v>51995</v>
      </c>
      <c r="F1472" s="47">
        <v>2.7609868438023417</v>
      </c>
    </row>
    <row r="1473" spans="4:6" x14ac:dyDescent="0.2">
      <c r="D1473" s="18">
        <f t="shared" ca="1" si="47"/>
        <v>27.42505133470226</v>
      </c>
      <c r="E1473" s="33">
        <f t="shared" ca="1" si="48"/>
        <v>52002</v>
      </c>
      <c r="F1473" s="47">
        <v>2.7611362796193233</v>
      </c>
    </row>
    <row r="1474" spans="4:6" x14ac:dyDescent="0.2">
      <c r="D1474" s="18">
        <f t="shared" ca="1" si="47"/>
        <v>27.444216290212182</v>
      </c>
      <c r="E1474" s="33">
        <f t="shared" ca="1" si="48"/>
        <v>52009</v>
      </c>
      <c r="F1474" s="47">
        <v>2.7612836745275056</v>
      </c>
    </row>
    <row r="1475" spans="4:6" x14ac:dyDescent="0.2">
      <c r="D1475" s="18">
        <f t="shared" ca="1" si="47"/>
        <v>27.463381245722108</v>
      </c>
      <c r="E1475" s="33">
        <f t="shared" ca="1" si="48"/>
        <v>52016</v>
      </c>
      <c r="F1475" s="47">
        <v>2.7614290218332394</v>
      </c>
    </row>
    <row r="1476" spans="4:6" x14ac:dyDescent="0.2">
      <c r="D1476" s="18">
        <f t="shared" ca="1" si="47"/>
        <v>27.482546201232033</v>
      </c>
      <c r="E1476" s="33">
        <f t="shared" ca="1" si="48"/>
        <v>52023</v>
      </c>
      <c r="F1476" s="47">
        <v>2.761572315321144</v>
      </c>
    </row>
    <row r="1477" spans="4:6" x14ac:dyDescent="0.2">
      <c r="D1477" s="18">
        <f t="shared" ca="1" si="47"/>
        <v>27.501711156741958</v>
      </c>
      <c r="E1477" s="33">
        <f t="shared" ca="1" si="48"/>
        <v>52030</v>
      </c>
      <c r="F1477" s="47">
        <v>2.7617135492567635</v>
      </c>
    </row>
    <row r="1478" spans="4:6" x14ac:dyDescent="0.2">
      <c r="D1478" s="18">
        <f t="shared" ca="1" si="47"/>
        <v>27.520876112251884</v>
      </c>
      <c r="E1478" s="33">
        <f t="shared" ca="1" si="48"/>
        <v>52037</v>
      </c>
      <c r="F1478" s="47">
        <v>2.7618527183889543</v>
      </c>
    </row>
    <row r="1479" spans="4:6" x14ac:dyDescent="0.2">
      <c r="D1479" s="18">
        <f t="shared" ca="1" si="47"/>
        <v>27.540041067761805</v>
      </c>
      <c r="E1479" s="33">
        <f t="shared" ca="1" si="48"/>
        <v>52044</v>
      </c>
      <c r="F1479" s="47">
        <v>2.7619898179519726</v>
      </c>
    </row>
    <row r="1480" spans="4:6" x14ac:dyDescent="0.2">
      <c r="D1480" s="18">
        <f t="shared" ca="1" si="47"/>
        <v>27.559206023271731</v>
      </c>
      <c r="E1480" s="33">
        <f t="shared" ca="1" si="48"/>
        <v>52051</v>
      </c>
      <c r="F1480" s="47">
        <v>2.7621248436672907</v>
      </c>
    </row>
    <row r="1481" spans="4:6" x14ac:dyDescent="0.2">
      <c r="D1481" s="18">
        <f t="shared" ca="1" si="47"/>
        <v>27.578370978781656</v>
      </c>
      <c r="E1481" s="33">
        <f t="shared" ca="1" si="48"/>
        <v>52058</v>
      </c>
      <c r="F1481" s="47">
        <v>2.7622577917451188</v>
      </c>
    </row>
    <row r="1482" spans="4:6" x14ac:dyDescent="0.2">
      <c r="D1482" s="18">
        <f t="shared" ca="1" si="47"/>
        <v>27.597535934291582</v>
      </c>
      <c r="E1482" s="33">
        <f t="shared" ca="1" si="48"/>
        <v>52065</v>
      </c>
      <c r="F1482" s="47">
        <v>2.7623886588856408</v>
      </c>
    </row>
    <row r="1483" spans="4:6" x14ac:dyDescent="0.2">
      <c r="D1483" s="18">
        <f t="shared" ca="1" si="47"/>
        <v>27.616700889801507</v>
      </c>
      <c r="E1483" s="33">
        <f t="shared" ca="1" si="48"/>
        <v>52072</v>
      </c>
      <c r="F1483" s="47">
        <v>2.7625174422799637</v>
      </c>
    </row>
    <row r="1484" spans="4:6" x14ac:dyDescent="0.2">
      <c r="D1484" s="18">
        <f t="shared" ca="1" si="47"/>
        <v>27.635865845311429</v>
      </c>
      <c r="E1484" s="33">
        <f t="shared" ca="1" si="48"/>
        <v>52079</v>
      </c>
      <c r="F1484" s="47">
        <v>2.7626441396107762</v>
      </c>
    </row>
    <row r="1485" spans="4:6" x14ac:dyDescent="0.2">
      <c r="D1485" s="18">
        <f t="shared" ca="1" si="47"/>
        <v>27.655030800821354</v>
      </c>
      <c r="E1485" s="33">
        <f t="shared" ca="1" si="48"/>
        <v>52086</v>
      </c>
      <c r="F1485" s="47">
        <v>2.7627687490527149</v>
      </c>
    </row>
    <row r="1486" spans="4:6" x14ac:dyDescent="0.2">
      <c r="D1486" s="18">
        <f t="shared" ca="1" si="47"/>
        <v>27.674195756331279</v>
      </c>
      <c r="E1486" s="33">
        <f t="shared" ca="1" si="48"/>
        <v>52093</v>
      </c>
      <c r="F1486" s="47">
        <v>2.7628912692724468</v>
      </c>
    </row>
    <row r="1487" spans="4:6" x14ac:dyDescent="0.2">
      <c r="D1487" s="18">
        <f t="shared" ca="1" si="47"/>
        <v>27.693360711841205</v>
      </c>
      <c r="E1487" s="33">
        <f t="shared" ca="1" si="48"/>
        <v>52100</v>
      </c>
      <c r="F1487" s="47">
        <v>2.763011699428461</v>
      </c>
    </row>
    <row r="1488" spans="4:6" x14ac:dyDescent="0.2">
      <c r="D1488" s="18">
        <f t="shared" ca="1" si="47"/>
        <v>27.71252566735113</v>
      </c>
      <c r="E1488" s="33">
        <f t="shared" ca="1" si="48"/>
        <v>52107</v>
      </c>
      <c r="F1488" s="47">
        <v>2.7631300391705707</v>
      </c>
    </row>
    <row r="1489" spans="4:6" x14ac:dyDescent="0.2">
      <c r="D1489" s="18">
        <f t="shared" ca="1" si="47"/>
        <v>27.731690622861056</v>
      </c>
      <c r="E1489" s="33">
        <f t="shared" ca="1" si="48"/>
        <v>52114</v>
      </c>
      <c r="F1489" s="47">
        <v>2.7632462886391305</v>
      </c>
    </row>
    <row r="1490" spans="4:6" x14ac:dyDescent="0.2">
      <c r="D1490" s="18">
        <f t="shared" ca="1" si="47"/>
        <v>27.750855578370977</v>
      </c>
      <c r="E1490" s="33">
        <f t="shared" ca="1" si="48"/>
        <v>52121</v>
      </c>
      <c r="F1490" s="47">
        <v>2.7633604484639651</v>
      </c>
    </row>
    <row r="1491" spans="4:6" x14ac:dyDescent="0.2">
      <c r="D1491" s="18">
        <f t="shared" ca="1" si="47"/>
        <v>27.770020533880903</v>
      </c>
      <c r="E1491" s="33">
        <f t="shared" ca="1" si="48"/>
        <v>52128</v>
      </c>
      <c r="F1491" s="47">
        <v>2.7634725197630221</v>
      </c>
    </row>
    <row r="1492" spans="4:6" x14ac:dyDescent="0.2">
      <c r="D1492" s="18">
        <f t="shared" ca="1" si="47"/>
        <v>27.789185489390828</v>
      </c>
      <c r="E1492" s="33">
        <f t="shared" ca="1" si="48"/>
        <v>52135</v>
      </c>
      <c r="F1492" s="47">
        <v>2.7635825041407309</v>
      </c>
    </row>
    <row r="1493" spans="4:6" x14ac:dyDescent="0.2">
      <c r="D1493" s="18">
        <f t="shared" ca="1" si="47"/>
        <v>27.808350444900753</v>
      </c>
      <c r="E1493" s="33">
        <f t="shared" ca="1" si="48"/>
        <v>52142</v>
      </c>
      <c r="F1493" s="47">
        <v>2.763690403686093</v>
      </c>
    </row>
    <row r="1494" spans="4:6" x14ac:dyDescent="0.2">
      <c r="D1494" s="18">
        <f t="shared" ca="1" si="47"/>
        <v>27.827515400410679</v>
      </c>
      <c r="E1494" s="33">
        <f t="shared" ca="1" si="48"/>
        <v>52149</v>
      </c>
      <c r="F1494" s="47">
        <v>2.7637962209704918</v>
      </c>
    </row>
    <row r="1495" spans="4:6" x14ac:dyDescent="0.2">
      <c r="D1495" s="18">
        <f t="shared" ca="1" si="47"/>
        <v>27.846680355920601</v>
      </c>
      <c r="E1495" s="33">
        <f t="shared" ca="1" si="48"/>
        <v>52156</v>
      </c>
      <c r="F1495" s="47">
        <v>2.7638999590452231</v>
      </c>
    </row>
    <row r="1496" spans="4:6" x14ac:dyDescent="0.2">
      <c r="D1496" s="18">
        <f t="shared" ca="1" si="47"/>
        <v>27.865845311430526</v>
      </c>
      <c r="E1496" s="33">
        <f t="shared" ca="1" si="48"/>
        <v>52163</v>
      </c>
      <c r="F1496" s="47">
        <v>2.7640016214387662</v>
      </c>
    </row>
    <row r="1497" spans="4:6" x14ac:dyDescent="0.2">
      <c r="D1497" s="18">
        <f t="shared" ca="1" si="47"/>
        <v>27.885010266940451</v>
      </c>
      <c r="E1497" s="33">
        <f t="shared" ca="1" si="48"/>
        <v>52170</v>
      </c>
      <c r="F1497" s="47">
        <v>2.7641012121537751</v>
      </c>
    </row>
    <row r="1498" spans="4:6" x14ac:dyDescent="0.2">
      <c r="D1498" s="18">
        <f t="shared" ca="1" si="47"/>
        <v>27.904175222450377</v>
      </c>
      <c r="E1498" s="33">
        <f t="shared" ca="1" si="48"/>
        <v>52177</v>
      </c>
      <c r="F1498" s="47">
        <v>2.7641987356638138</v>
      </c>
    </row>
    <row r="1499" spans="4:6" x14ac:dyDescent="0.2">
      <c r="D1499" s="18">
        <f t="shared" ca="1" si="47"/>
        <v>27.923340177960302</v>
      </c>
      <c r="E1499" s="33">
        <f t="shared" ca="1" si="48"/>
        <v>52184</v>
      </c>
      <c r="F1499" s="47">
        <v>2.7642941969098351</v>
      </c>
    </row>
    <row r="1500" spans="4:6" x14ac:dyDescent="0.2">
      <c r="D1500" s="18">
        <f t="shared" ca="1" si="47"/>
        <v>27.942505133470227</v>
      </c>
      <c r="E1500" s="33">
        <f t="shared" ca="1" si="48"/>
        <v>52191</v>
      </c>
      <c r="F1500" s="47">
        <v>2.7643876012963919</v>
      </c>
    </row>
    <row r="1501" spans="4:6" x14ac:dyDescent="0.2">
      <c r="D1501" s="18">
        <f t="shared" ca="1" si="47"/>
        <v>27.961670088980149</v>
      </c>
      <c r="E1501" s="33">
        <f t="shared" ca="1" si="48"/>
        <v>52198</v>
      </c>
      <c r="F1501" s="47">
        <v>2.7644789546876107</v>
      </c>
    </row>
    <row r="1502" spans="4:6" x14ac:dyDescent="0.2">
      <c r="D1502" s="18">
        <f t="shared" ca="1" si="47"/>
        <v>27.980835044490075</v>
      </c>
      <c r="E1502" s="33">
        <f t="shared" ca="1" si="48"/>
        <v>52205</v>
      </c>
      <c r="F1502" s="47">
        <v>2.7645682634029067</v>
      </c>
    </row>
    <row r="1503" spans="4:6" x14ac:dyDescent="0.2">
      <c r="D1503" s="18">
        <f t="shared" ca="1" si="47"/>
        <v>28</v>
      </c>
      <c r="E1503" s="33">
        <f t="shared" ca="1" si="48"/>
        <v>52212</v>
      </c>
      <c r="F1503" s="47">
        <v>2.7646555342124728</v>
      </c>
    </row>
    <row r="1504" spans="4:6" x14ac:dyDescent="0.2">
      <c r="D1504" s="18">
        <f t="shared" ca="1" si="47"/>
        <v>28.019164955509925</v>
      </c>
      <c r="E1504" s="33">
        <f t="shared" ca="1" si="48"/>
        <v>52219</v>
      </c>
      <c r="F1504" s="47">
        <v>2.7647407743325201</v>
      </c>
    </row>
    <row r="1505" spans="4:6" x14ac:dyDescent="0.2">
      <c r="D1505" s="18">
        <f t="shared" ca="1" si="47"/>
        <v>28.038329911019851</v>
      </c>
      <c r="E1505" s="33">
        <f t="shared" ca="1" si="48"/>
        <v>52226</v>
      </c>
      <c r="F1505" s="47">
        <v>2.7648239914202879</v>
      </c>
    </row>
    <row r="1506" spans="4:6" x14ac:dyDescent="0.2">
      <c r="D1506" s="18">
        <f t="shared" ca="1" si="47"/>
        <v>28.057494866529773</v>
      </c>
      <c r="E1506" s="33">
        <f t="shared" ca="1" si="48"/>
        <v>52233</v>
      </c>
      <c r="F1506" s="47">
        <v>2.7649051935688402</v>
      </c>
    </row>
    <row r="1507" spans="4:6" x14ac:dyDescent="0.2">
      <c r="D1507" s="18">
        <f t="shared" ca="1" si="47"/>
        <v>28.076659822039698</v>
      </c>
      <c r="E1507" s="33">
        <f t="shared" ca="1" si="48"/>
        <v>52240</v>
      </c>
      <c r="F1507" s="47">
        <v>2.7649843893016337</v>
      </c>
    </row>
    <row r="1508" spans="4:6" x14ac:dyDescent="0.2">
      <c r="D1508" s="18">
        <f t="shared" ca="1" si="47"/>
        <v>28.095824777549623</v>
      </c>
      <c r="E1508" s="33">
        <f t="shared" ca="1" si="48"/>
        <v>52247</v>
      </c>
      <c r="F1508" s="47">
        <v>2.7650615875668696</v>
      </c>
    </row>
    <row r="1509" spans="4:6" x14ac:dyDescent="0.2">
      <c r="D1509" s="18">
        <f t="shared" ca="1" si="47"/>
        <v>28.114989733059549</v>
      </c>
      <c r="E1509" s="33">
        <f t="shared" ca="1" si="48"/>
        <v>52254</v>
      </c>
      <c r="F1509" s="47">
        <v>2.7651367977316528</v>
      </c>
    </row>
    <row r="1510" spans="4:6" x14ac:dyDescent="0.2">
      <c r="D1510" s="18">
        <f t="shared" ca="1" si="47"/>
        <v>28.134154688569474</v>
      </c>
      <c r="E1510" s="33">
        <f t="shared" ca="1" si="48"/>
        <v>52261</v>
      </c>
      <c r="F1510" s="47">
        <v>2.7652100295759325</v>
      </c>
    </row>
    <row r="1511" spans="4:6" x14ac:dyDescent="0.2">
      <c r="D1511" s="18">
        <f t="shared" ca="1" si="47"/>
        <v>28.153319644079399</v>
      </c>
      <c r="E1511" s="33">
        <f t="shared" ca="1" si="48"/>
        <v>52268</v>
      </c>
      <c r="F1511" s="47">
        <v>2.7652812932862663</v>
      </c>
    </row>
    <row r="1512" spans="4:6" x14ac:dyDescent="0.2">
      <c r="D1512" s="18">
        <f t="shared" ca="1" si="47"/>
        <v>28.172484599589321</v>
      </c>
      <c r="E1512" s="33">
        <f t="shared" ca="1" si="48"/>
        <v>52275</v>
      </c>
      <c r="F1512" s="47">
        <v>2.7653505994493841</v>
      </c>
    </row>
    <row r="1513" spans="4:6" x14ac:dyDescent="0.2">
      <c r="D1513" s="18">
        <f t="shared" ca="1" si="47"/>
        <v>28.191649555099247</v>
      </c>
      <c r="E1513" s="33">
        <f t="shared" ca="1" si="48"/>
        <v>52282</v>
      </c>
      <c r="F1513" s="47">
        <v>2.7654179590455752</v>
      </c>
    </row>
    <row r="1514" spans="4:6" x14ac:dyDescent="0.2">
      <c r="D1514" s="18">
        <f t="shared" ref="D1514:D1577" ca="1" si="49">(E1514-$E$42)/365.25</f>
        <v>28.210814510609172</v>
      </c>
      <c r="E1514" s="33">
        <f t="shared" ca="1" si="48"/>
        <v>52289</v>
      </c>
      <c r="F1514" s="47">
        <v>2.7654833834419077</v>
      </c>
    </row>
    <row r="1515" spans="4:6" x14ac:dyDescent="0.2">
      <c r="D1515" s="18">
        <f t="shared" ca="1" si="49"/>
        <v>28.229979466119097</v>
      </c>
      <c r="E1515" s="33">
        <f t="shared" ref="E1515:E1578" ca="1" si="50">E1514+7</f>
        <v>52296</v>
      </c>
      <c r="F1515" s="47">
        <v>2.7655468843852677</v>
      </c>
    </row>
    <row r="1516" spans="4:6" x14ac:dyDescent="0.2">
      <c r="D1516" s="18">
        <f t="shared" ca="1" si="49"/>
        <v>28.249144421629023</v>
      </c>
      <c r="E1516" s="33">
        <f t="shared" ca="1" si="50"/>
        <v>52303</v>
      </c>
      <c r="F1516" s="47">
        <v>2.765608473995258</v>
      </c>
    </row>
    <row r="1517" spans="4:6" x14ac:dyDescent="0.2">
      <c r="D1517" s="18">
        <f t="shared" ca="1" si="49"/>
        <v>28.268309377138944</v>
      </c>
      <c r="E1517" s="33">
        <f t="shared" ca="1" si="50"/>
        <v>52310</v>
      </c>
      <c r="F1517" s="47">
        <v>2.7656681647569248</v>
      </c>
    </row>
    <row r="1518" spans="4:6" x14ac:dyDescent="0.2">
      <c r="D1518" s="18">
        <f t="shared" ca="1" si="49"/>
        <v>28.28747433264887</v>
      </c>
      <c r="E1518" s="33">
        <f t="shared" ca="1" si="50"/>
        <v>52317</v>
      </c>
      <c r="F1518" s="47">
        <v>2.7657259695133556</v>
      </c>
    </row>
    <row r="1519" spans="4:6" x14ac:dyDescent="0.2">
      <c r="D1519" s="18">
        <f t="shared" ca="1" si="49"/>
        <v>28.306639288158795</v>
      </c>
      <c r="E1519" s="33">
        <f t="shared" ca="1" si="50"/>
        <v>52324</v>
      </c>
      <c r="F1519" s="47">
        <v>2.7657819014581282</v>
      </c>
    </row>
    <row r="1520" spans="4:6" x14ac:dyDescent="0.2">
      <c r="D1520" s="18">
        <f t="shared" ca="1" si="49"/>
        <v>28.325804243668721</v>
      </c>
      <c r="E1520" s="33">
        <f t="shared" ca="1" si="50"/>
        <v>52331</v>
      </c>
      <c r="F1520" s="47">
        <v>2.7658359741276355</v>
      </c>
    </row>
    <row r="1521" spans="4:6" x14ac:dyDescent="0.2">
      <c r="D1521" s="18">
        <f t="shared" ca="1" si="49"/>
        <v>28.344969199178646</v>
      </c>
      <c r="E1521" s="33">
        <f t="shared" ca="1" si="50"/>
        <v>52338</v>
      </c>
      <c r="F1521" s="47">
        <v>2.7658882013932904</v>
      </c>
    </row>
    <row r="1522" spans="4:6" x14ac:dyDescent="0.2">
      <c r="D1522" s="18">
        <f t="shared" ca="1" si="49"/>
        <v>28.364134154688571</v>
      </c>
      <c r="E1522" s="33">
        <f t="shared" ca="1" si="50"/>
        <v>52345</v>
      </c>
      <c r="F1522" s="47">
        <v>2.7659385974536019</v>
      </c>
    </row>
    <row r="1523" spans="4:6" x14ac:dyDescent="0.2">
      <c r="D1523" s="18">
        <f t="shared" ca="1" si="49"/>
        <v>28.383299110198493</v>
      </c>
      <c r="E1523" s="33">
        <f t="shared" ca="1" si="50"/>
        <v>52352</v>
      </c>
      <c r="F1523" s="47">
        <v>2.7659871768261626</v>
      </c>
    </row>
    <row r="1524" spans="4:6" x14ac:dyDescent="0.2">
      <c r="D1524" s="18">
        <f t="shared" ca="1" si="49"/>
        <v>28.402464065708418</v>
      </c>
      <c r="E1524" s="33">
        <f t="shared" ca="1" si="50"/>
        <v>52359</v>
      </c>
      <c r="F1524" s="47">
        <v>2.7660339543395231</v>
      </c>
    </row>
    <row r="1525" spans="4:6" x14ac:dyDescent="0.2">
      <c r="D1525" s="18">
        <f t="shared" ca="1" si="49"/>
        <v>28.421629021218344</v>
      </c>
      <c r="E1525" s="33">
        <f t="shared" ca="1" si="50"/>
        <v>52366</v>
      </c>
      <c r="F1525" s="47">
        <v>2.7660789451249759</v>
      </c>
    </row>
    <row r="1526" spans="4:6" x14ac:dyDescent="0.2">
      <c r="D1526" s="18">
        <f t="shared" ca="1" si="49"/>
        <v>28.440793976728269</v>
      </c>
      <c r="E1526" s="33">
        <f t="shared" ca="1" si="50"/>
        <v>52373</v>
      </c>
      <c r="F1526" s="47">
        <v>2.7661221646082574</v>
      </c>
    </row>
    <row r="1527" spans="4:6" x14ac:dyDescent="0.2">
      <c r="D1527" s="18">
        <f t="shared" ca="1" si="49"/>
        <v>28.459958932238195</v>
      </c>
      <c r="E1527" s="33">
        <f t="shared" ca="1" si="50"/>
        <v>52380</v>
      </c>
      <c r="F1527" s="47">
        <v>2.7661636285011726</v>
      </c>
    </row>
    <row r="1528" spans="4:6" x14ac:dyDescent="0.2">
      <c r="D1528" s="18">
        <f t="shared" ca="1" si="49"/>
        <v>28.479123887748116</v>
      </c>
      <c r="E1528" s="33">
        <f t="shared" ca="1" si="50"/>
        <v>52387</v>
      </c>
      <c r="F1528" s="47">
        <v>2.7662033527931476</v>
      </c>
    </row>
    <row r="1529" spans="4:6" x14ac:dyDescent="0.2">
      <c r="D1529" s="18">
        <f t="shared" ca="1" si="49"/>
        <v>28.498288843258042</v>
      </c>
      <c r="E1529" s="33">
        <f t="shared" ca="1" si="50"/>
        <v>52394</v>
      </c>
      <c r="F1529" s="47">
        <v>2.7662413537427204</v>
      </c>
    </row>
    <row r="1530" spans="4:6" x14ac:dyDescent="0.2">
      <c r="D1530" s="18">
        <f t="shared" ca="1" si="49"/>
        <v>28.517453798767967</v>
      </c>
      <c r="E1530" s="33">
        <f t="shared" ca="1" si="50"/>
        <v>52401</v>
      </c>
      <c r="F1530" s="47">
        <v>2.7662776478689746</v>
      </c>
    </row>
    <row r="1531" spans="4:6" x14ac:dyDescent="0.2">
      <c r="D1531" s="18">
        <f t="shared" ca="1" si="49"/>
        <v>28.536618754277892</v>
      </c>
      <c r="E1531" s="33">
        <f t="shared" ca="1" si="50"/>
        <v>52408</v>
      </c>
      <c r="F1531" s="47">
        <v>2.7663122519429315</v>
      </c>
    </row>
    <row r="1532" spans="4:6" x14ac:dyDescent="0.2">
      <c r="D1532" s="18">
        <f t="shared" ca="1" si="49"/>
        <v>28.555783709787818</v>
      </c>
      <c r="E1532" s="33">
        <f t="shared" ca="1" si="50"/>
        <v>52415</v>
      </c>
      <c r="F1532" s="47">
        <v>2.7663451829788999</v>
      </c>
    </row>
    <row r="1533" spans="4:6" x14ac:dyDescent="0.2">
      <c r="D1533" s="18">
        <f t="shared" ca="1" si="49"/>
        <v>28.57494866529774</v>
      </c>
      <c r="E1533" s="33">
        <f t="shared" ca="1" si="50"/>
        <v>52422</v>
      </c>
      <c r="F1533" s="47">
        <v>2.7663764582257855</v>
      </c>
    </row>
    <row r="1534" spans="4:6" x14ac:dyDescent="0.2">
      <c r="D1534" s="18">
        <f t="shared" ca="1" si="49"/>
        <v>28.594113620807665</v>
      </c>
      <c r="E1534" s="33">
        <f t="shared" ca="1" si="50"/>
        <v>52429</v>
      </c>
      <c r="F1534" s="47">
        <v>2.766406095158386</v>
      </c>
    </row>
    <row r="1535" spans="4:6" x14ac:dyDescent="0.2">
      <c r="D1535" s="18">
        <f t="shared" ca="1" si="49"/>
        <v>28.61327857631759</v>
      </c>
      <c r="E1535" s="33">
        <f t="shared" ca="1" si="50"/>
        <v>52436</v>
      </c>
      <c r="F1535" s="47">
        <v>2.7664341114686586</v>
      </c>
    </row>
    <row r="1536" spans="4:6" x14ac:dyDescent="0.2">
      <c r="D1536" s="18">
        <f t="shared" ca="1" si="49"/>
        <v>28.632443531827516</v>
      </c>
      <c r="E1536" s="33">
        <f t="shared" ca="1" si="50"/>
        <v>52443</v>
      </c>
      <c r="F1536" s="47">
        <v>2.7664605250569814</v>
      </c>
    </row>
    <row r="1537" spans="4:6" x14ac:dyDescent="0.2">
      <c r="D1537" s="18">
        <f t="shared" ca="1" si="49"/>
        <v>28.651608487337441</v>
      </c>
      <c r="E1537" s="33">
        <f t="shared" ca="1" si="50"/>
        <v>52450</v>
      </c>
      <c r="F1537" s="47">
        <v>2.7664853540234051</v>
      </c>
    </row>
    <row r="1538" spans="4:6" x14ac:dyDescent="0.2">
      <c r="D1538" s="18">
        <f t="shared" ca="1" si="49"/>
        <v>28.670773442847366</v>
      </c>
      <c r="E1538" s="33">
        <f t="shared" ca="1" si="50"/>
        <v>52457</v>
      </c>
      <c r="F1538" s="47">
        <v>2.766508616658915</v>
      </c>
    </row>
    <row r="1539" spans="4:6" x14ac:dyDescent="0.2">
      <c r="D1539" s="18">
        <f t="shared" ca="1" si="49"/>
        <v>28.689938398357288</v>
      </c>
      <c r="E1539" s="33">
        <f t="shared" ca="1" si="50"/>
        <v>52464</v>
      </c>
      <c r="F1539" s="47">
        <v>2.7665303314366874</v>
      </c>
    </row>
    <row r="1540" spans="4:6" x14ac:dyDescent="0.2">
      <c r="D1540" s="18">
        <f t="shared" ca="1" si="49"/>
        <v>28.709103353867214</v>
      </c>
      <c r="E1540" s="33">
        <f t="shared" ca="1" si="50"/>
        <v>52471</v>
      </c>
      <c r="F1540" s="47">
        <v>2.7665505170033744</v>
      </c>
    </row>
    <row r="1541" spans="4:6" x14ac:dyDescent="0.2">
      <c r="D1541" s="18">
        <f t="shared" ca="1" si="49"/>
        <v>28.728268309377139</v>
      </c>
      <c r="E1541" s="33">
        <f t="shared" ca="1" si="50"/>
        <v>52478</v>
      </c>
      <c r="F1541" s="47">
        <v>2.7665691921704081</v>
      </c>
    </row>
    <row r="1542" spans="4:6" x14ac:dyDescent="0.2">
      <c r="D1542" s="18">
        <f t="shared" ca="1" si="49"/>
        <v>28.747433264887064</v>
      </c>
      <c r="E1542" s="33">
        <f t="shared" ca="1" si="50"/>
        <v>52485</v>
      </c>
      <c r="F1542" s="47">
        <v>2.7665863759053222</v>
      </c>
    </row>
    <row r="1543" spans="4:6" x14ac:dyDescent="0.2">
      <c r="D1543" s="18">
        <f t="shared" ca="1" si="49"/>
        <v>28.76659822039699</v>
      </c>
      <c r="E1543" s="33">
        <f t="shared" ca="1" si="50"/>
        <v>52492</v>
      </c>
      <c r="F1543" s="47">
        <v>2.766602087323125</v>
      </c>
    </row>
    <row r="1544" spans="4:6" x14ac:dyDescent="0.2">
      <c r="D1544" s="18">
        <f t="shared" ca="1" si="49"/>
        <v>28.785763175906911</v>
      </c>
      <c r="E1544" s="33">
        <f t="shared" ca="1" si="50"/>
        <v>52499</v>
      </c>
      <c r="F1544" s="47">
        <v>2.7666163456776953</v>
      </c>
    </row>
    <row r="1545" spans="4:6" x14ac:dyDescent="0.2">
      <c r="D1545" s="18">
        <f t="shared" ca="1" si="49"/>
        <v>28.804928131416837</v>
      </c>
      <c r="E1545" s="33">
        <f t="shared" ca="1" si="50"/>
        <v>52506</v>
      </c>
      <c r="F1545" s="47">
        <v>2.7666291703532297</v>
      </c>
    </row>
    <row r="1546" spans="4:6" x14ac:dyDescent="0.2">
      <c r="D1546" s="18">
        <f t="shared" ca="1" si="49"/>
        <v>28.824093086926762</v>
      </c>
      <c r="E1546" s="33">
        <f t="shared" ca="1" si="50"/>
        <v>52513</v>
      </c>
      <c r="F1546" s="47">
        <v>2.7666405808557544</v>
      </c>
    </row>
    <row r="1547" spans="4:6" x14ac:dyDescent="0.2">
      <c r="D1547" s="18">
        <f t="shared" ca="1" si="49"/>
        <v>28.843258042436688</v>
      </c>
      <c r="E1547" s="33">
        <f t="shared" ca="1" si="50"/>
        <v>52520</v>
      </c>
      <c r="F1547" s="47">
        <v>2.7666505968046691</v>
      </c>
    </row>
    <row r="1548" spans="4:6" x14ac:dyDescent="0.2">
      <c r="D1548" s="18">
        <f t="shared" ca="1" si="49"/>
        <v>28.862422997946613</v>
      </c>
      <c r="E1548" s="33">
        <f t="shared" ca="1" si="50"/>
        <v>52527</v>
      </c>
      <c r="F1548" s="47">
        <v>2.7666592379243751</v>
      </c>
    </row>
    <row r="1549" spans="4:6" x14ac:dyDescent="0.2">
      <c r="D1549" s="18">
        <f t="shared" ca="1" si="49"/>
        <v>28.881587953456538</v>
      </c>
      <c r="E1549" s="33">
        <f t="shared" ca="1" si="50"/>
        <v>52534</v>
      </c>
      <c r="F1549" s="47">
        <v>2.7666665240359594</v>
      </c>
    </row>
    <row r="1550" spans="4:6" x14ac:dyDescent="0.2">
      <c r="D1550" s="18">
        <f t="shared" ca="1" si="49"/>
        <v>28.90075290896646</v>
      </c>
      <c r="E1550" s="33">
        <f t="shared" ca="1" si="50"/>
        <v>52541</v>
      </c>
      <c r="F1550" s="47">
        <v>2.7666724750489577</v>
      </c>
    </row>
    <row r="1551" spans="4:6" x14ac:dyDescent="0.2">
      <c r="D1551" s="18">
        <f t="shared" ca="1" si="49"/>
        <v>28.919917864476385</v>
      </c>
      <c r="E1551" s="33">
        <f t="shared" ca="1" si="50"/>
        <v>52548</v>
      </c>
      <c r="F1551" s="47">
        <v>2.7666771109531858</v>
      </c>
    </row>
    <row r="1552" spans="4:6" x14ac:dyDescent="0.2">
      <c r="D1552" s="18">
        <f t="shared" ca="1" si="49"/>
        <v>28.939082819986311</v>
      </c>
      <c r="E1552" s="33">
        <f t="shared" ca="1" si="50"/>
        <v>52555</v>
      </c>
      <c r="F1552" s="47">
        <v>2.766680451810664</v>
      </c>
    </row>
    <row r="1553" spans="4:6" x14ac:dyDescent="0.2">
      <c r="D1553" s="18">
        <f t="shared" ca="1" si="49"/>
        <v>28.958247775496236</v>
      </c>
      <c r="E1553" s="33">
        <f t="shared" ca="1" si="50"/>
        <v>52562</v>
      </c>
      <c r="F1553" s="47">
        <v>2.7666825177476206</v>
      </c>
    </row>
    <row r="1554" spans="4:6" x14ac:dyDescent="0.2">
      <c r="D1554" s="18">
        <f t="shared" ca="1" si="49"/>
        <v>28.977412731006162</v>
      </c>
      <c r="E1554" s="33">
        <f t="shared" ca="1" si="50"/>
        <v>52569</v>
      </c>
      <c r="F1554" s="47">
        <v>2.7666833289465909</v>
      </c>
    </row>
    <row r="1555" spans="4:6" x14ac:dyDescent="0.2">
      <c r="D1555" s="18">
        <f t="shared" ca="1" si="49"/>
        <v>28.996577686516083</v>
      </c>
      <c r="E1555" s="33">
        <f t="shared" ca="1" si="50"/>
        <v>52576</v>
      </c>
      <c r="F1555" s="47">
        <v>2.7666829056386044</v>
      </c>
    </row>
    <row r="1556" spans="4:6" x14ac:dyDescent="0.2">
      <c r="D1556" s="18">
        <f t="shared" ca="1" si="49"/>
        <v>29.015742642026009</v>
      </c>
      <c r="E1556" s="33">
        <f t="shared" ca="1" si="50"/>
        <v>52583</v>
      </c>
      <c r="F1556" s="47">
        <v>2.7666812680954824</v>
      </c>
    </row>
    <row r="1557" spans="4:6" x14ac:dyDescent="0.2">
      <c r="D1557" s="18">
        <f t="shared" ca="1" si="49"/>
        <v>29.034907597535934</v>
      </c>
      <c r="E1557" s="33">
        <f t="shared" ca="1" si="50"/>
        <v>52590</v>
      </c>
      <c r="F1557" s="47">
        <v>2.7666784366222252</v>
      </c>
    </row>
    <row r="1558" spans="4:6" x14ac:dyDescent="0.2">
      <c r="D1558" s="18">
        <f t="shared" ca="1" si="49"/>
        <v>29.054072553045859</v>
      </c>
      <c r="E1558" s="33">
        <f t="shared" ca="1" si="50"/>
        <v>52597</v>
      </c>
      <c r="F1558" s="47">
        <v>2.7666744315495149</v>
      </c>
    </row>
    <row r="1559" spans="4:6" x14ac:dyDescent="0.2">
      <c r="D1559" s="18">
        <f t="shared" ca="1" si="49"/>
        <v>29.073237508555785</v>
      </c>
      <c r="E1559" s="33">
        <f t="shared" ca="1" si="50"/>
        <v>52604</v>
      </c>
      <c r="F1559" s="47">
        <v>2.7666692732263272</v>
      </c>
    </row>
    <row r="1560" spans="4:6" x14ac:dyDescent="0.2">
      <c r="D1560" s="18">
        <f t="shared" ca="1" si="49"/>
        <v>29.09240246406571</v>
      </c>
      <c r="E1560" s="33">
        <f t="shared" ca="1" si="50"/>
        <v>52611</v>
      </c>
      <c r="F1560" s="47">
        <v>2.7666629820126518</v>
      </c>
    </row>
    <row r="1561" spans="4:6" x14ac:dyDescent="0.2">
      <c r="D1561" s="18">
        <f t="shared" ca="1" si="49"/>
        <v>29.111567419575632</v>
      </c>
      <c r="E1561" s="33">
        <f t="shared" ca="1" si="50"/>
        <v>52618</v>
      </c>
      <c r="F1561" s="47">
        <v>2.7666555782723319</v>
      </c>
    </row>
    <row r="1562" spans="4:6" x14ac:dyDescent="0.2">
      <c r="D1562" s="18">
        <f t="shared" ca="1" si="49"/>
        <v>29.130732375085557</v>
      </c>
      <c r="E1562" s="33">
        <f t="shared" ca="1" si="50"/>
        <v>52625</v>
      </c>
      <c r="F1562" s="47">
        <v>2.7666470823660227</v>
      </c>
    </row>
    <row r="1563" spans="4:6" x14ac:dyDescent="0.2">
      <c r="D1563" s="18">
        <f t="shared" ca="1" si="49"/>
        <v>29.149897330595483</v>
      </c>
      <c r="E1563" s="33">
        <f t="shared" ca="1" si="50"/>
        <v>52632</v>
      </c>
      <c r="F1563" s="47">
        <v>2.7666375146442723</v>
      </c>
    </row>
    <row r="1564" spans="4:6" x14ac:dyDescent="0.2">
      <c r="D1564" s="18">
        <f t="shared" ca="1" si="49"/>
        <v>29.169062286105408</v>
      </c>
      <c r="E1564" s="33">
        <f t="shared" ca="1" si="50"/>
        <v>52639</v>
      </c>
      <c r="F1564" s="47">
        <v>2.7666268954407247</v>
      </c>
    </row>
    <row r="1565" spans="4:6" x14ac:dyDescent="0.2">
      <c r="D1565" s="18">
        <f t="shared" ca="1" si="49"/>
        <v>29.188227241615333</v>
      </c>
      <c r="E1565" s="33">
        <f t="shared" ca="1" si="50"/>
        <v>52646</v>
      </c>
      <c r="F1565" s="47">
        <v>2.7666152450654509</v>
      </c>
    </row>
    <row r="1566" spans="4:6" x14ac:dyDescent="0.2">
      <c r="D1566" s="18">
        <f t="shared" ca="1" si="49"/>
        <v>29.207392197125255</v>
      </c>
      <c r="E1566" s="33">
        <f t="shared" ca="1" si="50"/>
        <v>52653</v>
      </c>
      <c r="F1566" s="47">
        <v>2.7666025837984076</v>
      </c>
    </row>
    <row r="1567" spans="4:6" x14ac:dyDescent="0.2">
      <c r="D1567" s="18">
        <f t="shared" ca="1" si="49"/>
        <v>29.226557152635181</v>
      </c>
      <c r="E1567" s="33">
        <f t="shared" ca="1" si="50"/>
        <v>52660</v>
      </c>
      <c r="F1567" s="47">
        <v>2.7665889318830295</v>
      </c>
    </row>
    <row r="1568" spans="4:6" x14ac:dyDescent="0.2">
      <c r="D1568" s="18">
        <f t="shared" ca="1" si="49"/>
        <v>29.245722108145106</v>
      </c>
      <c r="E1568" s="33">
        <f t="shared" ca="1" si="50"/>
        <v>52667</v>
      </c>
      <c r="F1568" s="47">
        <v>2.7665743095199535</v>
      </c>
    </row>
    <row r="1569" spans="4:6" x14ac:dyDescent="0.2">
      <c r="D1569" s="18">
        <f t="shared" ca="1" si="49"/>
        <v>29.264887063655031</v>
      </c>
      <c r="E1569" s="33">
        <f t="shared" ca="1" si="50"/>
        <v>52674</v>
      </c>
      <c r="F1569" s="47">
        <v>2.7665587368608686</v>
      </c>
    </row>
    <row r="1570" spans="4:6" x14ac:dyDescent="0.2">
      <c r="D1570" s="18">
        <f t="shared" ca="1" si="49"/>
        <v>29.284052019164957</v>
      </c>
      <c r="E1570" s="33">
        <f t="shared" ca="1" si="50"/>
        <v>52681</v>
      </c>
      <c r="F1570" s="47">
        <v>2.7665422340025208</v>
      </c>
    </row>
    <row r="1571" spans="4:6" x14ac:dyDescent="0.2">
      <c r="D1571" s="18">
        <f t="shared" ca="1" si="49"/>
        <v>29.303216974674879</v>
      </c>
      <c r="E1571" s="33">
        <f t="shared" ca="1" si="50"/>
        <v>52688</v>
      </c>
      <c r="F1571" s="47">
        <v>2.7665248209808326</v>
      </c>
    </row>
    <row r="1572" spans="4:6" x14ac:dyDescent="0.2">
      <c r="D1572" s="18">
        <f t="shared" ca="1" si="49"/>
        <v>29.322381930184804</v>
      </c>
      <c r="E1572" s="33">
        <f t="shared" ca="1" si="50"/>
        <v>52695</v>
      </c>
      <c r="F1572" s="47">
        <v>2.7665065177651753</v>
      </c>
    </row>
    <row r="1573" spans="4:6" x14ac:dyDescent="0.2">
      <c r="D1573" s="18">
        <f t="shared" ca="1" si="49"/>
        <v>29.341546885694729</v>
      </c>
      <c r="E1573" s="33">
        <f t="shared" ca="1" si="50"/>
        <v>52702</v>
      </c>
      <c r="F1573" s="47">
        <v>2.7664873442527824</v>
      </c>
    </row>
    <row r="1574" spans="4:6" x14ac:dyDescent="0.2">
      <c r="D1574" s="18">
        <f t="shared" ca="1" si="49"/>
        <v>29.360711841204655</v>
      </c>
      <c r="E1574" s="33">
        <f t="shared" ca="1" si="50"/>
        <v>52709</v>
      </c>
      <c r="F1574" s="47">
        <v>2.7664673202632866</v>
      </c>
    </row>
    <row r="1575" spans="4:6" x14ac:dyDescent="0.2">
      <c r="D1575" s="18">
        <f t="shared" ca="1" si="49"/>
        <v>29.37987679671458</v>
      </c>
      <c r="E1575" s="33">
        <f t="shared" ca="1" si="50"/>
        <v>52716</v>
      </c>
      <c r="F1575" s="47">
        <v>2.7664464655334204</v>
      </c>
    </row>
    <row r="1576" spans="4:6" x14ac:dyDescent="0.2">
      <c r="D1576" s="18">
        <f t="shared" ca="1" si="49"/>
        <v>29.399041752224505</v>
      </c>
      <c r="E1576" s="33">
        <f t="shared" ca="1" si="50"/>
        <v>52723</v>
      </c>
      <c r="F1576" s="47">
        <v>2.7664247997118379</v>
      </c>
    </row>
    <row r="1577" spans="4:6" x14ac:dyDescent="0.2">
      <c r="D1577" s="18">
        <f t="shared" ca="1" si="49"/>
        <v>29.418206707734427</v>
      </c>
      <c r="E1577" s="33">
        <f t="shared" ca="1" si="50"/>
        <v>52730</v>
      </c>
      <c r="F1577" s="47">
        <v>2.7664023423540898</v>
      </c>
    </row>
    <row r="1578" spans="4:6" x14ac:dyDescent="0.2">
      <c r="D1578" s="18">
        <f t="shared" ref="D1578:D1641" ca="1" si="51">(E1578-$E$42)/365.25</f>
        <v>29.437371663244353</v>
      </c>
      <c r="E1578" s="33">
        <f t="shared" ca="1" si="50"/>
        <v>52737</v>
      </c>
      <c r="F1578" s="47">
        <v>2.7663791129177411</v>
      </c>
    </row>
    <row r="1579" spans="4:6" x14ac:dyDescent="0.2">
      <c r="D1579" s="18">
        <f t="shared" ca="1" si="51"/>
        <v>29.456536618754278</v>
      </c>
      <c r="E1579" s="33">
        <f t="shared" ref="E1579:E1642" ca="1" si="52">E1578+7</f>
        <v>52744</v>
      </c>
      <c r="F1579" s="47">
        <v>2.7663551307576246</v>
      </c>
    </row>
    <row r="1580" spans="4:6" x14ac:dyDescent="0.2">
      <c r="D1580" s="18">
        <f t="shared" ca="1" si="51"/>
        <v>29.475701574264203</v>
      </c>
      <c r="E1580" s="33">
        <f t="shared" ca="1" si="52"/>
        <v>52751</v>
      </c>
      <c r="F1580" s="47">
        <v>2.7663304151212396</v>
      </c>
    </row>
    <row r="1581" spans="4:6" x14ac:dyDescent="0.2">
      <c r="D1581" s="18">
        <f t="shared" ca="1" si="51"/>
        <v>29.494866529774129</v>
      </c>
      <c r="E1581" s="33">
        <f t="shared" ca="1" si="52"/>
        <v>52758</v>
      </c>
      <c r="F1581" s="47">
        <v>2.7663049851442953</v>
      </c>
    </row>
    <row r="1582" spans="4:6" x14ac:dyDescent="0.2">
      <c r="D1582" s="18">
        <f t="shared" ca="1" si="51"/>
        <v>29.51403148528405</v>
      </c>
      <c r="E1582" s="33">
        <f t="shared" ca="1" si="52"/>
        <v>52765</v>
      </c>
      <c r="F1582" s="47">
        <v>2.7662788598463943</v>
      </c>
    </row>
    <row r="1583" spans="4:6" x14ac:dyDescent="0.2">
      <c r="D1583" s="18">
        <f t="shared" ca="1" si="51"/>
        <v>29.533196440793976</v>
      </c>
      <c r="E1583" s="33">
        <f t="shared" ca="1" si="52"/>
        <v>52772</v>
      </c>
      <c r="F1583" s="47">
        <v>2.7662520581268559</v>
      </c>
    </row>
    <row r="1584" spans="4:6" x14ac:dyDescent="0.2">
      <c r="D1584" s="18">
        <f t="shared" ca="1" si="51"/>
        <v>29.552361396303901</v>
      </c>
      <c r="E1584" s="33">
        <f t="shared" ca="1" si="52"/>
        <v>52779</v>
      </c>
      <c r="F1584" s="47">
        <v>2.7662245987606853</v>
      </c>
    </row>
    <row r="1585" spans="4:6" x14ac:dyDescent="0.2">
      <c r="D1585" s="18">
        <f t="shared" ca="1" si="51"/>
        <v>29.571526351813826</v>
      </c>
      <c r="E1585" s="33">
        <f t="shared" ca="1" si="52"/>
        <v>52786</v>
      </c>
      <c r="F1585" s="47">
        <v>2.7661965003946731</v>
      </c>
    </row>
    <row r="1586" spans="4:6" x14ac:dyDescent="0.2">
      <c r="D1586" s="18">
        <f t="shared" ca="1" si="51"/>
        <v>29.590691307323752</v>
      </c>
      <c r="E1586" s="33">
        <f t="shared" ca="1" si="52"/>
        <v>52793</v>
      </c>
      <c r="F1586" s="47">
        <v>2.7661677815436518</v>
      </c>
    </row>
    <row r="1587" spans="4:6" x14ac:dyDescent="0.2">
      <c r="D1587" s="18">
        <f t="shared" ca="1" si="51"/>
        <v>29.609856262833677</v>
      </c>
      <c r="E1587" s="33">
        <f t="shared" ca="1" si="52"/>
        <v>52800</v>
      </c>
      <c r="F1587" s="47">
        <v>2.7661384605868746</v>
      </c>
    </row>
    <row r="1588" spans="4:6" x14ac:dyDescent="0.2">
      <c r="D1588" s="18">
        <f t="shared" ca="1" si="51"/>
        <v>29.629021218343599</v>
      </c>
      <c r="E1588" s="33">
        <f t="shared" ca="1" si="52"/>
        <v>52807</v>
      </c>
      <c r="F1588" s="47">
        <v>2.7661085557645415</v>
      </c>
    </row>
    <row r="1589" spans="4:6" x14ac:dyDescent="0.2">
      <c r="D1589" s="18">
        <f t="shared" ca="1" si="51"/>
        <v>29.648186173853524</v>
      </c>
      <c r="E1589" s="33">
        <f t="shared" ca="1" si="52"/>
        <v>52814</v>
      </c>
      <c r="F1589" s="47">
        <v>2.7660780851744593</v>
      </c>
    </row>
    <row r="1590" spans="4:6" x14ac:dyDescent="0.2">
      <c r="D1590" s="18">
        <f t="shared" ca="1" si="51"/>
        <v>29.66735112936345</v>
      </c>
      <c r="E1590" s="33">
        <f t="shared" ca="1" si="52"/>
        <v>52821</v>
      </c>
      <c r="F1590" s="47">
        <v>2.7660470667688375</v>
      </c>
    </row>
    <row r="1591" spans="4:6" x14ac:dyDescent="0.2">
      <c r="D1591" s="18">
        <f t="shared" ca="1" si="51"/>
        <v>29.686516084873375</v>
      </c>
      <c r="E1591" s="33">
        <f t="shared" ca="1" si="52"/>
        <v>52828</v>
      </c>
      <c r="F1591" s="47">
        <v>2.7660155183512241</v>
      </c>
    </row>
    <row r="1592" spans="4:6" x14ac:dyDescent="0.2">
      <c r="D1592" s="18">
        <f t="shared" ca="1" si="51"/>
        <v>29.7056810403833</v>
      </c>
      <c r="E1592" s="33">
        <f t="shared" ca="1" si="52"/>
        <v>52835</v>
      </c>
      <c r="F1592" s="47">
        <v>2.7659834575735629</v>
      </c>
    </row>
    <row r="1593" spans="4:6" x14ac:dyDescent="0.2">
      <c r="D1593" s="18">
        <f t="shared" ca="1" si="51"/>
        <v>29.724845995893222</v>
      </c>
      <c r="E1593" s="33">
        <f t="shared" ca="1" si="52"/>
        <v>52842</v>
      </c>
      <c r="F1593" s="47">
        <v>2.7659509019334019</v>
      </c>
    </row>
    <row r="1594" spans="4:6" x14ac:dyDescent="0.2">
      <c r="D1594" s="18">
        <f t="shared" ca="1" si="51"/>
        <v>29.744010951403148</v>
      </c>
      <c r="E1594" s="33">
        <f t="shared" ca="1" si="52"/>
        <v>52849</v>
      </c>
      <c r="F1594" s="47">
        <v>2.7659178687712105</v>
      </c>
    </row>
    <row r="1595" spans="4:6" x14ac:dyDescent="0.2">
      <c r="D1595" s="18">
        <f t="shared" ca="1" si="51"/>
        <v>29.763175906913073</v>
      </c>
      <c r="E1595" s="33">
        <f t="shared" ca="1" si="52"/>
        <v>52856</v>
      </c>
      <c r="F1595" s="47">
        <v>2.765884375267845</v>
      </c>
    </row>
    <row r="1596" spans="4:6" x14ac:dyDescent="0.2">
      <c r="D1596" s="18">
        <f t="shared" ca="1" si="51"/>
        <v>29.782340862422998</v>
      </c>
      <c r="E1596" s="33">
        <f t="shared" ca="1" si="52"/>
        <v>52863</v>
      </c>
      <c r="F1596" s="47">
        <v>2.765850438442127</v>
      </c>
    </row>
    <row r="1597" spans="4:6" x14ac:dyDescent="0.2">
      <c r="D1597" s="18">
        <f t="shared" ca="1" si="51"/>
        <v>29.801505817932924</v>
      </c>
      <c r="E1597" s="33">
        <f t="shared" ca="1" si="52"/>
        <v>52870</v>
      </c>
      <c r="F1597" s="47">
        <v>2.7658160751485634</v>
      </c>
    </row>
    <row r="1598" spans="4:6" x14ac:dyDescent="0.2">
      <c r="D1598" s="18">
        <f t="shared" ca="1" si="51"/>
        <v>29.820670773442849</v>
      </c>
      <c r="E1598" s="33">
        <f t="shared" ca="1" si="52"/>
        <v>52877</v>
      </c>
      <c r="F1598" s="47">
        <v>2.7657813020751729</v>
      </c>
    </row>
    <row r="1599" spans="4:6" x14ac:dyDescent="0.2">
      <c r="D1599" s="18">
        <f t="shared" ca="1" si="51"/>
        <v>29.839835728952771</v>
      </c>
      <c r="E1599" s="33">
        <f t="shared" ca="1" si="52"/>
        <v>52884</v>
      </c>
      <c r="F1599" s="47">
        <v>2.7657461357414479</v>
      </c>
    </row>
    <row r="1600" spans="4:6" x14ac:dyDescent="0.2">
      <c r="D1600" s="18">
        <f t="shared" ca="1" si="51"/>
        <v>29.859000684462696</v>
      </c>
      <c r="E1600" s="33">
        <f t="shared" ca="1" si="52"/>
        <v>52891</v>
      </c>
      <c r="F1600" s="47">
        <v>2.7657105924964394</v>
      </c>
    </row>
    <row r="1601" spans="4:6" x14ac:dyDescent="0.2">
      <c r="D1601" s="18">
        <f t="shared" ca="1" si="51"/>
        <v>29.878165639972622</v>
      </c>
      <c r="E1601" s="33">
        <f t="shared" ca="1" si="52"/>
        <v>52898</v>
      </c>
      <c r="F1601" s="47">
        <v>2.7656746885169428</v>
      </c>
    </row>
    <row r="1602" spans="4:6" x14ac:dyDescent="0.2">
      <c r="D1602" s="18">
        <f t="shared" ca="1" si="51"/>
        <v>29.897330595482547</v>
      </c>
      <c r="E1602" s="33">
        <f t="shared" ca="1" si="52"/>
        <v>52905</v>
      </c>
      <c r="F1602" s="47">
        <v>2.7656384398058238</v>
      </c>
    </row>
    <row r="1603" spans="4:6" x14ac:dyDescent="0.2">
      <c r="D1603" s="18">
        <f t="shared" ca="1" si="51"/>
        <v>29.916495550992472</v>
      </c>
      <c r="E1603" s="33">
        <f t="shared" ca="1" si="52"/>
        <v>52912</v>
      </c>
      <c r="F1603" s="47">
        <v>2.7656018621904415</v>
      </c>
    </row>
    <row r="1604" spans="4:6" x14ac:dyDescent="0.2">
      <c r="D1604" s="18">
        <f t="shared" ca="1" si="51"/>
        <v>29.935660506502394</v>
      </c>
      <c r="E1604" s="33">
        <f t="shared" ca="1" si="52"/>
        <v>52919</v>
      </c>
      <c r="F1604" s="47">
        <v>2.7655649713212007</v>
      </c>
    </row>
    <row r="1605" spans="4:6" x14ac:dyDescent="0.2">
      <c r="D1605" s="18">
        <f t="shared" ca="1" si="51"/>
        <v>29.95482546201232</v>
      </c>
      <c r="E1605" s="33">
        <f t="shared" ca="1" si="52"/>
        <v>52926</v>
      </c>
      <c r="F1605" s="47">
        <v>2.7655277826701923</v>
      </c>
    </row>
    <row r="1606" spans="4:6" x14ac:dyDescent="0.2">
      <c r="D1606" s="18">
        <f t="shared" ca="1" si="51"/>
        <v>29.973990417522245</v>
      </c>
      <c r="E1606" s="33">
        <f t="shared" ca="1" si="52"/>
        <v>52933</v>
      </c>
      <c r="F1606" s="47">
        <v>2.7654903115299727</v>
      </c>
    </row>
    <row r="1607" spans="4:6" x14ac:dyDescent="0.2">
      <c r="D1607" s="18">
        <f t="shared" ca="1" si="51"/>
        <v>29.99315537303217</v>
      </c>
      <c r="E1607" s="33">
        <f t="shared" ca="1" si="52"/>
        <v>52940</v>
      </c>
      <c r="F1607" s="47">
        <v>2.7654525730124191</v>
      </c>
    </row>
    <row r="1608" spans="4:6" x14ac:dyDescent="0.2">
      <c r="D1608" s="18">
        <f t="shared" ca="1" si="51"/>
        <v>30.012320328542096</v>
      </c>
      <c r="E1608" s="33">
        <f t="shared" ca="1" si="52"/>
        <v>52947</v>
      </c>
      <c r="F1608" s="47">
        <v>2.7654144260930815</v>
      </c>
    </row>
    <row r="1609" spans="4:6" x14ac:dyDescent="0.2">
      <c r="D1609" s="18">
        <f t="shared" ca="1" si="51"/>
        <v>30.031485284052017</v>
      </c>
      <c r="E1609" s="33">
        <f t="shared" ca="1" si="52"/>
        <v>52954</v>
      </c>
      <c r="F1609" s="47">
        <v>2.7653753266089143</v>
      </c>
    </row>
    <row r="1610" spans="4:6" x14ac:dyDescent="0.2">
      <c r="D1610" s="18">
        <f t="shared" ca="1" si="51"/>
        <v>30.050650239561943</v>
      </c>
      <c r="E1610" s="33">
        <f t="shared" ca="1" si="52"/>
        <v>52961</v>
      </c>
      <c r="F1610" s="47">
        <v>2.7653352231428392</v>
      </c>
    </row>
    <row r="1611" spans="4:6" x14ac:dyDescent="0.2">
      <c r="D1611" s="18">
        <f t="shared" ca="1" si="51"/>
        <v>30.069815195071868</v>
      </c>
      <c r="E1611" s="33">
        <f t="shared" ca="1" si="52"/>
        <v>52968</v>
      </c>
      <c r="F1611" s="47">
        <v>2.7652941120360111</v>
      </c>
    </row>
    <row r="1612" spans="4:6" x14ac:dyDescent="0.2">
      <c r="D1612" s="18">
        <f t="shared" ca="1" si="51"/>
        <v>30.088980150581794</v>
      </c>
      <c r="E1612" s="33">
        <f t="shared" ca="1" si="52"/>
        <v>52975</v>
      </c>
      <c r="F1612" s="47">
        <v>2.7652519896463787</v>
      </c>
    </row>
    <row r="1613" spans="4:6" x14ac:dyDescent="0.2">
      <c r="D1613" s="18">
        <f t="shared" ca="1" si="51"/>
        <v>30.108145106091719</v>
      </c>
      <c r="E1613" s="33">
        <f t="shared" ca="1" si="52"/>
        <v>52982</v>
      </c>
      <c r="F1613" s="47">
        <v>2.7652088523491187</v>
      </c>
    </row>
    <row r="1614" spans="4:6" x14ac:dyDescent="0.2">
      <c r="D1614" s="18">
        <f t="shared" ca="1" si="51"/>
        <v>30.127310061601644</v>
      </c>
      <c r="E1614" s="33">
        <f t="shared" ca="1" si="52"/>
        <v>52989</v>
      </c>
      <c r="F1614" s="47">
        <v>2.7651646965370658</v>
      </c>
    </row>
    <row r="1615" spans="4:6" x14ac:dyDescent="0.2">
      <c r="D1615" s="18">
        <f t="shared" ca="1" si="51"/>
        <v>30.146475017111566</v>
      </c>
      <c r="E1615" s="33">
        <f t="shared" ca="1" si="52"/>
        <v>52996</v>
      </c>
      <c r="F1615" s="47">
        <v>2.7651195186211579</v>
      </c>
    </row>
    <row r="1616" spans="4:6" x14ac:dyDescent="0.2">
      <c r="D1616" s="18">
        <f t="shared" ca="1" si="51"/>
        <v>30.165639972621491</v>
      </c>
      <c r="E1616" s="33">
        <f t="shared" ca="1" si="52"/>
        <v>53003</v>
      </c>
      <c r="F1616" s="47">
        <v>2.7650733150308673</v>
      </c>
    </row>
    <row r="1617" spans="4:6" x14ac:dyDescent="0.2">
      <c r="D1617" s="18">
        <f t="shared" ca="1" si="51"/>
        <v>30.184804928131417</v>
      </c>
      <c r="E1617" s="33">
        <f t="shared" ca="1" si="52"/>
        <v>53010</v>
      </c>
      <c r="F1617" s="47">
        <v>2.7650260822146517</v>
      </c>
    </row>
    <row r="1618" spans="4:6" x14ac:dyDescent="0.2">
      <c r="D1618" s="18">
        <f t="shared" ca="1" si="51"/>
        <v>30.203969883641342</v>
      </c>
      <c r="E1618" s="33">
        <f t="shared" ca="1" si="52"/>
        <v>53017</v>
      </c>
      <c r="F1618" s="47">
        <v>2.7649778166403931</v>
      </c>
    </row>
    <row r="1619" spans="4:6" x14ac:dyDescent="0.2">
      <c r="D1619" s="18">
        <f t="shared" ca="1" si="51"/>
        <v>30.223134839151268</v>
      </c>
      <c r="E1619" s="33">
        <f t="shared" ca="1" si="52"/>
        <v>53024</v>
      </c>
      <c r="F1619" s="47">
        <v>2.764928514795852</v>
      </c>
    </row>
    <row r="1620" spans="4:6" x14ac:dyDescent="0.2">
      <c r="D1620" s="18">
        <f t="shared" ca="1" si="51"/>
        <v>30.242299794661189</v>
      </c>
      <c r="E1620" s="33">
        <f t="shared" ca="1" si="52"/>
        <v>53031</v>
      </c>
      <c r="F1620" s="47">
        <v>2.7648781731891163</v>
      </c>
    </row>
    <row r="1621" spans="4:6" x14ac:dyDescent="0.2">
      <c r="D1621" s="18">
        <f t="shared" ca="1" si="51"/>
        <v>30.261464750171115</v>
      </c>
      <c r="E1621" s="33">
        <f t="shared" ca="1" si="52"/>
        <v>53038</v>
      </c>
      <c r="F1621" s="47">
        <v>2.7648267883490583</v>
      </c>
    </row>
    <row r="1622" spans="4:6" x14ac:dyDescent="0.2">
      <c r="D1622" s="18">
        <f t="shared" ca="1" si="51"/>
        <v>30.28062970568104</v>
      </c>
      <c r="E1622" s="33">
        <f t="shared" ca="1" si="52"/>
        <v>53045</v>
      </c>
      <c r="F1622" s="47">
        <v>2.7647743568257876</v>
      </c>
    </row>
    <row r="1623" spans="4:6" x14ac:dyDescent="0.2">
      <c r="D1623" s="18">
        <f t="shared" ca="1" si="51"/>
        <v>30.299794661190965</v>
      </c>
      <c r="E1623" s="33">
        <f t="shared" ca="1" si="52"/>
        <v>53052</v>
      </c>
      <c r="F1623" s="47">
        <v>2.7647208751911179</v>
      </c>
    </row>
    <row r="1624" spans="4:6" x14ac:dyDescent="0.2">
      <c r="D1624" s="18">
        <f t="shared" ca="1" si="51"/>
        <v>30.318959616700891</v>
      </c>
      <c r="E1624" s="33">
        <f t="shared" ca="1" si="52"/>
        <v>53059</v>
      </c>
      <c r="F1624" s="47">
        <v>2.7646663400390223</v>
      </c>
    </row>
    <row r="1625" spans="4:6" x14ac:dyDescent="0.2">
      <c r="D1625" s="18">
        <f t="shared" ca="1" si="51"/>
        <v>30.338124572210816</v>
      </c>
      <c r="E1625" s="33">
        <f t="shared" ca="1" si="52"/>
        <v>53066</v>
      </c>
      <c r="F1625" s="47">
        <v>2.7646107479861044</v>
      </c>
    </row>
    <row r="1626" spans="4:6" x14ac:dyDescent="0.2">
      <c r="D1626" s="18">
        <f t="shared" ca="1" si="51"/>
        <v>30.357289527720738</v>
      </c>
      <c r="E1626" s="33">
        <f t="shared" ca="1" si="52"/>
        <v>53073</v>
      </c>
      <c r="F1626" s="47">
        <v>2.7645540956720658</v>
      </c>
    </row>
    <row r="1627" spans="4:6" x14ac:dyDescent="0.2">
      <c r="D1627" s="18">
        <f t="shared" ca="1" si="51"/>
        <v>30.376454483230663</v>
      </c>
      <c r="E1627" s="33">
        <f t="shared" ca="1" si="52"/>
        <v>53080</v>
      </c>
      <c r="F1627" s="47">
        <v>2.7644963797601707</v>
      </c>
    </row>
    <row r="1628" spans="4:6" x14ac:dyDescent="0.2">
      <c r="D1628" s="18">
        <f t="shared" ca="1" si="51"/>
        <v>30.395619438740589</v>
      </c>
      <c r="E1628" s="33">
        <f t="shared" ca="1" si="52"/>
        <v>53087</v>
      </c>
      <c r="F1628" s="47">
        <v>2.7644375969377295</v>
      </c>
    </row>
    <row r="1629" spans="4:6" x14ac:dyDescent="0.2">
      <c r="D1629" s="18">
        <f t="shared" ca="1" si="51"/>
        <v>30.414784394250514</v>
      </c>
      <c r="E1629" s="33">
        <f t="shared" ca="1" si="52"/>
        <v>53094</v>
      </c>
      <c r="F1629" s="47">
        <v>2.7643777439165649</v>
      </c>
    </row>
    <row r="1630" spans="4:6" x14ac:dyDescent="0.2">
      <c r="D1630" s="18">
        <f t="shared" ca="1" si="51"/>
        <v>30.433949349760439</v>
      </c>
      <c r="E1630" s="33">
        <f t="shared" ca="1" si="52"/>
        <v>53101</v>
      </c>
      <c r="F1630" s="47">
        <v>2.7643168174334969</v>
      </c>
    </row>
    <row r="1631" spans="4:6" x14ac:dyDescent="0.2">
      <c r="D1631" s="18">
        <f t="shared" ca="1" si="51"/>
        <v>30.453114305270361</v>
      </c>
      <c r="E1631" s="33">
        <f t="shared" ca="1" si="52"/>
        <v>53108</v>
      </c>
      <c r="F1631" s="47">
        <v>2.7642548142508185</v>
      </c>
    </row>
    <row r="1632" spans="4:6" x14ac:dyDescent="0.2">
      <c r="D1632" s="18">
        <f t="shared" ca="1" si="51"/>
        <v>30.472279260780287</v>
      </c>
      <c r="E1632" s="33">
        <f t="shared" ca="1" si="52"/>
        <v>53115</v>
      </c>
      <c r="F1632" s="47">
        <v>2.7641917311567803</v>
      </c>
    </row>
    <row r="1633" spans="4:6" x14ac:dyDescent="0.2">
      <c r="D1633" s="18">
        <f t="shared" ca="1" si="51"/>
        <v>30.491444216290212</v>
      </c>
      <c r="E1633" s="33">
        <f t="shared" ca="1" si="52"/>
        <v>53122</v>
      </c>
      <c r="F1633" s="47">
        <v>2.7641275649660777</v>
      </c>
    </row>
    <row r="1634" spans="4:6" x14ac:dyDescent="0.2">
      <c r="D1634" s="18">
        <f t="shared" ca="1" si="51"/>
        <v>30.510609171800137</v>
      </c>
      <c r="E1634" s="33">
        <f t="shared" ca="1" si="52"/>
        <v>53129</v>
      </c>
      <c r="F1634" s="47">
        <v>2.7640623125203376</v>
      </c>
    </row>
    <row r="1635" spans="4:6" x14ac:dyDescent="0.2">
      <c r="D1635" s="18">
        <f t="shared" ca="1" si="51"/>
        <v>30.529774127310063</v>
      </c>
      <c r="E1635" s="33">
        <f t="shared" ca="1" si="52"/>
        <v>53136</v>
      </c>
      <c r="F1635" s="47">
        <v>2.763995970688605</v>
      </c>
    </row>
    <row r="1636" spans="4:6" x14ac:dyDescent="0.2">
      <c r="D1636" s="18">
        <f t="shared" ca="1" si="51"/>
        <v>30.548939082819988</v>
      </c>
      <c r="E1636" s="33">
        <f t="shared" ca="1" si="52"/>
        <v>53143</v>
      </c>
      <c r="F1636" s="47">
        <v>2.7639285363678399</v>
      </c>
    </row>
    <row r="1637" spans="4:6" x14ac:dyDescent="0.2">
      <c r="D1637" s="18">
        <f t="shared" ca="1" si="51"/>
        <v>30.56810403832991</v>
      </c>
      <c r="E1637" s="33">
        <f t="shared" ca="1" si="52"/>
        <v>53150</v>
      </c>
      <c r="F1637" s="47">
        <v>2.7638600064834073</v>
      </c>
    </row>
    <row r="1638" spans="4:6" x14ac:dyDescent="0.2">
      <c r="D1638" s="18">
        <f t="shared" ca="1" si="51"/>
        <v>30.587268993839835</v>
      </c>
      <c r="E1638" s="33">
        <f t="shared" ca="1" si="52"/>
        <v>53157</v>
      </c>
      <c r="F1638" s="47">
        <v>2.7637903779895767</v>
      </c>
    </row>
    <row r="1639" spans="4:6" x14ac:dyDescent="0.2">
      <c r="D1639" s="18">
        <f t="shared" ca="1" si="51"/>
        <v>30.606433949349761</v>
      </c>
      <c r="E1639" s="33">
        <f t="shared" ca="1" si="52"/>
        <v>53164</v>
      </c>
      <c r="F1639" s="47">
        <v>2.7637196478700168</v>
      </c>
    </row>
    <row r="1640" spans="4:6" x14ac:dyDescent="0.2">
      <c r="D1640" s="18">
        <f t="shared" ca="1" si="51"/>
        <v>30.625598904859686</v>
      </c>
      <c r="E1640" s="33">
        <f t="shared" ca="1" si="52"/>
        <v>53171</v>
      </c>
      <c r="F1640" s="47">
        <v>2.7636478131382982</v>
      </c>
    </row>
    <row r="1641" spans="4:6" x14ac:dyDescent="0.2">
      <c r="D1641" s="18">
        <f t="shared" ca="1" si="51"/>
        <v>30.644763860369611</v>
      </c>
      <c r="E1641" s="33">
        <f t="shared" ca="1" si="52"/>
        <v>53178</v>
      </c>
      <c r="F1641" s="47">
        <v>2.7635748708383927</v>
      </c>
    </row>
    <row r="1642" spans="4:6" x14ac:dyDescent="0.2">
      <c r="D1642" s="18">
        <f t="shared" ref="D1642:D1705" ca="1" si="53">(E1642-$E$42)/365.25</f>
        <v>30.663928815879533</v>
      </c>
      <c r="E1642" s="33">
        <f t="shared" ca="1" si="52"/>
        <v>53185</v>
      </c>
      <c r="F1642" s="47">
        <v>2.7635008180451828</v>
      </c>
    </row>
    <row r="1643" spans="4:6" x14ac:dyDescent="0.2">
      <c r="D1643" s="18">
        <f t="shared" ca="1" si="53"/>
        <v>30.683093771389458</v>
      </c>
      <c r="E1643" s="33">
        <f t="shared" ref="E1643:E1706" ca="1" si="54">E1642+7</f>
        <v>53192</v>
      </c>
      <c r="F1643" s="47">
        <v>2.76342565186496</v>
      </c>
    </row>
    <row r="1644" spans="4:6" x14ac:dyDescent="0.2">
      <c r="D1644" s="18">
        <f t="shared" ca="1" si="53"/>
        <v>30.702258726899384</v>
      </c>
      <c r="E1644" s="33">
        <f t="shared" ca="1" si="54"/>
        <v>53199</v>
      </c>
      <c r="F1644" s="47">
        <v>2.7633493694359377</v>
      </c>
    </row>
    <row r="1645" spans="4:6" x14ac:dyDescent="0.2">
      <c r="D1645" s="18">
        <f t="shared" ca="1" si="53"/>
        <v>30.721423682409309</v>
      </c>
      <c r="E1645" s="33">
        <f t="shared" ca="1" si="54"/>
        <v>53206</v>
      </c>
      <c r="F1645" s="47">
        <v>2.7632719679287554</v>
      </c>
    </row>
    <row r="1646" spans="4:6" x14ac:dyDescent="0.2">
      <c r="D1646" s="18">
        <f t="shared" ca="1" si="53"/>
        <v>30.740588637919235</v>
      </c>
      <c r="E1646" s="33">
        <f t="shared" ca="1" si="54"/>
        <v>53213</v>
      </c>
      <c r="F1646" s="47">
        <v>2.7631934445469919</v>
      </c>
    </row>
    <row r="1647" spans="4:6" x14ac:dyDescent="0.2">
      <c r="D1647" s="18">
        <f t="shared" ca="1" si="53"/>
        <v>30.759753593429156</v>
      </c>
      <c r="E1647" s="33">
        <f t="shared" ca="1" si="54"/>
        <v>53220</v>
      </c>
      <c r="F1647" s="47">
        <v>2.7631137965276826</v>
      </c>
    </row>
    <row r="1648" spans="4:6" x14ac:dyDescent="0.2">
      <c r="D1648" s="18">
        <f t="shared" ca="1" si="53"/>
        <v>30.778918548939082</v>
      </c>
      <c r="E1648" s="33">
        <f t="shared" ca="1" si="54"/>
        <v>53227</v>
      </c>
      <c r="F1648" s="47">
        <v>2.7630330211418208</v>
      </c>
    </row>
    <row r="1649" spans="4:6" x14ac:dyDescent="0.2">
      <c r="D1649" s="18">
        <f t="shared" ca="1" si="53"/>
        <v>30.798083504449007</v>
      </c>
      <c r="E1649" s="33">
        <f t="shared" ca="1" si="54"/>
        <v>53234</v>
      </c>
      <c r="F1649" s="47">
        <v>2.7629511156948845</v>
      </c>
    </row>
    <row r="1650" spans="4:6" x14ac:dyDescent="0.2">
      <c r="D1650" s="18">
        <f t="shared" ca="1" si="53"/>
        <v>30.817248459958932</v>
      </c>
      <c r="E1650" s="33">
        <f t="shared" ca="1" si="54"/>
        <v>53241</v>
      </c>
      <c r="F1650" s="47">
        <v>2.7628680775273446</v>
      </c>
    </row>
    <row r="1651" spans="4:6" x14ac:dyDescent="0.2">
      <c r="D1651" s="18">
        <f t="shared" ca="1" si="53"/>
        <v>30.836413415468858</v>
      </c>
      <c r="E1651" s="33">
        <f t="shared" ca="1" si="54"/>
        <v>53248</v>
      </c>
      <c r="F1651" s="47">
        <v>2.7627839040151851</v>
      </c>
    </row>
    <row r="1652" spans="4:6" x14ac:dyDescent="0.2">
      <c r="D1652" s="18">
        <f t="shared" ca="1" si="53"/>
        <v>30.855578370978783</v>
      </c>
      <c r="E1652" s="33">
        <f t="shared" ca="1" si="54"/>
        <v>53255</v>
      </c>
      <c r="F1652" s="47">
        <v>2.7626985925704277</v>
      </c>
    </row>
    <row r="1653" spans="4:6" x14ac:dyDescent="0.2">
      <c r="D1653" s="18">
        <f t="shared" ca="1" si="53"/>
        <v>30.874743326488705</v>
      </c>
      <c r="E1653" s="33">
        <f t="shared" ca="1" si="54"/>
        <v>53262</v>
      </c>
      <c r="F1653" s="47">
        <v>2.7626121406416386</v>
      </c>
    </row>
    <row r="1654" spans="4:6" x14ac:dyDescent="0.2">
      <c r="D1654" s="18">
        <f t="shared" ca="1" si="53"/>
        <v>30.89390828199863</v>
      </c>
      <c r="E1654" s="33">
        <f t="shared" ca="1" si="54"/>
        <v>53269</v>
      </c>
      <c r="F1654" s="47">
        <v>2.7625245457144625</v>
      </c>
    </row>
    <row r="1655" spans="4:6" x14ac:dyDescent="0.2">
      <c r="D1655" s="18">
        <f t="shared" ca="1" si="53"/>
        <v>30.913073237508556</v>
      </c>
      <c r="E1655" s="33">
        <f t="shared" ca="1" si="54"/>
        <v>53276</v>
      </c>
      <c r="F1655" s="47">
        <v>2.7624358053121352</v>
      </c>
    </row>
    <row r="1656" spans="4:6" x14ac:dyDescent="0.2">
      <c r="D1656" s="18">
        <f t="shared" ca="1" si="53"/>
        <v>30.932238193018481</v>
      </c>
      <c r="E1656" s="33">
        <f t="shared" ca="1" si="54"/>
        <v>53283</v>
      </c>
      <c r="F1656" s="47">
        <v>2.7623459169960096</v>
      </c>
    </row>
    <row r="1657" spans="4:6" x14ac:dyDescent="0.2">
      <c r="D1657" s="18">
        <f t="shared" ca="1" si="53"/>
        <v>30.951403148528406</v>
      </c>
      <c r="E1657" s="33">
        <f t="shared" ca="1" si="54"/>
        <v>53290</v>
      </c>
      <c r="F1657" s="47">
        <v>2.7622548783660834</v>
      </c>
    </row>
    <row r="1658" spans="4:6" x14ac:dyDescent="0.2">
      <c r="D1658" s="18">
        <f t="shared" ca="1" si="53"/>
        <v>30.970568104038328</v>
      </c>
      <c r="E1658" s="33">
        <f t="shared" ca="1" si="54"/>
        <v>53297</v>
      </c>
      <c r="F1658" s="47">
        <v>2.7621626870615126</v>
      </c>
    </row>
    <row r="1659" spans="4:6" x14ac:dyDescent="0.2">
      <c r="D1659" s="18">
        <f t="shared" ca="1" si="53"/>
        <v>30.989733059548254</v>
      </c>
      <c r="E1659" s="33">
        <f t="shared" ca="1" si="54"/>
        <v>53304</v>
      </c>
      <c r="F1659" s="47">
        <v>2.7620693407611498</v>
      </c>
    </row>
    <row r="1660" spans="4:6" x14ac:dyDescent="0.2">
      <c r="D1660" s="18">
        <f t="shared" ca="1" si="53"/>
        <v>31.008898015058179</v>
      </c>
      <c r="E1660" s="33">
        <f t="shared" ca="1" si="54"/>
        <v>53311</v>
      </c>
      <c r="F1660" s="47">
        <v>2.7619748371840576</v>
      </c>
    </row>
    <row r="1661" spans="4:6" x14ac:dyDescent="0.2">
      <c r="D1661" s="18">
        <f t="shared" ca="1" si="53"/>
        <v>31.028062970568104</v>
      </c>
      <c r="E1661" s="33">
        <f t="shared" ca="1" si="54"/>
        <v>53318</v>
      </c>
      <c r="F1661" s="47">
        <v>2.761879174090041</v>
      </c>
    </row>
    <row r="1662" spans="4:6" x14ac:dyDescent="0.2">
      <c r="D1662" s="18">
        <f t="shared" ca="1" si="53"/>
        <v>31.04722792607803</v>
      </c>
      <c r="E1662" s="33">
        <f t="shared" ca="1" si="54"/>
        <v>53325</v>
      </c>
      <c r="F1662" s="47">
        <v>2.7617823492801747</v>
      </c>
    </row>
    <row r="1663" spans="4:6" x14ac:dyDescent="0.2">
      <c r="D1663" s="18">
        <f t="shared" ca="1" si="53"/>
        <v>31.066392881587955</v>
      </c>
      <c r="E1663" s="33">
        <f t="shared" ca="1" si="54"/>
        <v>53332</v>
      </c>
      <c r="F1663" s="47">
        <v>2.7616843605973216</v>
      </c>
    </row>
    <row r="1664" spans="4:6" x14ac:dyDescent="0.2">
      <c r="D1664" s="18">
        <f t="shared" ca="1" si="53"/>
        <v>31.085557837097877</v>
      </c>
      <c r="E1664" s="33">
        <f t="shared" ca="1" si="54"/>
        <v>53339</v>
      </c>
      <c r="F1664" s="47">
        <v>2.7615852059266719</v>
      </c>
    </row>
    <row r="1665" spans="4:6" x14ac:dyDescent="0.2">
      <c r="D1665" s="18">
        <f t="shared" ca="1" si="53"/>
        <v>31.104722792607802</v>
      </c>
      <c r="E1665" s="33">
        <f t="shared" ca="1" si="54"/>
        <v>53346</v>
      </c>
      <c r="F1665" s="47">
        <v>2.7614848831962573</v>
      </c>
    </row>
    <row r="1666" spans="4:6" x14ac:dyDescent="0.2">
      <c r="D1666" s="18">
        <f t="shared" ca="1" si="53"/>
        <v>31.123887748117728</v>
      </c>
      <c r="E1666" s="33">
        <f t="shared" ca="1" si="54"/>
        <v>53353</v>
      </c>
      <c r="F1666" s="47">
        <v>2.7613833903774894</v>
      </c>
    </row>
    <row r="1667" spans="4:6" x14ac:dyDescent="0.2">
      <c r="D1667" s="18">
        <f t="shared" ca="1" si="53"/>
        <v>31.143052703627653</v>
      </c>
      <c r="E1667" s="33">
        <f t="shared" ca="1" si="54"/>
        <v>53360</v>
      </c>
      <c r="F1667" s="47">
        <v>2.7612807254856766</v>
      </c>
    </row>
    <row r="1668" spans="4:6" x14ac:dyDescent="0.2">
      <c r="D1668" s="18">
        <f t="shared" ca="1" si="53"/>
        <v>31.162217659137578</v>
      </c>
      <c r="E1668" s="33">
        <f t="shared" ca="1" si="54"/>
        <v>53367</v>
      </c>
      <c r="F1668" s="47">
        <v>2.7611768865805595</v>
      </c>
    </row>
    <row r="1669" spans="4:6" x14ac:dyDescent="0.2">
      <c r="D1669" s="18">
        <f t="shared" ca="1" si="53"/>
        <v>31.1813826146475</v>
      </c>
      <c r="E1669" s="33">
        <f t="shared" ca="1" si="54"/>
        <v>53374</v>
      </c>
      <c r="F1669" s="47">
        <v>2.7610718717668323</v>
      </c>
    </row>
    <row r="1670" spans="4:6" x14ac:dyDescent="0.2">
      <c r="D1670" s="18">
        <f t="shared" ca="1" si="53"/>
        <v>31.200547570157426</v>
      </c>
      <c r="E1670" s="33">
        <f t="shared" ca="1" si="54"/>
        <v>53381</v>
      </c>
      <c r="F1670" s="47">
        <v>2.7609656791946677</v>
      </c>
    </row>
    <row r="1671" spans="4:6" x14ac:dyDescent="0.2">
      <c r="D1671" s="18">
        <f t="shared" ca="1" si="53"/>
        <v>31.219712525667351</v>
      </c>
      <c r="E1671" s="33">
        <f t="shared" ca="1" si="54"/>
        <v>53388</v>
      </c>
      <c r="F1671" s="47">
        <v>2.7608583070602517</v>
      </c>
    </row>
    <row r="1672" spans="4:6" x14ac:dyDescent="0.2">
      <c r="D1672" s="18">
        <f t="shared" ca="1" si="53"/>
        <v>31.238877481177276</v>
      </c>
      <c r="E1672" s="33">
        <f t="shared" ca="1" si="54"/>
        <v>53395</v>
      </c>
      <c r="F1672" s="47">
        <v>2.7607497536062988</v>
      </c>
    </row>
    <row r="1673" spans="4:6" x14ac:dyDescent="0.2">
      <c r="D1673" s="18">
        <f t="shared" ca="1" si="53"/>
        <v>31.258042436687202</v>
      </c>
      <c r="E1673" s="33">
        <f t="shared" ca="1" si="54"/>
        <v>53402</v>
      </c>
      <c r="F1673" s="47">
        <v>2.7606400171225802</v>
      </c>
    </row>
    <row r="1674" spans="4:6" x14ac:dyDescent="0.2">
      <c r="D1674" s="18">
        <f t="shared" ca="1" si="53"/>
        <v>31.277207392197127</v>
      </c>
      <c r="E1674" s="33">
        <f t="shared" ca="1" si="54"/>
        <v>53409</v>
      </c>
      <c r="F1674" s="47">
        <v>2.7605290959464504</v>
      </c>
    </row>
    <row r="1675" spans="4:6" x14ac:dyDescent="0.2">
      <c r="D1675" s="18">
        <f t="shared" ca="1" si="53"/>
        <v>31.296372347707049</v>
      </c>
      <c r="E1675" s="33">
        <f t="shared" ca="1" si="54"/>
        <v>53416</v>
      </c>
      <c r="F1675" s="47">
        <v>2.7604169884633691</v>
      </c>
    </row>
    <row r="1676" spans="4:6" x14ac:dyDescent="0.2">
      <c r="D1676" s="18">
        <f t="shared" ca="1" si="53"/>
        <v>31.315537303216974</v>
      </c>
      <c r="E1676" s="33">
        <f t="shared" ca="1" si="54"/>
        <v>53423</v>
      </c>
      <c r="F1676" s="47">
        <v>2.7603036931074207</v>
      </c>
    </row>
    <row r="1677" spans="4:6" x14ac:dyDescent="0.2">
      <c r="D1677" s="18">
        <f t="shared" ca="1" si="53"/>
        <v>31.3347022587269</v>
      </c>
      <c r="E1677" s="33">
        <f t="shared" ca="1" si="54"/>
        <v>53430</v>
      </c>
      <c r="F1677" s="47">
        <v>2.7601892083618402</v>
      </c>
    </row>
    <row r="1678" spans="4:6" x14ac:dyDescent="0.2">
      <c r="D1678" s="18">
        <f t="shared" ca="1" si="53"/>
        <v>31.353867214236825</v>
      </c>
      <c r="E1678" s="33">
        <f t="shared" ca="1" si="54"/>
        <v>53437</v>
      </c>
      <c r="F1678" s="47">
        <v>2.7600735327595309</v>
      </c>
    </row>
    <row r="1679" spans="4:6" x14ac:dyDescent="0.2">
      <c r="D1679" s="18">
        <f t="shared" ca="1" si="53"/>
        <v>31.37303216974675</v>
      </c>
      <c r="E1679" s="33">
        <f t="shared" ca="1" si="54"/>
        <v>53444</v>
      </c>
      <c r="F1679" s="47">
        <v>2.7599566648835832</v>
      </c>
    </row>
    <row r="1680" spans="4:6" x14ac:dyDescent="0.2">
      <c r="D1680" s="18">
        <f t="shared" ca="1" si="53"/>
        <v>31.392197125256672</v>
      </c>
      <c r="E1680" s="33">
        <f t="shared" ca="1" si="54"/>
        <v>53451</v>
      </c>
      <c r="F1680" s="47">
        <v>2.7598386033677929</v>
      </c>
    </row>
    <row r="1681" spans="4:6" x14ac:dyDescent="0.2">
      <c r="D1681" s="18">
        <f t="shared" ca="1" si="53"/>
        <v>31.411362080766597</v>
      </c>
      <c r="E1681" s="33">
        <f t="shared" ca="1" si="54"/>
        <v>53458</v>
      </c>
      <c r="F1681" s="47">
        <v>2.7597193468971803</v>
      </c>
    </row>
    <row r="1682" spans="4:6" x14ac:dyDescent="0.2">
      <c r="D1682" s="18">
        <f t="shared" ca="1" si="53"/>
        <v>31.430527036276523</v>
      </c>
      <c r="E1682" s="33">
        <f t="shared" ca="1" si="54"/>
        <v>53465</v>
      </c>
      <c r="F1682" s="47">
        <v>2.7595988942085001</v>
      </c>
    </row>
    <row r="1683" spans="4:6" x14ac:dyDescent="0.2">
      <c r="D1683" s="18">
        <f t="shared" ca="1" si="53"/>
        <v>31.449691991786448</v>
      </c>
      <c r="E1683" s="33">
        <f t="shared" ca="1" si="54"/>
        <v>53472</v>
      </c>
      <c r="F1683" s="47">
        <v>2.7594772440907573</v>
      </c>
    </row>
    <row r="1684" spans="4:6" x14ac:dyDescent="0.2">
      <c r="D1684" s="18">
        <f t="shared" ca="1" si="53"/>
        <v>31.468856947296374</v>
      </c>
      <c r="E1684" s="33">
        <f t="shared" ca="1" si="54"/>
        <v>53479</v>
      </c>
      <c r="F1684" s="47">
        <v>2.7593543953857167</v>
      </c>
    </row>
    <row r="1685" spans="4:6" x14ac:dyDescent="0.2">
      <c r="D1685" s="18">
        <f t="shared" ca="1" si="53"/>
        <v>31.488021902806295</v>
      </c>
      <c r="E1685" s="33">
        <f t="shared" ca="1" si="54"/>
        <v>53486</v>
      </c>
      <c r="F1685" s="47">
        <v>2.7592303469884181</v>
      </c>
    </row>
    <row r="1686" spans="4:6" x14ac:dyDescent="0.2">
      <c r="D1686" s="18">
        <f t="shared" ca="1" si="53"/>
        <v>31.507186858316221</v>
      </c>
      <c r="E1686" s="33">
        <f t="shared" ca="1" si="54"/>
        <v>53493</v>
      </c>
      <c r="F1686" s="47">
        <v>2.7591050978476765</v>
      </c>
    </row>
    <row r="1687" spans="4:6" x14ac:dyDescent="0.2">
      <c r="D1687" s="18">
        <f t="shared" ca="1" si="53"/>
        <v>31.526351813826146</v>
      </c>
      <c r="E1687" s="33">
        <f t="shared" ca="1" si="54"/>
        <v>53500</v>
      </c>
      <c r="F1687" s="47">
        <v>2.7589786469665913</v>
      </c>
    </row>
    <row r="1688" spans="4:6" x14ac:dyDescent="0.2">
      <c r="D1688" s="18">
        <f t="shared" ca="1" si="53"/>
        <v>31.545516769336071</v>
      </c>
      <c r="E1688" s="33">
        <f t="shared" ca="1" si="54"/>
        <v>53507</v>
      </c>
      <c r="F1688" s="47">
        <v>2.7588509934030521</v>
      </c>
    </row>
    <row r="1689" spans="4:6" x14ac:dyDescent="0.2">
      <c r="D1689" s="18">
        <f t="shared" ca="1" si="53"/>
        <v>31.564681724845997</v>
      </c>
      <c r="E1689" s="33">
        <f t="shared" ca="1" si="54"/>
        <v>53514</v>
      </c>
      <c r="F1689" s="47">
        <v>2.7587221362702334</v>
      </c>
    </row>
    <row r="1690" spans="4:6" x14ac:dyDescent="0.2">
      <c r="D1690" s="18">
        <f t="shared" ca="1" si="53"/>
        <v>31.583846680355922</v>
      </c>
      <c r="E1690" s="33">
        <f t="shared" ca="1" si="54"/>
        <v>53521</v>
      </c>
      <c r="F1690" s="47">
        <v>2.7585920747371002</v>
      </c>
    </row>
    <row r="1691" spans="4:6" x14ac:dyDescent="0.2">
      <c r="D1691" s="18">
        <f t="shared" ca="1" si="53"/>
        <v>31.603011635865844</v>
      </c>
      <c r="E1691" s="33">
        <f t="shared" ca="1" si="54"/>
        <v>53528</v>
      </c>
      <c r="F1691" s="47">
        <v>2.7584608080288984</v>
      </c>
    </row>
    <row r="1692" spans="4:6" x14ac:dyDescent="0.2">
      <c r="D1692" s="18">
        <f t="shared" ca="1" si="53"/>
        <v>31.622176591375769</v>
      </c>
      <c r="E1692" s="33">
        <f t="shared" ca="1" si="54"/>
        <v>53535</v>
      </c>
      <c r="F1692" s="47">
        <v>2.7583283354276524</v>
      </c>
    </row>
    <row r="1693" spans="4:6" x14ac:dyDescent="0.2">
      <c r="D1693" s="18">
        <f t="shared" ca="1" si="53"/>
        <v>31.641341546885695</v>
      </c>
      <c r="E1693" s="33">
        <f t="shared" ca="1" si="54"/>
        <v>53542</v>
      </c>
      <c r="F1693" s="47">
        <v>2.758194656272654</v>
      </c>
    </row>
    <row r="1694" spans="4:6" x14ac:dyDescent="0.2">
      <c r="D1694" s="18">
        <f t="shared" ca="1" si="53"/>
        <v>31.66050650239562</v>
      </c>
      <c r="E1694" s="33">
        <f t="shared" ca="1" si="54"/>
        <v>53549</v>
      </c>
      <c r="F1694" s="47">
        <v>2.7580597699609499</v>
      </c>
    </row>
    <row r="1695" spans="4:6" x14ac:dyDescent="0.2">
      <c r="D1695" s="18">
        <f t="shared" ca="1" si="53"/>
        <v>31.679671457905545</v>
      </c>
      <c r="E1695" s="33">
        <f t="shared" ca="1" si="54"/>
        <v>53556</v>
      </c>
      <c r="F1695" s="47">
        <v>2.7579236759478287</v>
      </c>
    </row>
    <row r="1696" spans="4:6" x14ac:dyDescent="0.2">
      <c r="D1696" s="18">
        <f t="shared" ca="1" si="53"/>
        <v>31.698836413415467</v>
      </c>
      <c r="E1696" s="33">
        <f t="shared" ca="1" si="54"/>
        <v>53563</v>
      </c>
      <c r="F1696" s="47">
        <v>2.7577863737473005</v>
      </c>
    </row>
    <row r="1697" spans="4:6" x14ac:dyDescent="0.2">
      <c r="D1697" s="18">
        <f t="shared" ca="1" si="53"/>
        <v>31.718001368925393</v>
      </c>
      <c r="E1697" s="33">
        <f t="shared" ca="1" si="54"/>
        <v>53570</v>
      </c>
      <c r="F1697" s="47">
        <v>2.7576478629325742</v>
      </c>
    </row>
    <row r="1698" spans="4:6" x14ac:dyDescent="0.2">
      <c r="D1698" s="18">
        <f t="shared" ca="1" si="53"/>
        <v>31.737166324435318</v>
      </c>
      <c r="E1698" s="33">
        <f t="shared" ca="1" si="54"/>
        <v>53577</v>
      </c>
      <c r="F1698" s="47">
        <v>2.7575081431365369</v>
      </c>
    </row>
    <row r="1699" spans="4:6" x14ac:dyDescent="0.2">
      <c r="D1699" s="18">
        <f t="shared" ca="1" si="53"/>
        <v>31.756331279945243</v>
      </c>
      <c r="E1699" s="33">
        <f t="shared" ca="1" si="54"/>
        <v>53584</v>
      </c>
      <c r="F1699" s="47">
        <v>2.7573672140522238</v>
      </c>
    </row>
    <row r="1700" spans="4:6" x14ac:dyDescent="0.2">
      <c r="D1700" s="18">
        <f t="shared" ca="1" si="53"/>
        <v>31.775496235455169</v>
      </c>
      <c r="E1700" s="33">
        <f t="shared" ca="1" si="54"/>
        <v>53591</v>
      </c>
      <c r="F1700" s="47">
        <v>2.7572250754332854</v>
      </c>
    </row>
    <row r="1701" spans="4:6" x14ac:dyDescent="0.2">
      <c r="D1701" s="18">
        <f t="shared" ca="1" si="53"/>
        <v>31.794661190965094</v>
      </c>
      <c r="E1701" s="33">
        <f t="shared" ca="1" si="54"/>
        <v>53598</v>
      </c>
      <c r="F1701" s="47">
        <v>2.7570817270944503</v>
      </c>
    </row>
    <row r="1702" spans="4:6" x14ac:dyDescent="0.2">
      <c r="D1702" s="18">
        <f t="shared" ca="1" si="53"/>
        <v>31.813826146475016</v>
      </c>
      <c r="E1702" s="33">
        <f t="shared" ca="1" si="54"/>
        <v>53605</v>
      </c>
      <c r="F1702" s="47">
        <v>2.7569371689119899</v>
      </c>
    </row>
    <row r="1703" spans="4:6" x14ac:dyDescent="0.2">
      <c r="D1703" s="18">
        <f t="shared" ca="1" si="53"/>
        <v>31.832991101984941</v>
      </c>
      <c r="E1703" s="33">
        <f t="shared" ca="1" si="54"/>
        <v>53612</v>
      </c>
      <c r="F1703" s="47">
        <v>2.7567914008241718</v>
      </c>
    </row>
    <row r="1704" spans="4:6" x14ac:dyDescent="0.2">
      <c r="D1704" s="18">
        <f t="shared" ca="1" si="53"/>
        <v>31.852156057494867</v>
      </c>
      <c r="E1704" s="33">
        <f t="shared" ca="1" si="54"/>
        <v>53619</v>
      </c>
      <c r="F1704" s="47">
        <v>2.7566444228317164</v>
      </c>
    </row>
    <row r="1705" spans="4:6" x14ac:dyDescent="0.2">
      <c r="D1705" s="18">
        <f t="shared" ca="1" si="53"/>
        <v>31.871321013004792</v>
      </c>
      <c r="E1705" s="33">
        <f t="shared" ca="1" si="54"/>
        <v>53626</v>
      </c>
      <c r="F1705" s="47">
        <v>2.7564962349982403</v>
      </c>
    </row>
    <row r="1706" spans="4:6" x14ac:dyDescent="0.2">
      <c r="D1706" s="18">
        <f t="shared" ref="D1706:D1769" ca="1" si="55">(E1706-$E$42)/365.25</f>
        <v>31.890485968514717</v>
      </c>
      <c r="E1706" s="33">
        <f t="shared" ca="1" si="54"/>
        <v>53633</v>
      </c>
      <c r="F1706" s="47">
        <v>2.756346837450701</v>
      </c>
    </row>
    <row r="1707" spans="4:6" x14ac:dyDescent="0.2">
      <c r="D1707" s="18">
        <f t="shared" ca="1" si="55"/>
        <v>31.909650924024639</v>
      </c>
      <c r="E1707" s="33">
        <f t="shared" ref="E1707:E1770" ca="1" si="56">E1706+7</f>
        <v>53640</v>
      </c>
      <c r="F1707" s="47">
        <v>2.756196230379838</v>
      </c>
    </row>
    <row r="1708" spans="4:6" x14ac:dyDescent="0.2">
      <c r="D1708" s="18">
        <f t="shared" ca="1" si="55"/>
        <v>31.928815879534564</v>
      </c>
      <c r="E1708" s="33">
        <f t="shared" ca="1" si="56"/>
        <v>53647</v>
      </c>
      <c r="F1708" s="47">
        <v>2.7560444140406126</v>
      </c>
    </row>
    <row r="1709" spans="4:6" x14ac:dyDescent="0.2">
      <c r="D1709" s="18">
        <f t="shared" ca="1" si="55"/>
        <v>31.94798083504449</v>
      </c>
      <c r="E1709" s="33">
        <f t="shared" ca="1" si="56"/>
        <v>53654</v>
      </c>
      <c r="F1709" s="47">
        <v>2.7558913887526271</v>
      </c>
    </row>
    <row r="1710" spans="4:6" x14ac:dyDescent="0.2">
      <c r="D1710" s="18">
        <f t="shared" ca="1" si="55"/>
        <v>31.967145790554415</v>
      </c>
      <c r="E1710" s="33">
        <f t="shared" ca="1" si="56"/>
        <v>53661</v>
      </c>
      <c r="F1710" s="47">
        <v>2.7557371549005585</v>
      </c>
    </row>
    <row r="1711" spans="4:6" x14ac:dyDescent="0.2">
      <c r="D1711" s="18">
        <f t="shared" ca="1" si="55"/>
        <v>31.986310746064341</v>
      </c>
      <c r="E1711" s="33">
        <f t="shared" ca="1" si="56"/>
        <v>53668</v>
      </c>
      <c r="F1711" s="47">
        <v>2.7555817129345783</v>
      </c>
    </row>
    <row r="1712" spans="4:6" x14ac:dyDescent="0.2">
      <c r="D1712" s="18">
        <f t="shared" ca="1" si="55"/>
        <v>32.005475701574262</v>
      </c>
      <c r="E1712" s="33">
        <f t="shared" ca="1" si="56"/>
        <v>53675</v>
      </c>
      <c r="F1712" s="47">
        <v>2.7554250633707644</v>
      </c>
    </row>
    <row r="1713" spans="4:6" x14ac:dyDescent="0.2">
      <c r="D1713" s="18">
        <f t="shared" ca="1" si="55"/>
        <v>32.024640657084191</v>
      </c>
      <c r="E1713" s="33">
        <f t="shared" ca="1" si="56"/>
        <v>53682</v>
      </c>
      <c r="F1713" s="47">
        <v>2.7552672067915145</v>
      </c>
    </row>
    <row r="1714" spans="4:6" x14ac:dyDescent="0.2">
      <c r="D1714" s="18">
        <f t="shared" ca="1" si="55"/>
        <v>32.043805612594113</v>
      </c>
      <c r="E1714" s="33">
        <f t="shared" ca="1" si="56"/>
        <v>53689</v>
      </c>
      <c r="F1714" s="47">
        <v>2.7551081438459497</v>
      </c>
    </row>
    <row r="1715" spans="4:6" x14ac:dyDescent="0.2">
      <c r="D1715" s="18">
        <f t="shared" ca="1" si="55"/>
        <v>32.062970568104035</v>
      </c>
      <c r="E1715" s="33">
        <f t="shared" ca="1" si="56"/>
        <v>53696</v>
      </c>
      <c r="F1715" s="47">
        <v>2.7549478752503131</v>
      </c>
    </row>
    <row r="1716" spans="4:6" x14ac:dyDescent="0.2">
      <c r="D1716" s="18">
        <f t="shared" ca="1" si="55"/>
        <v>32.082135523613964</v>
      </c>
      <c r="E1716" s="33">
        <f t="shared" ca="1" si="56"/>
        <v>53703</v>
      </c>
      <c r="F1716" s="47">
        <v>2.7547864017883654</v>
      </c>
    </row>
    <row r="1717" spans="4:6" x14ac:dyDescent="0.2">
      <c r="D1717" s="18">
        <f t="shared" ca="1" si="55"/>
        <v>32.101300479123886</v>
      </c>
      <c r="E1717" s="33">
        <f t="shared" ca="1" si="56"/>
        <v>53710</v>
      </c>
      <c r="F1717" s="47">
        <v>2.7546237243117715</v>
      </c>
    </row>
    <row r="1718" spans="4:6" x14ac:dyDescent="0.2">
      <c r="D1718" s="18">
        <f t="shared" ca="1" si="55"/>
        <v>32.120465434633815</v>
      </c>
      <c r="E1718" s="33">
        <f t="shared" ca="1" si="56"/>
        <v>53717</v>
      </c>
      <c r="F1718" s="47">
        <v>2.7544598437404861</v>
      </c>
    </row>
    <row r="1719" spans="4:6" x14ac:dyDescent="0.2">
      <c r="D1719" s="18">
        <f t="shared" ca="1" si="55"/>
        <v>32.139630390143736</v>
      </c>
      <c r="E1719" s="33">
        <f t="shared" ca="1" si="56"/>
        <v>53724</v>
      </c>
      <c r="F1719" s="47">
        <v>2.7542947610631225</v>
      </c>
    </row>
    <row r="1720" spans="4:6" x14ac:dyDescent="0.2">
      <c r="D1720" s="18">
        <f t="shared" ca="1" si="55"/>
        <v>32.158795345653665</v>
      </c>
      <c r="E1720" s="33">
        <f t="shared" ca="1" si="56"/>
        <v>53731</v>
      </c>
      <c r="F1720" s="47">
        <v>2.7541284773373329</v>
      </c>
    </row>
    <row r="1721" spans="4:6" x14ac:dyDescent="0.2">
      <c r="D1721" s="18">
        <f t="shared" ca="1" si="55"/>
        <v>32.177960301163587</v>
      </c>
      <c r="E1721" s="33">
        <f t="shared" ca="1" si="56"/>
        <v>53738</v>
      </c>
      <c r="F1721" s="47">
        <v>2.7539609936901637</v>
      </c>
    </row>
    <row r="1722" spans="4:6" x14ac:dyDescent="0.2">
      <c r="D1722" s="18">
        <f t="shared" ca="1" si="55"/>
        <v>32.197125256673509</v>
      </c>
      <c r="E1722" s="33">
        <f t="shared" ca="1" si="56"/>
        <v>53745</v>
      </c>
      <c r="F1722" s="47">
        <v>2.7537923113184193</v>
      </c>
    </row>
    <row r="1723" spans="4:6" x14ac:dyDescent="0.2">
      <c r="D1723" s="18">
        <f t="shared" ca="1" si="55"/>
        <v>32.216290212183438</v>
      </c>
      <c r="E1723" s="33">
        <f t="shared" ca="1" si="56"/>
        <v>53752</v>
      </c>
      <c r="F1723" s="47">
        <v>2.7536224314890068</v>
      </c>
    </row>
    <row r="1724" spans="4:6" x14ac:dyDescent="0.2">
      <c r="D1724" s="18">
        <f t="shared" ca="1" si="55"/>
        <v>32.23545516769336</v>
      </c>
      <c r="E1724" s="33">
        <f t="shared" ca="1" si="56"/>
        <v>53759</v>
      </c>
      <c r="F1724" s="47">
        <v>2.7534513555392901</v>
      </c>
    </row>
    <row r="1725" spans="4:6" x14ac:dyDescent="0.2">
      <c r="D1725" s="18">
        <f t="shared" ca="1" si="55"/>
        <v>32.254620123203289</v>
      </c>
      <c r="E1725" s="33">
        <f t="shared" ca="1" si="56"/>
        <v>53766</v>
      </c>
      <c r="F1725" s="47">
        <v>2.7532790848774176</v>
      </c>
    </row>
    <row r="1726" spans="4:6" x14ac:dyDescent="0.2">
      <c r="D1726" s="18">
        <f t="shared" ca="1" si="55"/>
        <v>32.27378507871321</v>
      </c>
      <c r="E1726" s="33">
        <f t="shared" ca="1" si="56"/>
        <v>53773</v>
      </c>
      <c r="F1726" s="47">
        <v>2.7531056209826601</v>
      </c>
    </row>
    <row r="1727" spans="4:6" x14ac:dyDescent="0.2">
      <c r="D1727" s="18">
        <f t="shared" ca="1" si="55"/>
        <v>32.292950034223132</v>
      </c>
      <c r="E1727" s="33">
        <f t="shared" ca="1" si="56"/>
        <v>53780</v>
      </c>
      <c r="F1727" s="47">
        <v>2.7529309654057346</v>
      </c>
    </row>
    <row r="1728" spans="4:6" x14ac:dyDescent="0.2">
      <c r="D1728" s="18">
        <f t="shared" ca="1" si="55"/>
        <v>32.312114989733061</v>
      </c>
      <c r="E1728" s="33">
        <f t="shared" ca="1" si="56"/>
        <v>53787</v>
      </c>
      <c r="F1728" s="47">
        <v>2.7527551197691147</v>
      </c>
    </row>
    <row r="1729" spans="4:6" x14ac:dyDescent="0.2">
      <c r="D1729" s="18">
        <f t="shared" ca="1" si="55"/>
        <v>32.331279945242983</v>
      </c>
      <c r="E1729" s="33">
        <f t="shared" ca="1" si="56"/>
        <v>53794</v>
      </c>
      <c r="F1729" s="47">
        <v>2.7525780857673485</v>
      </c>
    </row>
    <row r="1730" spans="4:6" x14ac:dyDescent="0.2">
      <c r="D1730" s="18">
        <f t="shared" ca="1" si="55"/>
        <v>32.350444900752912</v>
      </c>
      <c r="E1730" s="33">
        <f t="shared" ca="1" si="56"/>
        <v>53801</v>
      </c>
      <c r="F1730" s="47">
        <v>2.7523998651673587</v>
      </c>
    </row>
    <row r="1731" spans="4:6" x14ac:dyDescent="0.2">
      <c r="D1731" s="18">
        <f t="shared" ca="1" si="55"/>
        <v>32.369609856262834</v>
      </c>
      <c r="E1731" s="33">
        <f t="shared" ca="1" si="56"/>
        <v>53808</v>
      </c>
      <c r="F1731" s="47">
        <v>2.7522204598087368</v>
      </c>
    </row>
    <row r="1732" spans="4:6" x14ac:dyDescent="0.2">
      <c r="D1732" s="18">
        <f t="shared" ca="1" si="55"/>
        <v>32.388774811772755</v>
      </c>
      <c r="E1732" s="33">
        <f t="shared" ca="1" si="56"/>
        <v>53815</v>
      </c>
      <c r="F1732" s="47">
        <v>2.7520398716040257</v>
      </c>
    </row>
    <row r="1733" spans="4:6" x14ac:dyDescent="0.2">
      <c r="D1733" s="18">
        <f t="shared" ca="1" si="55"/>
        <v>32.407939767282684</v>
      </c>
      <c r="E1733" s="33">
        <f t="shared" ca="1" si="56"/>
        <v>53822</v>
      </c>
      <c r="F1733" s="47">
        <v>2.7518581025390114</v>
      </c>
    </row>
    <row r="1734" spans="4:6" x14ac:dyDescent="0.2">
      <c r="D1734" s="18">
        <f t="shared" ca="1" si="55"/>
        <v>32.427104722792606</v>
      </c>
      <c r="E1734" s="33">
        <f t="shared" ca="1" si="56"/>
        <v>53829</v>
      </c>
      <c r="F1734" s="47">
        <v>2.751675154672983</v>
      </c>
    </row>
    <row r="1735" spans="4:6" x14ac:dyDescent="0.2">
      <c r="D1735" s="18">
        <f t="shared" ca="1" si="55"/>
        <v>32.446269678302535</v>
      </c>
      <c r="E1735" s="33">
        <f t="shared" ca="1" si="56"/>
        <v>53836</v>
      </c>
      <c r="F1735" s="47">
        <v>2.7514910301390034</v>
      </c>
    </row>
    <row r="1736" spans="4:6" x14ac:dyDescent="0.2">
      <c r="D1736" s="18">
        <f t="shared" ca="1" si="55"/>
        <v>32.465434633812457</v>
      </c>
      <c r="E1736" s="33">
        <f t="shared" ca="1" si="56"/>
        <v>53843</v>
      </c>
      <c r="F1736" s="47">
        <v>2.7513057311441629</v>
      </c>
    </row>
    <row r="1737" spans="4:6" x14ac:dyDescent="0.2">
      <c r="D1737" s="18">
        <f t="shared" ca="1" si="55"/>
        <v>32.484599589322379</v>
      </c>
      <c r="E1737" s="33">
        <f t="shared" ca="1" si="56"/>
        <v>53850</v>
      </c>
      <c r="F1737" s="47">
        <v>2.7511192599698293</v>
      </c>
    </row>
    <row r="1738" spans="4:6" x14ac:dyDescent="0.2">
      <c r="D1738" s="18">
        <f t="shared" ca="1" si="55"/>
        <v>32.503764544832308</v>
      </c>
      <c r="E1738" s="33">
        <f t="shared" ca="1" si="56"/>
        <v>53857</v>
      </c>
      <c r="F1738" s="47">
        <v>2.7509316189718827</v>
      </c>
    </row>
    <row r="1739" spans="4:6" x14ac:dyDescent="0.2">
      <c r="D1739" s="18">
        <f t="shared" ca="1" si="55"/>
        <v>32.522929500342229</v>
      </c>
      <c r="E1739" s="33">
        <f t="shared" ca="1" si="56"/>
        <v>53864</v>
      </c>
      <c r="F1739" s="47">
        <v>2.7507428105809528</v>
      </c>
    </row>
    <row r="1740" spans="4:6" x14ac:dyDescent="0.2">
      <c r="D1740" s="18">
        <f t="shared" ca="1" si="55"/>
        <v>32.542094455852158</v>
      </c>
      <c r="E1740" s="33">
        <f t="shared" ca="1" si="56"/>
        <v>53871</v>
      </c>
      <c r="F1740" s="47">
        <v>2.7505528373026382</v>
      </c>
    </row>
    <row r="1741" spans="4:6" x14ac:dyDescent="0.2">
      <c r="D1741" s="18">
        <f t="shared" ca="1" si="55"/>
        <v>32.56125941136208</v>
      </c>
      <c r="E1741" s="33">
        <f t="shared" ca="1" si="56"/>
        <v>53878</v>
      </c>
      <c r="F1741" s="47">
        <v>2.7503617017177158</v>
      </c>
    </row>
    <row r="1742" spans="4:6" x14ac:dyDescent="0.2">
      <c r="D1742" s="18">
        <f t="shared" ca="1" si="55"/>
        <v>32.580424366872002</v>
      </c>
      <c r="E1742" s="33">
        <f t="shared" ca="1" si="56"/>
        <v>53885</v>
      </c>
      <c r="F1742" s="47">
        <v>2.7501694064823576</v>
      </c>
    </row>
    <row r="1743" spans="4:6" x14ac:dyDescent="0.2">
      <c r="D1743" s="18">
        <f t="shared" ca="1" si="55"/>
        <v>32.599589322381931</v>
      </c>
      <c r="E1743" s="33">
        <f t="shared" ca="1" si="56"/>
        <v>53892</v>
      </c>
      <c r="F1743" s="47">
        <v>2.749975954328316</v>
      </c>
    </row>
    <row r="1744" spans="4:6" x14ac:dyDescent="0.2">
      <c r="D1744" s="18">
        <f t="shared" ca="1" si="55"/>
        <v>32.618754277891853</v>
      </c>
      <c r="E1744" s="33">
        <f t="shared" ca="1" si="56"/>
        <v>53899</v>
      </c>
      <c r="F1744" s="47">
        <v>2.749781348063117</v>
      </c>
    </row>
    <row r="1745" spans="4:6" x14ac:dyDescent="0.2">
      <c r="D1745" s="18">
        <f t="shared" ca="1" si="55"/>
        <v>32.637919233401782</v>
      </c>
      <c r="E1745" s="33">
        <f t="shared" ca="1" si="56"/>
        <v>53906</v>
      </c>
      <c r="F1745" s="47">
        <v>2.7495855905702378</v>
      </c>
    </row>
    <row r="1746" spans="4:6" x14ac:dyDescent="0.2">
      <c r="D1746" s="18">
        <f t="shared" ca="1" si="55"/>
        <v>32.657084188911703</v>
      </c>
      <c r="E1746" s="33">
        <f t="shared" ca="1" si="56"/>
        <v>53913</v>
      </c>
      <c r="F1746" s="47">
        <v>2.7493886848092735</v>
      </c>
    </row>
    <row r="1747" spans="4:6" x14ac:dyDescent="0.2">
      <c r="D1747" s="18">
        <f t="shared" ca="1" si="55"/>
        <v>32.676249144421632</v>
      </c>
      <c r="E1747" s="33">
        <f t="shared" ca="1" si="56"/>
        <v>53920</v>
      </c>
      <c r="F1747" s="47">
        <v>2.749190633816101</v>
      </c>
    </row>
    <row r="1748" spans="4:6" x14ac:dyDescent="0.2">
      <c r="D1748" s="18">
        <f t="shared" ca="1" si="55"/>
        <v>32.695414099931554</v>
      </c>
      <c r="E1748" s="33">
        <f t="shared" ca="1" si="56"/>
        <v>53927</v>
      </c>
      <c r="F1748" s="47">
        <v>2.748991440703024</v>
      </c>
    </row>
    <row r="1749" spans="4:6" x14ac:dyDescent="0.2">
      <c r="D1749" s="18">
        <f t="shared" ca="1" si="55"/>
        <v>32.714579055441476</v>
      </c>
      <c r="E1749" s="33">
        <f t="shared" ca="1" si="56"/>
        <v>53934</v>
      </c>
      <c r="F1749" s="47">
        <v>2.7487911086589225</v>
      </c>
    </row>
    <row r="1750" spans="4:6" x14ac:dyDescent="0.2">
      <c r="D1750" s="18">
        <f t="shared" ca="1" si="55"/>
        <v>32.733744010951405</v>
      </c>
      <c r="E1750" s="33">
        <f t="shared" ca="1" si="56"/>
        <v>53941</v>
      </c>
      <c r="F1750" s="47">
        <v>2.7485896409493753</v>
      </c>
    </row>
    <row r="1751" spans="4:6" x14ac:dyDescent="0.2">
      <c r="D1751" s="18">
        <f t="shared" ca="1" si="55"/>
        <v>32.752908966461327</v>
      </c>
      <c r="E1751" s="33">
        <f t="shared" ca="1" si="56"/>
        <v>53948</v>
      </c>
      <c r="F1751" s="47">
        <v>2.7483870409167883</v>
      </c>
    </row>
    <row r="1752" spans="4:6" x14ac:dyDescent="0.2">
      <c r="D1752" s="18">
        <f t="shared" ca="1" si="55"/>
        <v>32.772073921971256</v>
      </c>
      <c r="E1752" s="33">
        <f t="shared" ca="1" si="56"/>
        <v>53955</v>
      </c>
      <c r="F1752" s="47">
        <v>2.7481833119804997</v>
      </c>
    </row>
    <row r="1753" spans="4:6" x14ac:dyDescent="0.2">
      <c r="D1753" s="18">
        <f t="shared" ca="1" si="55"/>
        <v>32.791238877481177</v>
      </c>
      <c r="E1753" s="33">
        <f t="shared" ca="1" si="56"/>
        <v>53962</v>
      </c>
      <c r="F1753" s="47">
        <v>2.7479784576368909</v>
      </c>
    </row>
    <row r="1754" spans="4:6" x14ac:dyDescent="0.2">
      <c r="D1754" s="18">
        <f t="shared" ca="1" si="55"/>
        <v>32.810403832991099</v>
      </c>
      <c r="E1754" s="33">
        <f t="shared" ca="1" si="56"/>
        <v>53969</v>
      </c>
      <c r="F1754" s="47">
        <v>2.7477724814594735</v>
      </c>
    </row>
    <row r="1755" spans="4:6" x14ac:dyDescent="0.2">
      <c r="D1755" s="18">
        <f t="shared" ca="1" si="55"/>
        <v>32.829568788501028</v>
      </c>
      <c r="E1755" s="33">
        <f t="shared" ca="1" si="56"/>
        <v>53976</v>
      </c>
      <c r="F1755" s="47">
        <v>2.7475653870989687</v>
      </c>
    </row>
    <row r="1756" spans="4:6" x14ac:dyDescent="0.2">
      <c r="D1756" s="18">
        <f t="shared" ca="1" si="55"/>
        <v>32.84873374401095</v>
      </c>
      <c r="E1756" s="33">
        <f t="shared" ca="1" si="56"/>
        <v>53983</v>
      </c>
      <c r="F1756" s="47">
        <v>2.7473571782833854</v>
      </c>
    </row>
    <row r="1757" spans="4:6" x14ac:dyDescent="0.2">
      <c r="D1757" s="18">
        <f t="shared" ca="1" si="55"/>
        <v>32.867898699520879</v>
      </c>
      <c r="E1757" s="33">
        <f t="shared" ca="1" si="56"/>
        <v>53990</v>
      </c>
      <c r="F1757" s="47">
        <v>2.7471478588180771</v>
      </c>
    </row>
    <row r="1758" spans="4:6" x14ac:dyDescent="0.2">
      <c r="D1758" s="18">
        <f t="shared" ca="1" si="55"/>
        <v>32.887063655030801</v>
      </c>
      <c r="E1758" s="33">
        <f t="shared" ca="1" si="56"/>
        <v>53997</v>
      </c>
      <c r="F1758" s="47">
        <v>2.7469374325857965</v>
      </c>
    </row>
    <row r="1759" spans="4:6" x14ac:dyDescent="0.2">
      <c r="D1759" s="18">
        <f t="shared" ca="1" si="55"/>
        <v>32.906228610540722</v>
      </c>
      <c r="E1759" s="33">
        <f t="shared" ca="1" si="56"/>
        <v>54004</v>
      </c>
      <c r="F1759" s="47">
        <v>2.7467259035467326</v>
      </c>
    </row>
    <row r="1760" spans="4:6" x14ac:dyDescent="0.2">
      <c r="D1760" s="18">
        <f t="shared" ca="1" si="55"/>
        <v>32.925393566050651</v>
      </c>
      <c r="E1760" s="33">
        <f t="shared" ca="1" si="56"/>
        <v>54011</v>
      </c>
      <c r="F1760" s="47">
        <v>2.746513275738546</v>
      </c>
    </row>
    <row r="1761" spans="4:6" x14ac:dyDescent="0.2">
      <c r="D1761" s="18">
        <f t="shared" ca="1" si="55"/>
        <v>32.944558521560573</v>
      </c>
      <c r="E1761" s="33">
        <f t="shared" ca="1" si="56"/>
        <v>54018</v>
      </c>
      <c r="F1761" s="47">
        <v>2.7462995532763843</v>
      </c>
    </row>
    <row r="1762" spans="4:6" x14ac:dyDescent="0.2">
      <c r="D1762" s="18">
        <f t="shared" ca="1" si="55"/>
        <v>32.963723477070502</v>
      </c>
      <c r="E1762" s="33">
        <f t="shared" ca="1" si="56"/>
        <v>54025</v>
      </c>
      <c r="F1762" s="47">
        <v>2.746084740352893</v>
      </c>
    </row>
    <row r="1763" spans="4:6" x14ac:dyDescent="0.2">
      <c r="D1763" s="18">
        <f t="shared" ca="1" si="55"/>
        <v>32.982888432580424</v>
      </c>
      <c r="E1763" s="33">
        <f t="shared" ca="1" si="56"/>
        <v>54032</v>
      </c>
      <c r="F1763" s="47">
        <v>2.745868841238214</v>
      </c>
    </row>
    <row r="1764" spans="4:6" x14ac:dyDescent="0.2">
      <c r="D1764" s="18">
        <f t="shared" ca="1" si="55"/>
        <v>33.002053388090346</v>
      </c>
      <c r="E1764" s="33">
        <f t="shared" ca="1" si="56"/>
        <v>54039</v>
      </c>
      <c r="F1764" s="47">
        <v>2.745651860279974</v>
      </c>
    </row>
    <row r="1765" spans="4:6" x14ac:dyDescent="0.2">
      <c r="D1765" s="18">
        <f t="shared" ca="1" si="55"/>
        <v>33.021218343600275</v>
      </c>
      <c r="E1765" s="33">
        <f t="shared" ca="1" si="56"/>
        <v>54046</v>
      </c>
      <c r="F1765" s="47">
        <v>2.7454338019032578</v>
      </c>
    </row>
    <row r="1766" spans="4:6" x14ac:dyDescent="0.2">
      <c r="D1766" s="18">
        <f t="shared" ca="1" si="55"/>
        <v>33.040383299110196</v>
      </c>
      <c r="E1766" s="33">
        <f t="shared" ca="1" si="56"/>
        <v>54053</v>
      </c>
      <c r="F1766" s="47">
        <v>2.7452146706105789</v>
      </c>
    </row>
    <row r="1767" spans="4:6" x14ac:dyDescent="0.2">
      <c r="D1767" s="18">
        <f t="shared" ca="1" si="55"/>
        <v>33.059548254620125</v>
      </c>
      <c r="E1767" s="33">
        <f t="shared" ca="1" si="56"/>
        <v>54060</v>
      </c>
      <c r="F1767" s="47">
        <v>2.7449944709818301</v>
      </c>
    </row>
    <row r="1768" spans="4:6" x14ac:dyDescent="0.2">
      <c r="D1768" s="18">
        <f t="shared" ca="1" si="55"/>
        <v>33.078713210130047</v>
      </c>
      <c r="E1768" s="33">
        <f t="shared" ca="1" si="56"/>
        <v>54067</v>
      </c>
      <c r="F1768" s="47">
        <v>2.7447732076742302</v>
      </c>
    </row>
    <row r="1769" spans="4:6" x14ac:dyDescent="0.2">
      <c r="D1769" s="18">
        <f t="shared" ca="1" si="55"/>
        <v>33.097878165639976</v>
      </c>
      <c r="E1769" s="33">
        <f t="shared" ca="1" si="56"/>
        <v>54074</v>
      </c>
      <c r="F1769" s="47">
        <v>2.7445508854222496</v>
      </c>
    </row>
    <row r="1770" spans="4:6" x14ac:dyDescent="0.2">
      <c r="D1770" s="18">
        <f t="shared" ref="D1770:D1833" ca="1" si="57">(E1770-$E$42)/365.25</f>
        <v>33.117043121149898</v>
      </c>
      <c r="E1770" s="33">
        <f t="shared" ca="1" si="56"/>
        <v>54081</v>
      </c>
      <c r="F1770" s="47">
        <v>2.7443275090375452</v>
      </c>
    </row>
    <row r="1771" spans="4:6" x14ac:dyDescent="0.2">
      <c r="D1771" s="18">
        <f t="shared" ca="1" si="57"/>
        <v>33.13620807665982</v>
      </c>
      <c r="E1771" s="33">
        <f t="shared" ref="E1771:E1834" ca="1" si="58">E1770+7</f>
        <v>54088</v>
      </c>
      <c r="F1771" s="47">
        <v>2.7441030834088544</v>
      </c>
    </row>
    <row r="1772" spans="4:6" x14ac:dyDescent="0.2">
      <c r="D1772" s="18">
        <f t="shared" ca="1" si="57"/>
        <v>33.155373032169749</v>
      </c>
      <c r="E1772" s="33">
        <f t="shared" ca="1" si="58"/>
        <v>54095</v>
      </c>
      <c r="F1772" s="47">
        <v>2.7438776135019052</v>
      </c>
    </row>
    <row r="1773" spans="4:6" x14ac:dyDescent="0.2">
      <c r="D1773" s="18">
        <f t="shared" ca="1" si="57"/>
        <v>33.17453798767967</v>
      </c>
      <c r="E1773" s="33">
        <f t="shared" ca="1" si="58"/>
        <v>54102</v>
      </c>
      <c r="F1773" s="47">
        <v>2.743651104359297</v>
      </c>
    </row>
    <row r="1774" spans="4:6" x14ac:dyDescent="0.2">
      <c r="D1774" s="18">
        <f t="shared" ca="1" si="57"/>
        <v>33.193702943189599</v>
      </c>
      <c r="E1774" s="33">
        <f t="shared" ca="1" si="58"/>
        <v>54109</v>
      </c>
      <c r="F1774" s="47">
        <v>2.7434235611003803</v>
      </c>
    </row>
    <row r="1775" spans="4:6" x14ac:dyDescent="0.2">
      <c r="D1775" s="18">
        <f t="shared" ca="1" si="57"/>
        <v>33.212867898699521</v>
      </c>
      <c r="E1775" s="33">
        <f t="shared" ca="1" si="58"/>
        <v>54116</v>
      </c>
      <c r="F1775" s="47">
        <v>2.7431949889211178</v>
      </c>
    </row>
    <row r="1776" spans="4:6" x14ac:dyDescent="0.2">
      <c r="D1776" s="18">
        <f t="shared" ca="1" si="57"/>
        <v>33.232032854209443</v>
      </c>
      <c r="E1776" s="33">
        <f t="shared" ca="1" si="58"/>
        <v>54123</v>
      </c>
      <c r="F1776" s="47">
        <v>2.7429653930939391</v>
      </c>
    </row>
    <row r="1777" spans="4:6" x14ac:dyDescent="0.2">
      <c r="D1777" s="18">
        <f t="shared" ca="1" si="57"/>
        <v>33.251197809719372</v>
      </c>
      <c r="E1777" s="33">
        <f t="shared" ca="1" si="58"/>
        <v>54130</v>
      </c>
      <c r="F1777" s="47">
        <v>2.7427347789675816</v>
      </c>
    </row>
    <row r="1778" spans="4:6" x14ac:dyDescent="0.2">
      <c r="D1778" s="18">
        <f t="shared" ca="1" si="57"/>
        <v>33.270362765229294</v>
      </c>
      <c r="E1778" s="33">
        <f t="shared" ca="1" si="58"/>
        <v>54137</v>
      </c>
      <c r="F1778" s="47">
        <v>2.7425031519669192</v>
      </c>
    </row>
    <row r="1779" spans="4:6" x14ac:dyDescent="0.2">
      <c r="D1779" s="18">
        <f t="shared" ca="1" si="57"/>
        <v>33.289527720739223</v>
      </c>
      <c r="E1779" s="33">
        <f t="shared" ca="1" si="58"/>
        <v>54144</v>
      </c>
      <c r="F1779" s="47">
        <v>2.7422705175927815</v>
      </c>
    </row>
    <row r="1780" spans="4:6" x14ac:dyDescent="0.2">
      <c r="D1780" s="18">
        <f t="shared" ca="1" si="57"/>
        <v>33.308692676249144</v>
      </c>
      <c r="E1780" s="33">
        <f t="shared" ca="1" si="58"/>
        <v>54151</v>
      </c>
      <c r="F1780" s="47">
        <v>2.7420368814217593</v>
      </c>
    </row>
    <row r="1781" spans="4:6" x14ac:dyDescent="0.2">
      <c r="D1781" s="18">
        <f t="shared" ca="1" si="57"/>
        <v>33.327857631759066</v>
      </c>
      <c r="E1781" s="33">
        <f t="shared" ca="1" si="58"/>
        <v>54158</v>
      </c>
      <c r="F1781" s="47">
        <v>2.7418022491059966</v>
      </c>
    </row>
    <row r="1782" spans="4:6" x14ac:dyDescent="0.2">
      <c r="D1782" s="18">
        <f t="shared" ca="1" si="57"/>
        <v>33.347022587268995</v>
      </c>
      <c r="E1782" s="33">
        <f t="shared" ca="1" si="58"/>
        <v>54165</v>
      </c>
      <c r="F1782" s="47">
        <v>2.741566626372979</v>
      </c>
    </row>
    <row r="1783" spans="4:6" x14ac:dyDescent="0.2">
      <c r="D1783" s="18">
        <f t="shared" ca="1" si="57"/>
        <v>33.366187542778917</v>
      </c>
      <c r="E1783" s="33">
        <f t="shared" ca="1" si="58"/>
        <v>54172</v>
      </c>
      <c r="F1783" s="47">
        <v>2.7413300190252978</v>
      </c>
    </row>
    <row r="1784" spans="4:6" x14ac:dyDescent="0.2">
      <c r="D1784" s="18">
        <f t="shared" ca="1" si="57"/>
        <v>33.385352498288846</v>
      </c>
      <c r="E1784" s="33">
        <f t="shared" ca="1" si="58"/>
        <v>54179</v>
      </c>
      <c r="F1784" s="47">
        <v>2.7410924329404156</v>
      </c>
    </row>
    <row r="1785" spans="4:6" x14ac:dyDescent="0.2">
      <c r="D1785" s="18">
        <f t="shared" ca="1" si="57"/>
        <v>33.404517453798768</v>
      </c>
      <c r="E1785" s="33">
        <f t="shared" ca="1" si="58"/>
        <v>54186</v>
      </c>
      <c r="F1785" s="47">
        <v>2.7408538740704103</v>
      </c>
    </row>
    <row r="1786" spans="4:6" x14ac:dyDescent="0.2">
      <c r="D1786" s="18">
        <f t="shared" ca="1" si="57"/>
        <v>33.42368240930869</v>
      </c>
      <c r="E1786" s="33">
        <f t="shared" ca="1" si="58"/>
        <v>54193</v>
      </c>
      <c r="F1786" s="47">
        <v>2.740614348441706</v>
      </c>
    </row>
    <row r="1787" spans="4:6" x14ac:dyDescent="0.2">
      <c r="D1787" s="18">
        <f t="shared" ca="1" si="57"/>
        <v>33.442847364818618</v>
      </c>
      <c r="E1787" s="33">
        <f t="shared" ca="1" si="58"/>
        <v>54200</v>
      </c>
      <c r="F1787" s="47">
        <v>2.7403738621548084</v>
      </c>
    </row>
    <row r="1788" spans="4:6" x14ac:dyDescent="0.2">
      <c r="D1788" s="18">
        <f t="shared" ca="1" si="57"/>
        <v>33.46201232032854</v>
      </c>
      <c r="E1788" s="33">
        <f t="shared" ca="1" si="58"/>
        <v>54207</v>
      </c>
      <c r="F1788" s="47">
        <v>2.740132421384005</v>
      </c>
    </row>
    <row r="1789" spans="4:6" x14ac:dyDescent="0.2">
      <c r="D1789" s="18">
        <f t="shared" ca="1" si="57"/>
        <v>33.481177275838469</v>
      </c>
      <c r="E1789" s="33">
        <f t="shared" ca="1" si="58"/>
        <v>54214</v>
      </c>
      <c r="F1789" s="47">
        <v>2.7398900323770738</v>
      </c>
    </row>
    <row r="1790" spans="4:6" x14ac:dyDescent="0.2">
      <c r="D1790" s="18">
        <f t="shared" ca="1" si="57"/>
        <v>33.500342231348391</v>
      </c>
      <c r="E1790" s="33">
        <f t="shared" ca="1" si="58"/>
        <v>54221</v>
      </c>
      <c r="F1790" s="47">
        <v>2.7396467014549617</v>
      </c>
    </row>
    <row r="1791" spans="4:6" x14ac:dyDescent="0.2">
      <c r="D1791" s="18">
        <f t="shared" ca="1" si="57"/>
        <v>33.519507186858313</v>
      </c>
      <c r="E1791" s="33">
        <f t="shared" ca="1" si="58"/>
        <v>54228</v>
      </c>
      <c r="F1791" s="47">
        <v>2.7394024350114692</v>
      </c>
    </row>
    <row r="1792" spans="4:6" x14ac:dyDescent="0.2">
      <c r="D1792" s="18">
        <f t="shared" ca="1" si="57"/>
        <v>33.538672142368242</v>
      </c>
      <c r="E1792" s="33">
        <f t="shared" ca="1" si="58"/>
        <v>54235</v>
      </c>
      <c r="F1792" s="47">
        <v>2.7391572395129127</v>
      </c>
    </row>
    <row r="1793" spans="4:6" x14ac:dyDescent="0.2">
      <c r="D1793" s="18">
        <f t="shared" ca="1" si="57"/>
        <v>33.557837097878163</v>
      </c>
      <c r="E1793" s="33">
        <f t="shared" ca="1" si="58"/>
        <v>54242</v>
      </c>
      <c r="F1793" s="47">
        <v>2.7389111214977735</v>
      </c>
    </row>
    <row r="1794" spans="4:6" x14ac:dyDescent="0.2">
      <c r="D1794" s="18">
        <f t="shared" ca="1" si="57"/>
        <v>33.577002053388092</v>
      </c>
      <c r="E1794" s="33">
        <f t="shared" ca="1" si="58"/>
        <v>54249</v>
      </c>
      <c r="F1794" s="47">
        <v>2.7386640875763408</v>
      </c>
    </row>
    <row r="1795" spans="4:6" x14ac:dyDescent="0.2">
      <c r="D1795" s="18">
        <f t="shared" ca="1" si="57"/>
        <v>33.596167008898014</v>
      </c>
      <c r="E1795" s="33">
        <f t="shared" ca="1" si="58"/>
        <v>54256</v>
      </c>
      <c r="F1795" s="47">
        <v>2.7384161444303432</v>
      </c>
    </row>
    <row r="1796" spans="4:6" x14ac:dyDescent="0.2">
      <c r="D1796" s="18">
        <f t="shared" ca="1" si="57"/>
        <v>33.615331964407943</v>
      </c>
      <c r="E1796" s="33">
        <f t="shared" ca="1" si="58"/>
        <v>54263</v>
      </c>
      <c r="F1796" s="47">
        <v>2.7381672988125572</v>
      </c>
    </row>
    <row r="1797" spans="4:6" x14ac:dyDescent="0.2">
      <c r="D1797" s="18">
        <f t="shared" ca="1" si="57"/>
        <v>33.634496919917865</v>
      </c>
      <c r="E1797" s="33">
        <f t="shared" ca="1" si="58"/>
        <v>54270</v>
      </c>
      <c r="F1797" s="47">
        <v>2.7379175575464227</v>
      </c>
    </row>
    <row r="1798" spans="4:6" x14ac:dyDescent="0.2">
      <c r="D1798" s="18">
        <f t="shared" ca="1" si="57"/>
        <v>33.653661875427787</v>
      </c>
      <c r="E1798" s="33">
        <f t="shared" ca="1" si="58"/>
        <v>54277</v>
      </c>
      <c r="F1798" s="47">
        <v>2.7376669275256273</v>
      </c>
    </row>
    <row r="1799" spans="4:6" x14ac:dyDescent="0.2">
      <c r="D1799" s="18">
        <f t="shared" ca="1" si="57"/>
        <v>33.672826830937716</v>
      </c>
      <c r="E1799" s="33">
        <f t="shared" ca="1" si="58"/>
        <v>54284</v>
      </c>
      <c r="F1799" s="47">
        <v>2.7374154157136963</v>
      </c>
    </row>
    <row r="1800" spans="4:6" x14ac:dyDescent="0.2">
      <c r="D1800" s="18">
        <f t="shared" ca="1" si="57"/>
        <v>33.691991786447637</v>
      </c>
      <c r="E1800" s="33">
        <f t="shared" ca="1" si="58"/>
        <v>54291</v>
      </c>
      <c r="F1800" s="47">
        <v>2.7371630291435514</v>
      </c>
    </row>
    <row r="1801" spans="4:6" x14ac:dyDescent="0.2">
      <c r="D1801" s="18">
        <f t="shared" ca="1" si="57"/>
        <v>33.711156741957566</v>
      </c>
      <c r="E1801" s="33">
        <f t="shared" ca="1" si="58"/>
        <v>54298</v>
      </c>
      <c r="F1801" s="47">
        <v>2.7369097749170805</v>
      </c>
    </row>
    <row r="1802" spans="4:6" x14ac:dyDescent="0.2">
      <c r="D1802" s="18">
        <f t="shared" ca="1" si="57"/>
        <v>33.730321697467488</v>
      </c>
      <c r="E1802" s="33">
        <f t="shared" ca="1" si="58"/>
        <v>54305</v>
      </c>
      <c r="F1802" s="47">
        <v>2.7366556602046765</v>
      </c>
    </row>
    <row r="1803" spans="4:6" x14ac:dyDescent="0.2">
      <c r="D1803" s="18">
        <f t="shared" ca="1" si="57"/>
        <v>33.74948665297741</v>
      </c>
      <c r="E1803" s="33">
        <f t="shared" ca="1" si="58"/>
        <v>54312</v>
      </c>
      <c r="F1803" s="47">
        <v>2.7364006922447737</v>
      </c>
    </row>
    <row r="1804" spans="4:6" x14ac:dyDescent="0.2">
      <c r="D1804" s="18">
        <f t="shared" ca="1" si="57"/>
        <v>33.768651608487339</v>
      </c>
      <c r="E1804" s="33">
        <f t="shared" ca="1" si="58"/>
        <v>54319</v>
      </c>
      <c r="F1804" s="47">
        <v>2.7361448783433704</v>
      </c>
    </row>
    <row r="1805" spans="4:6" x14ac:dyDescent="0.2">
      <c r="D1805" s="18">
        <f t="shared" ca="1" si="57"/>
        <v>33.787816563997261</v>
      </c>
      <c r="E1805" s="33">
        <f t="shared" ca="1" si="58"/>
        <v>54326</v>
      </c>
      <c r="F1805" s="47">
        <v>2.7358882258735449</v>
      </c>
    </row>
    <row r="1806" spans="4:6" x14ac:dyDescent="0.2">
      <c r="D1806" s="18">
        <f t="shared" ca="1" si="57"/>
        <v>33.80698151950719</v>
      </c>
      <c r="E1806" s="33">
        <f t="shared" ca="1" si="58"/>
        <v>54333</v>
      </c>
      <c r="F1806" s="47">
        <v>2.7356307422749491</v>
      </c>
    </row>
    <row r="1807" spans="4:6" x14ac:dyDescent="0.2">
      <c r="D1807" s="18">
        <f t="shared" ca="1" si="57"/>
        <v>33.826146475017111</v>
      </c>
      <c r="E1807" s="33">
        <f t="shared" ca="1" si="58"/>
        <v>54340</v>
      </c>
      <c r="F1807" s="47">
        <v>2.7353724350532995</v>
      </c>
    </row>
    <row r="1808" spans="4:6" x14ac:dyDescent="0.2">
      <c r="D1808" s="18">
        <f t="shared" ca="1" si="57"/>
        <v>33.845311430527033</v>
      </c>
      <c r="E1808" s="33">
        <f t="shared" ca="1" si="58"/>
        <v>54347</v>
      </c>
      <c r="F1808" s="47">
        <v>2.7351133117798567</v>
      </c>
    </row>
    <row r="1809" spans="4:6" x14ac:dyDescent="0.2">
      <c r="D1809" s="18">
        <f t="shared" ca="1" si="57"/>
        <v>33.864476386036962</v>
      </c>
      <c r="E1809" s="33">
        <f t="shared" ca="1" si="58"/>
        <v>54354</v>
      </c>
      <c r="F1809" s="47">
        <v>2.7348533800908887</v>
      </c>
    </row>
    <row r="1810" spans="4:6" x14ac:dyDescent="0.2">
      <c r="D1810" s="18">
        <f t="shared" ca="1" si="57"/>
        <v>33.883641341546884</v>
      </c>
      <c r="E1810" s="33">
        <f t="shared" ca="1" si="58"/>
        <v>54361</v>
      </c>
      <c r="F1810" s="47">
        <v>2.7345926476871258</v>
      </c>
    </row>
    <row r="1811" spans="4:6" x14ac:dyDescent="0.2">
      <c r="D1811" s="18">
        <f t="shared" ca="1" si="57"/>
        <v>33.902806297056813</v>
      </c>
      <c r="E1811" s="33">
        <f t="shared" ca="1" si="58"/>
        <v>54368</v>
      </c>
      <c r="F1811" s="47">
        <v>2.7343311223332032</v>
      </c>
    </row>
    <row r="1812" spans="4:6" x14ac:dyDescent="0.2">
      <c r="D1812" s="18">
        <f t="shared" ca="1" si="57"/>
        <v>33.921971252566735</v>
      </c>
      <c r="E1812" s="33">
        <f t="shared" ca="1" si="58"/>
        <v>54375</v>
      </c>
      <c r="F1812" s="47">
        <v>2.7340688118570946</v>
      </c>
    </row>
    <row r="1813" spans="4:6" x14ac:dyDescent="0.2">
      <c r="D1813" s="18">
        <f t="shared" ca="1" si="57"/>
        <v>33.941136208076657</v>
      </c>
      <c r="E1813" s="33">
        <f t="shared" ca="1" si="58"/>
        <v>54382</v>
      </c>
      <c r="F1813" s="47">
        <v>2.7338057241495348</v>
      </c>
    </row>
    <row r="1814" spans="4:6" x14ac:dyDescent="0.2">
      <c r="D1814" s="18">
        <f t="shared" ca="1" si="57"/>
        <v>33.960301163586585</v>
      </c>
      <c r="E1814" s="33">
        <f t="shared" ca="1" si="58"/>
        <v>54389</v>
      </c>
      <c r="F1814" s="47">
        <v>2.733541867163424</v>
      </c>
    </row>
    <row r="1815" spans="4:6" x14ac:dyDescent="0.2">
      <c r="D1815" s="18">
        <f t="shared" ca="1" si="57"/>
        <v>33.979466119096507</v>
      </c>
      <c r="E1815" s="33">
        <f t="shared" ca="1" si="58"/>
        <v>54396</v>
      </c>
      <c r="F1815" s="47">
        <v>2.7332772489132351</v>
      </c>
    </row>
    <row r="1816" spans="4:6" x14ac:dyDescent="0.2">
      <c r="D1816" s="18">
        <f t="shared" ca="1" si="57"/>
        <v>33.998631074606436</v>
      </c>
      <c r="E1816" s="33">
        <f t="shared" ca="1" si="58"/>
        <v>54403</v>
      </c>
      <c r="F1816" s="47">
        <v>2.733011877474393</v>
      </c>
    </row>
    <row r="1817" spans="4:6" x14ac:dyDescent="0.2">
      <c r="D1817" s="18">
        <f t="shared" ca="1" si="57"/>
        <v>34.017796030116358</v>
      </c>
      <c r="E1817" s="33">
        <f t="shared" ca="1" si="58"/>
        <v>54410</v>
      </c>
      <c r="F1817" s="47">
        <v>2.7327457609826595</v>
      </c>
    </row>
    <row r="1818" spans="4:6" x14ac:dyDescent="0.2">
      <c r="D1818" s="18">
        <f t="shared" ca="1" si="57"/>
        <v>34.036960985626287</v>
      </c>
      <c r="E1818" s="33">
        <f t="shared" ca="1" si="58"/>
        <v>54417</v>
      </c>
      <c r="F1818" s="47">
        <v>2.7324789076334972</v>
      </c>
    </row>
    <row r="1819" spans="4:6" x14ac:dyDescent="0.2">
      <c r="D1819" s="18">
        <f t="shared" ca="1" si="57"/>
        <v>34.056125941136209</v>
      </c>
      <c r="E1819" s="33">
        <f t="shared" ca="1" si="58"/>
        <v>54424</v>
      </c>
      <c r="F1819" s="47">
        <v>2.7322113256814249</v>
      </c>
    </row>
    <row r="1820" spans="4:6" x14ac:dyDescent="0.2">
      <c r="D1820" s="18">
        <f t="shared" ca="1" si="57"/>
        <v>34.075290896646131</v>
      </c>
      <c r="E1820" s="33">
        <f t="shared" ca="1" si="58"/>
        <v>54431</v>
      </c>
      <c r="F1820" s="47">
        <v>2.7319430234393631</v>
      </c>
    </row>
    <row r="1821" spans="4:6" x14ac:dyDescent="0.2">
      <c r="D1821" s="18">
        <f t="shared" ca="1" si="57"/>
        <v>34.094455852156059</v>
      </c>
      <c r="E1821" s="33">
        <f t="shared" ca="1" si="58"/>
        <v>54438</v>
      </c>
      <c r="F1821" s="47">
        <v>2.7316740092779739</v>
      </c>
    </row>
    <row r="1822" spans="4:6" x14ac:dyDescent="0.2">
      <c r="D1822" s="18">
        <f t="shared" ca="1" si="57"/>
        <v>34.113620807665981</v>
      </c>
      <c r="E1822" s="33">
        <f t="shared" ca="1" si="58"/>
        <v>54445</v>
      </c>
      <c r="F1822" s="47">
        <v>2.7314042916249792</v>
      </c>
    </row>
    <row r="1823" spans="4:6" x14ac:dyDescent="0.2">
      <c r="D1823" s="18">
        <f t="shared" ca="1" si="57"/>
        <v>34.13278576317591</v>
      </c>
      <c r="E1823" s="33">
        <f t="shared" ca="1" si="58"/>
        <v>54452</v>
      </c>
      <c r="F1823" s="47">
        <v>2.7311338789644823</v>
      </c>
    </row>
    <row r="1824" spans="4:6" x14ac:dyDescent="0.2">
      <c r="D1824" s="18">
        <f t="shared" ca="1" si="57"/>
        <v>34.151950718685832</v>
      </c>
      <c r="E1824" s="33">
        <f t="shared" ca="1" si="58"/>
        <v>54459</v>
      </c>
      <c r="F1824" s="47">
        <v>2.730862779836265</v>
      </c>
    </row>
    <row r="1825" spans="4:6" x14ac:dyDescent="0.2">
      <c r="D1825" s="18">
        <f t="shared" ca="1" si="57"/>
        <v>34.171115674195754</v>
      </c>
      <c r="E1825" s="33">
        <f t="shared" ca="1" si="58"/>
        <v>54466</v>
      </c>
      <c r="F1825" s="47">
        <v>2.7305910028350917</v>
      </c>
    </row>
    <row r="1826" spans="4:6" x14ac:dyDescent="0.2">
      <c r="D1826" s="18">
        <f t="shared" ca="1" si="57"/>
        <v>34.190280629705683</v>
      </c>
      <c r="E1826" s="33">
        <f t="shared" ca="1" si="58"/>
        <v>54473</v>
      </c>
      <c r="F1826" s="47">
        <v>2.7303185566099852</v>
      </c>
    </row>
    <row r="1827" spans="4:6" x14ac:dyDescent="0.2">
      <c r="D1827" s="18">
        <f t="shared" ca="1" si="57"/>
        <v>34.209445585215605</v>
      </c>
      <c r="E1827" s="33">
        <f t="shared" ca="1" si="58"/>
        <v>54480</v>
      </c>
      <c r="F1827" s="47">
        <v>2.7300454498635087</v>
      </c>
    </row>
    <row r="1828" spans="4:6" x14ac:dyDescent="0.2">
      <c r="D1828" s="18">
        <f t="shared" ca="1" si="57"/>
        <v>34.228610540725533</v>
      </c>
      <c r="E1828" s="33">
        <f t="shared" ca="1" si="58"/>
        <v>54487</v>
      </c>
      <c r="F1828" s="47">
        <v>2.729771691351027</v>
      </c>
    </row>
    <row r="1829" spans="4:6" x14ac:dyDescent="0.2">
      <c r="D1829" s="18">
        <f t="shared" ca="1" si="57"/>
        <v>34.247775496235455</v>
      </c>
      <c r="E1829" s="33">
        <f t="shared" ca="1" si="58"/>
        <v>54494</v>
      </c>
      <c r="F1829" s="47">
        <v>2.7294972898799665</v>
      </c>
    </row>
    <row r="1830" spans="4:6" x14ac:dyDescent="0.2">
      <c r="D1830" s="18">
        <f t="shared" ca="1" si="57"/>
        <v>34.266940451745377</v>
      </c>
      <c r="E1830" s="33">
        <f t="shared" ca="1" si="58"/>
        <v>54501</v>
      </c>
      <c r="F1830" s="47">
        <v>2.7292222543090565</v>
      </c>
    </row>
    <row r="1831" spans="4:6" x14ac:dyDescent="0.2">
      <c r="D1831" s="18">
        <f t="shared" ca="1" si="57"/>
        <v>34.286105407255306</v>
      </c>
      <c r="E1831" s="33">
        <f t="shared" ca="1" si="58"/>
        <v>54508</v>
      </c>
      <c r="F1831" s="47">
        <v>2.7289465935475725</v>
      </c>
    </row>
    <row r="1832" spans="4:6" x14ac:dyDescent="0.2">
      <c r="D1832" s="18">
        <f t="shared" ca="1" si="57"/>
        <v>34.305270362765228</v>
      </c>
      <c r="E1832" s="33">
        <f t="shared" ca="1" si="58"/>
        <v>54515</v>
      </c>
      <c r="F1832" s="47">
        <v>2.7286703165545587</v>
      </c>
    </row>
    <row r="1833" spans="4:6" x14ac:dyDescent="0.2">
      <c r="D1833" s="18">
        <f t="shared" ca="1" si="57"/>
        <v>34.324435318275157</v>
      </c>
      <c r="E1833" s="33">
        <f t="shared" ca="1" si="58"/>
        <v>54522</v>
      </c>
      <c r="F1833" s="47">
        <v>2.728393432338053</v>
      </c>
    </row>
    <row r="1834" spans="4:6" x14ac:dyDescent="0.2">
      <c r="D1834" s="18">
        <f t="shared" ref="D1834:D1897" ca="1" si="59">(E1834-$E$42)/365.25</f>
        <v>34.343600273785079</v>
      </c>
      <c r="E1834" s="33">
        <f t="shared" ca="1" si="58"/>
        <v>54529</v>
      </c>
      <c r="F1834" s="47">
        <v>2.7281159499542929</v>
      </c>
    </row>
    <row r="1835" spans="4:6" x14ac:dyDescent="0.2">
      <c r="D1835" s="18">
        <f t="shared" ca="1" si="59"/>
        <v>34.362765229295</v>
      </c>
      <c r="E1835" s="33">
        <f t="shared" ref="E1835:E1898" ca="1" si="60">E1834+7</f>
        <v>54536</v>
      </c>
      <c r="F1835" s="47">
        <v>2.7278378785069179</v>
      </c>
    </row>
    <row r="1836" spans="4:6" x14ac:dyDescent="0.2">
      <c r="D1836" s="18">
        <f t="shared" ca="1" si="59"/>
        <v>34.381930184804929</v>
      </c>
      <c r="E1836" s="33">
        <f t="shared" ca="1" si="60"/>
        <v>54543</v>
      </c>
      <c r="F1836" s="47">
        <v>2.7275592271461671</v>
      </c>
    </row>
    <row r="1837" spans="4:6" x14ac:dyDescent="0.2">
      <c r="D1837" s="18">
        <f t="shared" ca="1" si="59"/>
        <v>34.401095140314851</v>
      </c>
      <c r="E1837" s="33">
        <f t="shared" ca="1" si="60"/>
        <v>54550</v>
      </c>
      <c r="F1837" s="47">
        <v>2.727280005068057</v>
      </c>
    </row>
    <row r="1838" spans="4:6" x14ac:dyDescent="0.2">
      <c r="D1838" s="18">
        <f t="shared" ca="1" si="59"/>
        <v>34.42026009582478</v>
      </c>
      <c r="E1838" s="33">
        <f t="shared" ca="1" si="60"/>
        <v>54557</v>
      </c>
      <c r="F1838" s="47">
        <v>2.7270002215135629</v>
      </c>
    </row>
    <row r="1839" spans="4:6" x14ac:dyDescent="0.2">
      <c r="D1839" s="18">
        <f t="shared" ca="1" si="59"/>
        <v>34.439425051334702</v>
      </c>
      <c r="E1839" s="33">
        <f t="shared" ca="1" si="60"/>
        <v>54564</v>
      </c>
      <c r="F1839" s="47">
        <v>2.7267198857677846</v>
      </c>
    </row>
    <row r="1840" spans="4:6" x14ac:dyDescent="0.2">
      <c r="D1840" s="18">
        <f t="shared" ca="1" si="59"/>
        <v>34.458590006844624</v>
      </c>
      <c r="E1840" s="33">
        <f t="shared" ca="1" si="60"/>
        <v>54571</v>
      </c>
      <c r="F1840" s="47">
        <v>2.726439007159108</v>
      </c>
    </row>
    <row r="1841" spans="4:6" x14ac:dyDescent="0.2">
      <c r="D1841" s="18">
        <f t="shared" ca="1" si="59"/>
        <v>34.477754962354553</v>
      </c>
      <c r="E1841" s="33">
        <f t="shared" ca="1" si="60"/>
        <v>54578</v>
      </c>
      <c r="F1841" s="47">
        <v>2.7261575950583574</v>
      </c>
    </row>
    <row r="1842" spans="4:6" x14ac:dyDescent="0.2">
      <c r="D1842" s="18">
        <f t="shared" ca="1" si="59"/>
        <v>34.496919917864474</v>
      </c>
      <c r="E1842" s="33">
        <f t="shared" ca="1" si="60"/>
        <v>54585</v>
      </c>
      <c r="F1842" s="47">
        <v>2.7258756588779414</v>
      </c>
    </row>
    <row r="1843" spans="4:6" x14ac:dyDescent="0.2">
      <c r="D1843" s="18">
        <f t="shared" ca="1" si="59"/>
        <v>34.516084873374403</v>
      </c>
      <c r="E1843" s="33">
        <f t="shared" ca="1" si="60"/>
        <v>54592</v>
      </c>
      <c r="F1843" s="47">
        <v>2.7255932080709866</v>
      </c>
    </row>
    <row r="1844" spans="4:6" x14ac:dyDescent="0.2">
      <c r="D1844" s="18">
        <f t="shared" ca="1" si="59"/>
        <v>34.535249828884325</v>
      </c>
      <c r="E1844" s="33">
        <f t="shared" ca="1" si="60"/>
        <v>54599</v>
      </c>
      <c r="F1844" s="47">
        <v>2.7253102521304711</v>
      </c>
    </row>
    <row r="1845" spans="4:6" x14ac:dyDescent="0.2">
      <c r="D1845" s="18">
        <f t="shared" ca="1" si="59"/>
        <v>34.554414784394254</v>
      </c>
      <c r="E1845" s="33">
        <f t="shared" ca="1" si="60"/>
        <v>54606</v>
      </c>
      <c r="F1845" s="47">
        <v>2.725026800588346</v>
      </c>
    </row>
    <row r="1846" spans="4:6" x14ac:dyDescent="0.2">
      <c r="D1846" s="18">
        <f t="shared" ca="1" si="59"/>
        <v>34.573579739904176</v>
      </c>
      <c r="E1846" s="33">
        <f t="shared" ca="1" si="60"/>
        <v>54613</v>
      </c>
      <c r="F1846" s="47">
        <v>2.7247428630146504</v>
      </c>
    </row>
    <row r="1847" spans="4:6" x14ac:dyDescent="0.2">
      <c r="D1847" s="18">
        <f t="shared" ca="1" si="59"/>
        <v>34.592744695414098</v>
      </c>
      <c r="E1847" s="33">
        <f t="shared" ca="1" si="60"/>
        <v>54620</v>
      </c>
      <c r="F1847" s="47">
        <v>2.7244584490166233</v>
      </c>
    </row>
    <row r="1848" spans="4:6" x14ac:dyDescent="0.2">
      <c r="D1848" s="18">
        <f t="shared" ca="1" si="59"/>
        <v>34.611909650924026</v>
      </c>
      <c r="E1848" s="33">
        <f t="shared" ca="1" si="60"/>
        <v>54627</v>
      </c>
      <c r="F1848" s="47">
        <v>2.7241735682378008</v>
      </c>
    </row>
    <row r="1849" spans="4:6" x14ac:dyDescent="0.2">
      <c r="D1849" s="18">
        <f t="shared" ca="1" si="59"/>
        <v>34.631074606433948</v>
      </c>
      <c r="E1849" s="33">
        <f t="shared" ca="1" si="60"/>
        <v>54634</v>
      </c>
      <c r="F1849" s="47">
        <v>2.7238882303571184</v>
      </c>
    </row>
    <row r="1850" spans="4:6" x14ac:dyDescent="0.2">
      <c r="D1850" s="18">
        <f t="shared" ca="1" si="59"/>
        <v>34.650239561943877</v>
      </c>
      <c r="E1850" s="33">
        <f t="shared" ca="1" si="60"/>
        <v>54641</v>
      </c>
      <c r="F1850" s="47">
        <v>2.7236024450879932</v>
      </c>
    </row>
    <row r="1851" spans="4:6" x14ac:dyDescent="0.2">
      <c r="D1851" s="18">
        <f t="shared" ca="1" si="59"/>
        <v>34.669404517453799</v>
      </c>
      <c r="E1851" s="33">
        <f t="shared" ca="1" si="60"/>
        <v>54648</v>
      </c>
      <c r="F1851" s="47">
        <v>2.7233162221774134</v>
      </c>
    </row>
    <row r="1852" spans="4:6" x14ac:dyDescent="0.2">
      <c r="D1852" s="18">
        <f t="shared" ca="1" si="59"/>
        <v>34.688569472963721</v>
      </c>
      <c r="E1852" s="33">
        <f t="shared" ca="1" si="60"/>
        <v>54655</v>
      </c>
      <c r="F1852" s="47">
        <v>2.7230295714050117</v>
      </c>
    </row>
    <row r="1853" spans="4:6" x14ac:dyDescent="0.2">
      <c r="D1853" s="18">
        <f t="shared" ca="1" si="59"/>
        <v>34.70773442847365</v>
      </c>
      <c r="E1853" s="33">
        <f t="shared" ca="1" si="60"/>
        <v>54662</v>
      </c>
      <c r="F1853" s="47">
        <v>2.7227425025821388</v>
      </c>
    </row>
    <row r="1854" spans="4:6" x14ac:dyDescent="0.2">
      <c r="D1854" s="18">
        <f t="shared" ca="1" si="59"/>
        <v>34.726899383983572</v>
      </c>
      <c r="E1854" s="33">
        <f t="shared" ca="1" si="60"/>
        <v>54669</v>
      </c>
      <c r="F1854" s="47">
        <v>2.722455025550929</v>
      </c>
    </row>
    <row r="1855" spans="4:6" x14ac:dyDescent="0.2">
      <c r="D1855" s="18">
        <f t="shared" ca="1" si="59"/>
        <v>34.7460643394935</v>
      </c>
      <c r="E1855" s="33">
        <f t="shared" ca="1" si="60"/>
        <v>54676</v>
      </c>
      <c r="F1855" s="47">
        <v>2.7221671501833602</v>
      </c>
    </row>
    <row r="1856" spans="4:6" x14ac:dyDescent="0.2">
      <c r="D1856" s="18">
        <f t="shared" ca="1" si="59"/>
        <v>34.765229295003422</v>
      </c>
      <c r="E1856" s="33">
        <f t="shared" ca="1" si="60"/>
        <v>54683</v>
      </c>
      <c r="F1856" s="47">
        <v>2.7218788863803089</v>
      </c>
    </row>
    <row r="1857" spans="4:6" x14ac:dyDescent="0.2">
      <c r="D1857" s="18">
        <f t="shared" ca="1" si="59"/>
        <v>34.784394250513344</v>
      </c>
      <c r="E1857" s="33">
        <f t="shared" ca="1" si="60"/>
        <v>54690</v>
      </c>
      <c r="F1857" s="47">
        <v>2.7215902440706037</v>
      </c>
    </row>
    <row r="1858" spans="4:6" x14ac:dyDescent="0.2">
      <c r="D1858" s="18">
        <f t="shared" ca="1" si="59"/>
        <v>34.803559206023273</v>
      </c>
      <c r="E1858" s="33">
        <f t="shared" ca="1" si="60"/>
        <v>54697</v>
      </c>
      <c r="F1858" s="47">
        <v>2.7213012332100659</v>
      </c>
    </row>
    <row r="1859" spans="4:6" x14ac:dyDescent="0.2">
      <c r="D1859" s="18">
        <f t="shared" ca="1" si="59"/>
        <v>34.822724161533195</v>
      </c>
      <c r="E1859" s="33">
        <f t="shared" ca="1" si="60"/>
        <v>54704</v>
      </c>
      <c r="F1859" s="47">
        <v>2.721011863780554</v>
      </c>
    </row>
    <row r="1860" spans="4:6" x14ac:dyDescent="0.2">
      <c r="D1860" s="18">
        <f t="shared" ca="1" si="59"/>
        <v>34.841889117043124</v>
      </c>
      <c r="E1860" s="33">
        <f t="shared" ca="1" si="60"/>
        <v>54711</v>
      </c>
      <c r="F1860" s="47">
        <v>2.7207221457889976</v>
      </c>
    </row>
    <row r="1861" spans="4:6" x14ac:dyDescent="0.2">
      <c r="D1861" s="18">
        <f t="shared" ca="1" si="59"/>
        <v>34.861054072553046</v>
      </c>
      <c r="E1861" s="33">
        <f t="shared" ca="1" si="60"/>
        <v>54718</v>
      </c>
      <c r="F1861" s="47">
        <v>2.7204320892664313</v>
      </c>
    </row>
    <row r="1862" spans="4:6" x14ac:dyDescent="0.2">
      <c r="D1862" s="18">
        <f t="shared" ca="1" si="59"/>
        <v>34.880219028062967</v>
      </c>
      <c r="E1862" s="33">
        <f t="shared" ca="1" si="60"/>
        <v>54725</v>
      </c>
      <c r="F1862" s="47">
        <v>2.7201417042670224</v>
      </c>
    </row>
    <row r="1863" spans="4:6" x14ac:dyDescent="0.2">
      <c r="D1863" s="18">
        <f t="shared" ca="1" si="59"/>
        <v>34.899383983572896</v>
      </c>
      <c r="E1863" s="33">
        <f t="shared" ca="1" si="60"/>
        <v>54732</v>
      </c>
      <c r="F1863" s="47">
        <v>2.7198510008670946</v>
      </c>
    </row>
    <row r="1864" spans="4:6" x14ac:dyDescent="0.2">
      <c r="D1864" s="18">
        <f t="shared" ca="1" si="59"/>
        <v>34.918548939082818</v>
      </c>
      <c r="E1864" s="33">
        <f t="shared" ca="1" si="60"/>
        <v>54739</v>
      </c>
      <c r="F1864" s="47">
        <v>2.7195599891641473</v>
      </c>
    </row>
    <row r="1865" spans="4:6" x14ac:dyDescent="0.2">
      <c r="D1865" s="18">
        <f t="shared" ca="1" si="59"/>
        <v>34.937713894592747</v>
      </c>
      <c r="E1865" s="33">
        <f t="shared" ca="1" si="60"/>
        <v>54746</v>
      </c>
      <c r="F1865" s="47">
        <v>2.719268679275876</v>
      </c>
    </row>
    <row r="1866" spans="4:6" x14ac:dyDescent="0.2">
      <c r="D1866" s="18">
        <f t="shared" ca="1" si="59"/>
        <v>34.956878850102669</v>
      </c>
      <c r="E1866" s="33">
        <f t="shared" ca="1" si="60"/>
        <v>54753</v>
      </c>
      <c r="F1866" s="47">
        <v>2.7189770813391831</v>
      </c>
    </row>
    <row r="1867" spans="4:6" x14ac:dyDescent="0.2">
      <c r="D1867" s="18">
        <f t="shared" ca="1" si="59"/>
        <v>34.976043805612591</v>
      </c>
      <c r="E1867" s="33">
        <f t="shared" ca="1" si="60"/>
        <v>54760</v>
      </c>
      <c r="F1867" s="47">
        <v>2.7186852055091877</v>
      </c>
    </row>
    <row r="1868" spans="4:6" x14ac:dyDescent="0.2">
      <c r="D1868" s="18">
        <f t="shared" ca="1" si="59"/>
        <v>34.99520876112252</v>
      </c>
      <c r="E1868" s="33">
        <f t="shared" ca="1" si="60"/>
        <v>54767</v>
      </c>
      <c r="F1868" s="47">
        <v>2.7183930619582375</v>
      </c>
    </row>
    <row r="1869" spans="4:6" x14ac:dyDescent="0.2">
      <c r="D1869" s="18">
        <f t="shared" ca="1" si="59"/>
        <v>35.014373716632441</v>
      </c>
      <c r="E1869" s="33">
        <f t="shared" ca="1" si="60"/>
        <v>54774</v>
      </c>
      <c r="F1869" s="47">
        <v>2.7181006608749105</v>
      </c>
    </row>
    <row r="1870" spans="4:6" x14ac:dyDescent="0.2">
      <c r="D1870" s="18">
        <f t="shared" ca="1" si="59"/>
        <v>35.03353867214237</v>
      </c>
      <c r="E1870" s="33">
        <f t="shared" ca="1" si="60"/>
        <v>54781</v>
      </c>
      <c r="F1870" s="47">
        <v>2.7178080124630193</v>
      </c>
    </row>
    <row r="1871" spans="4:6" x14ac:dyDescent="0.2">
      <c r="D1871" s="18">
        <f t="shared" ca="1" si="59"/>
        <v>35.052703627652292</v>
      </c>
      <c r="E1871" s="33">
        <f t="shared" ca="1" si="60"/>
        <v>54788</v>
      </c>
      <c r="F1871" s="47">
        <v>2.7175151269406097</v>
      </c>
    </row>
    <row r="1872" spans="4:6" x14ac:dyDescent="0.2">
      <c r="D1872" s="18">
        <f t="shared" ca="1" si="59"/>
        <v>35.071868583162221</v>
      </c>
      <c r="E1872" s="33">
        <f t="shared" ca="1" si="60"/>
        <v>54795</v>
      </c>
      <c r="F1872" s="47">
        <v>2.7172220145389621</v>
      </c>
    </row>
    <row r="1873" spans="4:6" x14ac:dyDescent="0.2">
      <c r="D1873" s="18">
        <f t="shared" ca="1" si="59"/>
        <v>35.091033538672143</v>
      </c>
      <c r="E1873" s="33">
        <f t="shared" ca="1" si="60"/>
        <v>54802</v>
      </c>
      <c r="F1873" s="47">
        <v>2.7169286855015842</v>
      </c>
    </row>
    <row r="1874" spans="4:6" x14ac:dyDescent="0.2">
      <c r="D1874" s="18">
        <f t="shared" ca="1" si="59"/>
        <v>35.110198494182065</v>
      </c>
      <c r="E1874" s="33">
        <f t="shared" ca="1" si="60"/>
        <v>54809</v>
      </c>
      <c r="F1874" s="47">
        <v>2.7166351500832113</v>
      </c>
    </row>
    <row r="1875" spans="4:6" x14ac:dyDescent="0.2">
      <c r="D1875" s="18">
        <f t="shared" ca="1" si="59"/>
        <v>35.129363449691994</v>
      </c>
      <c r="E1875" s="33">
        <f t="shared" ca="1" si="60"/>
        <v>54816</v>
      </c>
      <c r="F1875" s="47">
        <v>2.7163414185487924</v>
      </c>
    </row>
    <row r="1876" spans="4:6" x14ac:dyDescent="0.2">
      <c r="D1876" s="18">
        <f t="shared" ca="1" si="59"/>
        <v>35.148528405201915</v>
      </c>
      <c r="E1876" s="33">
        <f t="shared" ca="1" si="60"/>
        <v>54823</v>
      </c>
      <c r="F1876" s="47">
        <v>2.7160475011724903</v>
      </c>
    </row>
    <row r="1877" spans="4:6" x14ac:dyDescent="0.2">
      <c r="D1877" s="18">
        <f t="shared" ca="1" si="59"/>
        <v>35.167693360711844</v>
      </c>
      <c r="E1877" s="33">
        <f t="shared" ca="1" si="60"/>
        <v>54830</v>
      </c>
      <c r="F1877" s="47">
        <v>2.7157534082366661</v>
      </c>
    </row>
    <row r="1878" spans="4:6" x14ac:dyDescent="0.2">
      <c r="D1878" s="18">
        <f t="shared" ca="1" si="59"/>
        <v>35.186858316221766</v>
      </c>
      <c r="E1878" s="33">
        <f t="shared" ca="1" si="60"/>
        <v>54837</v>
      </c>
      <c r="F1878" s="47">
        <v>2.7154591500308736</v>
      </c>
    </row>
    <row r="1879" spans="4:6" x14ac:dyDescent="0.2">
      <c r="D1879" s="18">
        <f t="shared" ca="1" si="59"/>
        <v>35.206023271731688</v>
      </c>
      <c r="E1879" s="33">
        <f t="shared" ca="1" si="60"/>
        <v>54844</v>
      </c>
      <c r="F1879" s="47">
        <v>2.7151647368508502</v>
      </c>
    </row>
    <row r="1880" spans="4:6" x14ac:dyDescent="0.2">
      <c r="D1880" s="18">
        <f t="shared" ca="1" si="59"/>
        <v>35.225188227241617</v>
      </c>
      <c r="E1880" s="33">
        <f t="shared" ca="1" si="60"/>
        <v>54851</v>
      </c>
      <c r="F1880" s="47">
        <v>2.7148701789975012</v>
      </c>
    </row>
    <row r="1881" spans="4:6" x14ac:dyDescent="0.2">
      <c r="D1881" s="18">
        <f t="shared" ca="1" si="59"/>
        <v>35.244353182751539</v>
      </c>
      <c r="E1881" s="33">
        <f t="shared" ca="1" si="60"/>
        <v>54858</v>
      </c>
      <c r="F1881" s="47">
        <v>2.7145754867758951</v>
      </c>
    </row>
    <row r="1882" spans="4:6" x14ac:dyDescent="0.2">
      <c r="D1882" s="18">
        <f t="shared" ca="1" si="59"/>
        <v>35.263518138261468</v>
      </c>
      <c r="E1882" s="33">
        <f t="shared" ca="1" si="60"/>
        <v>54865</v>
      </c>
      <c r="F1882" s="47">
        <v>2.7142806704942477</v>
      </c>
    </row>
    <row r="1883" spans="4:6" x14ac:dyDescent="0.2">
      <c r="D1883" s="18">
        <f t="shared" ca="1" si="59"/>
        <v>35.282683093771389</v>
      </c>
      <c r="E1883" s="33">
        <f t="shared" ca="1" si="60"/>
        <v>54872</v>
      </c>
      <c r="F1883" s="47">
        <v>2.7139857404629164</v>
      </c>
    </row>
    <row r="1884" spans="4:6" x14ac:dyDescent="0.2">
      <c r="D1884" s="18">
        <f t="shared" ca="1" si="59"/>
        <v>35.301848049281311</v>
      </c>
      <c r="E1884" s="33">
        <f t="shared" ca="1" si="60"/>
        <v>54879</v>
      </c>
      <c r="F1884" s="47">
        <v>2.7136907069933867</v>
      </c>
    </row>
    <row r="1885" spans="4:6" x14ac:dyDescent="0.2">
      <c r="D1885" s="18">
        <f t="shared" ca="1" si="59"/>
        <v>35.32101300479124</v>
      </c>
      <c r="E1885" s="33">
        <f t="shared" ca="1" si="60"/>
        <v>54886</v>
      </c>
      <c r="F1885" s="47">
        <v>2.7133955803972616</v>
      </c>
    </row>
    <row r="1886" spans="4:6" x14ac:dyDescent="0.2">
      <c r="D1886" s="18">
        <f t="shared" ca="1" si="59"/>
        <v>35.340177960301162</v>
      </c>
      <c r="E1886" s="33">
        <f t="shared" ca="1" si="60"/>
        <v>54893</v>
      </c>
      <c r="F1886" s="47">
        <v>2.7131003709852597</v>
      </c>
    </row>
    <row r="1887" spans="4:6" x14ac:dyDescent="0.2">
      <c r="D1887" s="18">
        <f t="shared" ca="1" si="59"/>
        <v>35.359342915811091</v>
      </c>
      <c r="E1887" s="33">
        <f t="shared" ca="1" si="60"/>
        <v>54900</v>
      </c>
      <c r="F1887" s="47">
        <v>2.712805089066201</v>
      </c>
    </row>
    <row r="1888" spans="4:6" x14ac:dyDescent="0.2">
      <c r="D1888" s="18">
        <f t="shared" ca="1" si="59"/>
        <v>35.378507871321013</v>
      </c>
      <c r="E1888" s="33">
        <f t="shared" ca="1" si="60"/>
        <v>54907</v>
      </c>
      <c r="F1888" s="47">
        <v>2.7125097449460021</v>
      </c>
    </row>
    <row r="1889" spans="4:6" x14ac:dyDescent="0.2">
      <c r="D1889" s="18">
        <f t="shared" ca="1" si="59"/>
        <v>35.397672826830934</v>
      </c>
      <c r="E1889" s="33">
        <f t="shared" ca="1" si="60"/>
        <v>54914</v>
      </c>
      <c r="F1889" s="47">
        <v>2.7122143489266755</v>
      </c>
    </row>
    <row r="1890" spans="4:6" x14ac:dyDescent="0.2">
      <c r="D1890" s="18">
        <f t="shared" ca="1" si="59"/>
        <v>35.416837782340863</v>
      </c>
      <c r="E1890" s="33">
        <f t="shared" ca="1" si="60"/>
        <v>54921</v>
      </c>
      <c r="F1890" s="47">
        <v>2.7119189113053217</v>
      </c>
    </row>
    <row r="1891" spans="4:6" x14ac:dyDescent="0.2">
      <c r="D1891" s="18">
        <f t="shared" ca="1" si="59"/>
        <v>35.436002737850785</v>
      </c>
      <c r="E1891" s="33">
        <f t="shared" ca="1" si="60"/>
        <v>54928</v>
      </c>
      <c r="F1891" s="47">
        <v>2.7116234423731305</v>
      </c>
    </row>
    <row r="1892" spans="4:6" x14ac:dyDescent="0.2">
      <c r="D1892" s="18">
        <f t="shared" ca="1" si="59"/>
        <v>35.455167693360714</v>
      </c>
      <c r="E1892" s="33">
        <f t="shared" ca="1" si="60"/>
        <v>54935</v>
      </c>
      <c r="F1892" s="47">
        <v>2.7113279524143818</v>
      </c>
    </row>
    <row r="1893" spans="4:6" x14ac:dyDescent="0.2">
      <c r="D1893" s="18">
        <f t="shared" ca="1" si="59"/>
        <v>35.474332648870636</v>
      </c>
      <c r="E1893" s="33">
        <f t="shared" ca="1" si="60"/>
        <v>54942</v>
      </c>
      <c r="F1893" s="47">
        <v>2.7110324517054485</v>
      </c>
    </row>
    <row r="1894" spans="4:6" x14ac:dyDescent="0.2">
      <c r="D1894" s="18">
        <f t="shared" ca="1" si="59"/>
        <v>35.493497604380565</v>
      </c>
      <c r="E1894" s="33">
        <f t="shared" ca="1" si="60"/>
        <v>54949</v>
      </c>
      <c r="F1894" s="47">
        <v>2.7107369505138008</v>
      </c>
    </row>
    <row r="1895" spans="4:6" x14ac:dyDescent="0.2">
      <c r="D1895" s="18">
        <f t="shared" ca="1" si="59"/>
        <v>35.512662559890487</v>
      </c>
      <c r="E1895" s="33">
        <f t="shared" ca="1" si="60"/>
        <v>54956</v>
      </c>
      <c r="F1895" s="47">
        <v>2.7104414590970176</v>
      </c>
    </row>
    <row r="1896" spans="4:6" x14ac:dyDescent="0.2">
      <c r="D1896" s="18">
        <f t="shared" ca="1" si="59"/>
        <v>35.531827515400408</v>
      </c>
      <c r="E1896" s="33">
        <f t="shared" ca="1" si="60"/>
        <v>54963</v>
      </c>
      <c r="F1896" s="47">
        <v>2.7101459877017957</v>
      </c>
    </row>
    <row r="1897" spans="4:6" x14ac:dyDescent="0.2">
      <c r="D1897" s="18">
        <f t="shared" ca="1" si="59"/>
        <v>35.550992470910337</v>
      </c>
      <c r="E1897" s="33">
        <f t="shared" ca="1" si="60"/>
        <v>54970</v>
      </c>
      <c r="F1897" s="47">
        <v>2.7098505465629641</v>
      </c>
    </row>
    <row r="1898" spans="4:6" x14ac:dyDescent="0.2">
      <c r="D1898" s="18">
        <f t="shared" ref="D1898:D1961" ca="1" si="61">(E1898-$E$42)/365.25</f>
        <v>35.570157426420259</v>
      </c>
      <c r="E1898" s="33">
        <f t="shared" ca="1" si="60"/>
        <v>54977</v>
      </c>
      <c r="F1898" s="47">
        <v>2.7095551459025042</v>
      </c>
    </row>
    <row r="1899" spans="4:6" x14ac:dyDescent="0.2">
      <c r="D1899" s="18">
        <f t="shared" ca="1" si="61"/>
        <v>35.589322381930188</v>
      </c>
      <c r="E1899" s="33">
        <f t="shared" ref="E1899:E1962" ca="1" si="62">E1898+7</f>
        <v>54984</v>
      </c>
      <c r="F1899" s="47">
        <v>2.7092597959285643</v>
      </c>
    </row>
    <row r="1900" spans="4:6" x14ac:dyDescent="0.2">
      <c r="D1900" s="18">
        <f t="shared" ca="1" si="61"/>
        <v>35.60848733744011</v>
      </c>
      <c r="E1900" s="33">
        <f t="shared" ca="1" si="62"/>
        <v>54991</v>
      </c>
      <c r="F1900" s="47">
        <v>2.7089645068344943</v>
      </c>
    </row>
    <row r="1901" spans="4:6" x14ac:dyDescent="0.2">
      <c r="D1901" s="18">
        <f t="shared" ca="1" si="61"/>
        <v>35.627652292950032</v>
      </c>
      <c r="E1901" s="33">
        <f t="shared" ca="1" si="62"/>
        <v>54998</v>
      </c>
      <c r="F1901" s="47">
        <v>2.7086692887978652</v>
      </c>
    </row>
    <row r="1902" spans="4:6" x14ac:dyDescent="0.2">
      <c r="D1902" s="18">
        <f t="shared" ca="1" si="61"/>
        <v>35.646817248459961</v>
      </c>
      <c r="E1902" s="33">
        <f t="shared" ca="1" si="62"/>
        <v>55005</v>
      </c>
      <c r="F1902" s="47">
        <v>2.7083741519795077</v>
      </c>
    </row>
    <row r="1903" spans="4:6" x14ac:dyDescent="0.2">
      <c r="D1903" s="18">
        <f t="shared" ca="1" si="61"/>
        <v>35.665982203969882</v>
      </c>
      <c r="E1903" s="33">
        <f t="shared" ca="1" si="62"/>
        <v>55012</v>
      </c>
      <c r="F1903" s="47">
        <v>2.7080791065225465</v>
      </c>
    </row>
    <row r="1904" spans="4:6" x14ac:dyDescent="0.2">
      <c r="D1904" s="18">
        <f t="shared" ca="1" si="61"/>
        <v>35.685147159479811</v>
      </c>
      <c r="E1904" s="33">
        <f t="shared" ca="1" si="62"/>
        <v>55019</v>
      </c>
      <c r="F1904" s="47">
        <v>2.7077841625514414</v>
      </c>
    </row>
    <row r="1905" spans="4:6" x14ac:dyDescent="0.2">
      <c r="D1905" s="18">
        <f t="shared" ca="1" si="61"/>
        <v>35.704312114989733</v>
      </c>
      <c r="E1905" s="33">
        <f t="shared" ca="1" si="62"/>
        <v>55026</v>
      </c>
      <c r="F1905" s="47">
        <v>2.7074893301710339</v>
      </c>
    </row>
    <row r="1906" spans="4:6" x14ac:dyDescent="0.2">
      <c r="D1906" s="18">
        <f t="shared" ca="1" si="61"/>
        <v>35.723477070499655</v>
      </c>
      <c r="E1906" s="33">
        <f t="shared" ca="1" si="62"/>
        <v>55033</v>
      </c>
      <c r="F1906" s="47">
        <v>2.7071946194656005</v>
      </c>
    </row>
    <row r="1907" spans="4:6" x14ac:dyDescent="0.2">
      <c r="D1907" s="18">
        <f t="shared" ca="1" si="61"/>
        <v>35.742642026009584</v>
      </c>
      <c r="E1907" s="33">
        <f t="shared" ca="1" si="62"/>
        <v>55040</v>
      </c>
      <c r="F1907" s="47">
        <v>2.7069000404979024</v>
      </c>
    </row>
    <row r="1908" spans="4:6" x14ac:dyDescent="0.2">
      <c r="D1908" s="18">
        <f t="shared" ca="1" si="61"/>
        <v>35.761806981519506</v>
      </c>
      <c r="E1908" s="33">
        <f t="shared" ca="1" si="62"/>
        <v>55047</v>
      </c>
      <c r="F1908" s="47">
        <v>2.7066056033082533</v>
      </c>
    </row>
    <row r="1909" spans="4:6" x14ac:dyDescent="0.2">
      <c r="D1909" s="18">
        <f t="shared" ca="1" si="61"/>
        <v>35.780971937029435</v>
      </c>
      <c r="E1909" s="33">
        <f t="shared" ca="1" si="62"/>
        <v>55054</v>
      </c>
      <c r="F1909" s="47">
        <v>2.706311317913582</v>
      </c>
    </row>
    <row r="1910" spans="4:6" x14ac:dyDescent="0.2">
      <c r="D1910" s="18">
        <f t="shared" ca="1" si="61"/>
        <v>35.800136892539356</v>
      </c>
      <c r="E1910" s="33">
        <f t="shared" ca="1" si="62"/>
        <v>55061</v>
      </c>
      <c r="F1910" s="47">
        <v>2.7060171943065021</v>
      </c>
    </row>
    <row r="1911" spans="4:6" x14ac:dyDescent="0.2">
      <c r="D1911" s="18">
        <f t="shared" ca="1" si="61"/>
        <v>35.819301848049278</v>
      </c>
      <c r="E1911" s="33">
        <f t="shared" ca="1" si="62"/>
        <v>55068</v>
      </c>
      <c r="F1911" s="47">
        <v>2.7057232424543942</v>
      </c>
    </row>
    <row r="1912" spans="4:6" x14ac:dyDescent="0.2">
      <c r="D1912" s="18">
        <f t="shared" ca="1" si="61"/>
        <v>35.838466803559207</v>
      </c>
      <c r="E1912" s="33">
        <f t="shared" ca="1" si="62"/>
        <v>55075</v>
      </c>
      <c r="F1912" s="47">
        <v>2.7054294722984857</v>
      </c>
    </row>
    <row r="1913" spans="4:6" x14ac:dyDescent="0.2">
      <c r="D1913" s="18">
        <f t="shared" ca="1" si="61"/>
        <v>35.857631759069129</v>
      </c>
      <c r="E1913" s="33">
        <f t="shared" ca="1" si="62"/>
        <v>55082</v>
      </c>
      <c r="F1913" s="47">
        <v>2.7051358937529417</v>
      </c>
    </row>
    <row r="1914" spans="4:6" x14ac:dyDescent="0.2">
      <c r="D1914" s="18">
        <f t="shared" ca="1" si="61"/>
        <v>35.876796714579058</v>
      </c>
      <c r="E1914" s="33">
        <f t="shared" ca="1" si="62"/>
        <v>55089</v>
      </c>
      <c r="F1914" s="47">
        <v>2.704842516703962</v>
      </c>
    </row>
    <row r="1915" spans="4:6" x14ac:dyDescent="0.2">
      <c r="D1915" s="18">
        <f t="shared" ca="1" si="61"/>
        <v>35.89596167008898</v>
      </c>
      <c r="E1915" s="33">
        <f t="shared" ca="1" si="62"/>
        <v>55096</v>
      </c>
      <c r="F1915" s="47">
        <v>2.7045493510088789</v>
      </c>
    </row>
    <row r="1916" spans="4:6" x14ac:dyDescent="0.2">
      <c r="D1916" s="18">
        <f t="shared" ca="1" si="61"/>
        <v>35.915126625598901</v>
      </c>
      <c r="E1916" s="33">
        <f t="shared" ca="1" si="62"/>
        <v>55103</v>
      </c>
      <c r="F1916" s="47">
        <v>2.7042564064952663</v>
      </c>
    </row>
    <row r="1917" spans="4:6" x14ac:dyDescent="0.2">
      <c r="D1917" s="18">
        <f t="shared" ca="1" si="61"/>
        <v>35.93429158110883</v>
      </c>
      <c r="E1917" s="33">
        <f t="shared" ca="1" si="62"/>
        <v>55110</v>
      </c>
      <c r="F1917" s="47">
        <v>2.703963692960063</v>
      </c>
    </row>
    <row r="1918" spans="4:6" x14ac:dyDescent="0.2">
      <c r="D1918" s="18">
        <f t="shared" ca="1" si="61"/>
        <v>35.953456536618752</v>
      </c>
      <c r="E1918" s="33">
        <f t="shared" ca="1" si="62"/>
        <v>55117</v>
      </c>
      <c r="F1918" s="47">
        <v>2.7036712201686819</v>
      </c>
    </row>
    <row r="1919" spans="4:6" x14ac:dyDescent="0.2">
      <c r="D1919" s="18">
        <f t="shared" ca="1" si="61"/>
        <v>35.972621492128681</v>
      </c>
      <c r="E1919" s="33">
        <f t="shared" ca="1" si="62"/>
        <v>55124</v>
      </c>
      <c r="F1919" s="47">
        <v>2.703378997854148</v>
      </c>
    </row>
    <row r="1920" spans="4:6" x14ac:dyDescent="0.2">
      <c r="D1920" s="18">
        <f t="shared" ca="1" si="61"/>
        <v>35.991786447638603</v>
      </c>
      <c r="E1920" s="33">
        <f t="shared" ca="1" si="62"/>
        <v>55131</v>
      </c>
      <c r="F1920" s="47">
        <v>2.70308703571623</v>
      </c>
    </row>
    <row r="1921" spans="4:6" x14ac:dyDescent="0.2">
      <c r="D1921" s="18">
        <f t="shared" ca="1" si="61"/>
        <v>36.010951403148532</v>
      </c>
      <c r="E1921" s="33">
        <f t="shared" ca="1" si="62"/>
        <v>55138</v>
      </c>
      <c r="F1921" s="47">
        <v>2.7027953434205889</v>
      </c>
    </row>
    <row r="1922" spans="4:6" x14ac:dyDescent="0.2">
      <c r="D1922" s="18">
        <f t="shared" ca="1" si="61"/>
        <v>36.030116358658454</v>
      </c>
      <c r="E1922" s="33">
        <f t="shared" ca="1" si="62"/>
        <v>55145</v>
      </c>
      <c r="F1922" s="47">
        <v>2.7025039305979224</v>
      </c>
    </row>
    <row r="1923" spans="4:6" x14ac:dyDescent="0.2">
      <c r="D1923" s="18">
        <f t="shared" ca="1" si="61"/>
        <v>36.049281314168375</v>
      </c>
      <c r="E1923" s="33">
        <f t="shared" ca="1" si="62"/>
        <v>55152</v>
      </c>
      <c r="F1923" s="47">
        <v>2.7022128068431273</v>
      </c>
    </row>
    <row r="1924" spans="4:6" x14ac:dyDescent="0.2">
      <c r="D1924" s="18">
        <f t="shared" ca="1" si="61"/>
        <v>36.068446269678304</v>
      </c>
      <c r="E1924" s="33">
        <f t="shared" ca="1" si="62"/>
        <v>55159</v>
      </c>
      <c r="F1924" s="47">
        <v>2.7019219817144666</v>
      </c>
    </row>
    <row r="1925" spans="4:6" x14ac:dyDescent="0.2">
      <c r="D1925" s="18">
        <f t="shared" ca="1" si="61"/>
        <v>36.087611225188226</v>
      </c>
      <c r="E1925" s="33">
        <f t="shared" ca="1" si="62"/>
        <v>55166</v>
      </c>
      <c r="F1925" s="47">
        <v>2.7016314647327411</v>
      </c>
    </row>
    <row r="1926" spans="4:6" x14ac:dyDescent="0.2">
      <c r="D1926" s="18">
        <f t="shared" ca="1" si="61"/>
        <v>36.106776180698155</v>
      </c>
      <c r="E1926" s="33">
        <f t="shared" ca="1" si="62"/>
        <v>55173</v>
      </c>
      <c r="F1926" s="47">
        <v>2.7013412653804716</v>
      </c>
    </row>
    <row r="1927" spans="4:6" x14ac:dyDescent="0.2">
      <c r="D1927" s="18">
        <f t="shared" ca="1" si="61"/>
        <v>36.125941136208077</v>
      </c>
      <c r="E1927" s="33">
        <f t="shared" ca="1" si="62"/>
        <v>55180</v>
      </c>
      <c r="F1927" s="47">
        <v>2.7010513931010922</v>
      </c>
    </row>
    <row r="1928" spans="4:6" x14ac:dyDescent="0.2">
      <c r="D1928" s="18">
        <f t="shared" ca="1" si="61"/>
        <v>36.145106091717999</v>
      </c>
      <c r="E1928" s="33">
        <f t="shared" ca="1" si="62"/>
        <v>55187</v>
      </c>
      <c r="F1928" s="47">
        <v>2.7007618572981462</v>
      </c>
    </row>
    <row r="1929" spans="4:6" x14ac:dyDescent="0.2">
      <c r="D1929" s="18">
        <f t="shared" ca="1" si="61"/>
        <v>36.164271047227928</v>
      </c>
      <c r="E1929" s="33">
        <f t="shared" ca="1" si="62"/>
        <v>55194</v>
      </c>
      <c r="F1929" s="47">
        <v>2.7004726673344939</v>
      </c>
    </row>
    <row r="1930" spans="4:6" x14ac:dyDescent="0.2">
      <c r="D1930" s="18">
        <f t="shared" ca="1" si="61"/>
        <v>36.183436002737849</v>
      </c>
      <c r="E1930" s="33">
        <f t="shared" ca="1" si="62"/>
        <v>55201</v>
      </c>
      <c r="F1930" s="47">
        <v>2.7001838325315286</v>
      </c>
    </row>
    <row r="1931" spans="4:6" x14ac:dyDescent="0.2">
      <c r="D1931" s="18">
        <f t="shared" ca="1" si="61"/>
        <v>36.202600958247778</v>
      </c>
      <c r="E1931" s="33">
        <f t="shared" ca="1" si="62"/>
        <v>55208</v>
      </c>
      <c r="F1931" s="47">
        <v>2.6998953621684016</v>
      </c>
    </row>
    <row r="1932" spans="4:6" x14ac:dyDescent="0.2">
      <c r="D1932" s="18">
        <f t="shared" ca="1" si="61"/>
        <v>36.2217659137577</v>
      </c>
      <c r="E1932" s="33">
        <f t="shared" ca="1" si="62"/>
        <v>55215</v>
      </c>
      <c r="F1932" s="47">
        <v>2.6996072654812528</v>
      </c>
    </row>
    <row r="1933" spans="4:6" x14ac:dyDescent="0.2">
      <c r="D1933" s="18">
        <f t="shared" ca="1" si="61"/>
        <v>36.240930869267622</v>
      </c>
      <c r="E1933" s="33">
        <f t="shared" ca="1" si="62"/>
        <v>55222</v>
      </c>
      <c r="F1933" s="47">
        <v>2.6993195516624557</v>
      </c>
    </row>
    <row r="1934" spans="4:6" x14ac:dyDescent="0.2">
      <c r="D1934" s="18">
        <f t="shared" ca="1" si="61"/>
        <v>36.260095824777551</v>
      </c>
      <c r="E1934" s="33">
        <f t="shared" ca="1" si="62"/>
        <v>55229</v>
      </c>
      <c r="F1934" s="47">
        <v>2.699032229859867</v>
      </c>
    </row>
    <row r="1935" spans="4:6" x14ac:dyDescent="0.2">
      <c r="D1935" s="18">
        <f t="shared" ca="1" si="61"/>
        <v>36.279260780287473</v>
      </c>
      <c r="E1935" s="33">
        <f t="shared" ca="1" si="62"/>
        <v>55236</v>
      </c>
      <c r="F1935" s="47">
        <v>2.6987453091760867</v>
      </c>
    </row>
    <row r="1936" spans="4:6" x14ac:dyDescent="0.2">
      <c r="D1936" s="18">
        <f t="shared" ca="1" si="61"/>
        <v>36.298425735797402</v>
      </c>
      <c r="E1936" s="33">
        <f t="shared" ca="1" si="62"/>
        <v>55243</v>
      </c>
      <c r="F1936" s="47">
        <v>2.6984587986677271</v>
      </c>
    </row>
    <row r="1937" spans="4:6" x14ac:dyDescent="0.2">
      <c r="D1937" s="18">
        <f t="shared" ca="1" si="61"/>
        <v>36.317590691307323</v>
      </c>
      <c r="E1937" s="33">
        <f t="shared" ca="1" si="62"/>
        <v>55250</v>
      </c>
      <c r="F1937" s="47">
        <v>2.6981727073446939</v>
      </c>
    </row>
    <row r="1938" spans="4:6" x14ac:dyDescent="0.2">
      <c r="D1938" s="18">
        <f t="shared" ca="1" si="61"/>
        <v>36.336755646817245</v>
      </c>
      <c r="E1938" s="33">
        <f t="shared" ca="1" si="62"/>
        <v>55257</v>
      </c>
      <c r="F1938" s="47">
        <v>2.6978870441694718</v>
      </c>
    </row>
    <row r="1939" spans="4:6" x14ac:dyDescent="0.2">
      <c r="D1939" s="18">
        <f t="shared" ca="1" si="61"/>
        <v>36.355920602327174</v>
      </c>
      <c r="E1939" s="33">
        <f t="shared" ca="1" si="62"/>
        <v>55264</v>
      </c>
      <c r="F1939" s="47">
        <v>2.6976018180564263</v>
      </c>
    </row>
    <row r="1940" spans="4:6" x14ac:dyDescent="0.2">
      <c r="D1940" s="18">
        <f t="shared" ca="1" si="61"/>
        <v>36.375085557837096</v>
      </c>
      <c r="E1940" s="33">
        <f t="shared" ca="1" si="62"/>
        <v>55271</v>
      </c>
      <c r="F1940" s="47">
        <v>2.6973170378711027</v>
      </c>
    </row>
    <row r="1941" spans="4:6" x14ac:dyDescent="0.2">
      <c r="D1941" s="18">
        <f t="shared" ca="1" si="61"/>
        <v>36.394250513347025</v>
      </c>
      <c r="E1941" s="33">
        <f t="shared" ca="1" si="62"/>
        <v>55278</v>
      </c>
      <c r="F1941" s="47">
        <v>2.6970327124295563</v>
      </c>
    </row>
    <row r="1942" spans="4:6" x14ac:dyDescent="0.2">
      <c r="D1942" s="18">
        <f t="shared" ca="1" si="61"/>
        <v>36.413415468856947</v>
      </c>
      <c r="E1942" s="33">
        <f t="shared" ca="1" si="62"/>
        <v>55285</v>
      </c>
      <c r="F1942" s="47">
        <v>2.6967488504976678</v>
      </c>
    </row>
    <row r="1943" spans="4:6" x14ac:dyDescent="0.2">
      <c r="D1943" s="18">
        <f t="shared" ca="1" si="61"/>
        <v>36.432580424366868</v>
      </c>
      <c r="E1943" s="33">
        <f t="shared" ca="1" si="62"/>
        <v>55292</v>
      </c>
      <c r="F1943" s="47">
        <v>2.696465460790487</v>
      </c>
    </row>
    <row r="1944" spans="4:6" x14ac:dyDescent="0.2">
      <c r="D1944" s="18">
        <f t="shared" ca="1" si="61"/>
        <v>36.451745379876797</v>
      </c>
      <c r="E1944" s="33">
        <f t="shared" ca="1" si="62"/>
        <v>55299</v>
      </c>
      <c r="F1944" s="47">
        <v>2.6961825519715759</v>
      </c>
    </row>
    <row r="1945" spans="4:6" x14ac:dyDescent="0.2">
      <c r="D1945" s="18">
        <f t="shared" ca="1" si="61"/>
        <v>36.470910335386719</v>
      </c>
      <c r="E1945" s="33">
        <f t="shared" ca="1" si="62"/>
        <v>55306</v>
      </c>
      <c r="F1945" s="47">
        <v>2.6959001326523704</v>
      </c>
    </row>
    <row r="1946" spans="4:6" x14ac:dyDescent="0.2">
      <c r="D1946" s="18">
        <f t="shared" ca="1" si="61"/>
        <v>36.490075290896648</v>
      </c>
      <c r="E1946" s="33">
        <f t="shared" ca="1" si="62"/>
        <v>55313</v>
      </c>
      <c r="F1946" s="47">
        <v>2.695618211391543</v>
      </c>
    </row>
    <row r="1947" spans="4:6" x14ac:dyDescent="0.2">
      <c r="D1947" s="18">
        <f t="shared" ca="1" si="61"/>
        <v>36.50924024640657</v>
      </c>
      <c r="E1947" s="33">
        <f t="shared" ca="1" si="62"/>
        <v>55320</v>
      </c>
      <c r="F1947" s="47">
        <v>2.6953367966943862</v>
      </c>
    </row>
    <row r="1948" spans="4:6" x14ac:dyDescent="0.2">
      <c r="D1948" s="18">
        <f t="shared" ca="1" si="61"/>
        <v>36.528405201916499</v>
      </c>
      <c r="E1948" s="33">
        <f t="shared" ca="1" si="62"/>
        <v>55327</v>
      </c>
      <c r="F1948" s="47">
        <v>2.6950558970121929</v>
      </c>
    </row>
    <row r="1949" spans="4:6" x14ac:dyDescent="0.2">
      <c r="D1949" s="18">
        <f t="shared" ca="1" si="61"/>
        <v>36.547570157426421</v>
      </c>
      <c r="E1949" s="33">
        <f t="shared" ca="1" si="62"/>
        <v>55334</v>
      </c>
      <c r="F1949" s="47">
        <v>2.6947755207416604</v>
      </c>
    </row>
    <row r="1950" spans="4:6" x14ac:dyDescent="0.2">
      <c r="D1950" s="18">
        <f t="shared" ca="1" si="61"/>
        <v>36.566735112936342</v>
      </c>
      <c r="E1950" s="33">
        <f t="shared" ca="1" si="62"/>
        <v>55341</v>
      </c>
      <c r="F1950" s="47">
        <v>2.6944956762242982</v>
      </c>
    </row>
    <row r="1951" spans="4:6" x14ac:dyDescent="0.2">
      <c r="D1951" s="18">
        <f t="shared" ca="1" si="61"/>
        <v>36.585900068446271</v>
      </c>
      <c r="E1951" s="33">
        <f t="shared" ca="1" si="62"/>
        <v>55348</v>
      </c>
      <c r="F1951" s="47">
        <v>2.6942163717458461</v>
      </c>
    </row>
    <row r="1952" spans="4:6" x14ac:dyDescent="0.2">
      <c r="D1952" s="18">
        <f t="shared" ca="1" si="61"/>
        <v>36.605065023956193</v>
      </c>
      <c r="E1952" s="33">
        <f t="shared" ca="1" si="62"/>
        <v>55355</v>
      </c>
      <c r="F1952" s="47">
        <v>2.6939376155357042</v>
      </c>
    </row>
    <row r="1953" spans="4:6" x14ac:dyDescent="0.2">
      <c r="D1953" s="18">
        <f t="shared" ca="1" si="61"/>
        <v>36.624229979466122</v>
      </c>
      <c r="E1953" s="33">
        <f t="shared" ca="1" si="62"/>
        <v>55362</v>
      </c>
      <c r="F1953" s="47">
        <v>2.6936594157663762</v>
      </c>
    </row>
    <row r="1954" spans="4:6" x14ac:dyDescent="0.2">
      <c r="D1954" s="18">
        <f t="shared" ca="1" si="61"/>
        <v>36.643394934976044</v>
      </c>
      <c r="E1954" s="33">
        <f t="shared" ca="1" si="62"/>
        <v>55369</v>
      </c>
      <c r="F1954" s="47">
        <v>2.6933817805529165</v>
      </c>
    </row>
    <row r="1955" spans="4:6" x14ac:dyDescent="0.2">
      <c r="D1955" s="18">
        <f t="shared" ca="1" si="61"/>
        <v>36.662559890485966</v>
      </c>
      <c r="E1955" s="33">
        <f t="shared" ca="1" si="62"/>
        <v>55376</v>
      </c>
      <c r="F1955" s="47">
        <v>2.6931047179523948</v>
      </c>
    </row>
    <row r="1956" spans="4:6" x14ac:dyDescent="0.2">
      <c r="D1956" s="18">
        <f t="shared" ca="1" si="61"/>
        <v>36.681724845995895</v>
      </c>
      <c r="E1956" s="33">
        <f t="shared" ca="1" si="62"/>
        <v>55383</v>
      </c>
      <c r="F1956" s="47">
        <v>2.6928282359633684</v>
      </c>
    </row>
    <row r="1957" spans="4:6" x14ac:dyDescent="0.2">
      <c r="D1957" s="18">
        <f t="shared" ca="1" si="61"/>
        <v>36.700889801505816</v>
      </c>
      <c r="E1957" s="33">
        <f t="shared" ca="1" si="62"/>
        <v>55390</v>
      </c>
      <c r="F1957" s="47">
        <v>2.6925523425253668</v>
      </c>
    </row>
    <row r="1958" spans="4:6" x14ac:dyDescent="0.2">
      <c r="D1958" s="18">
        <f t="shared" ca="1" si="61"/>
        <v>36.720054757015745</v>
      </c>
      <c r="E1958" s="33">
        <f t="shared" ca="1" si="62"/>
        <v>55397</v>
      </c>
      <c r="F1958" s="47">
        <v>2.6922770455183835</v>
      </c>
    </row>
    <row r="1959" spans="4:6" x14ac:dyDescent="0.2">
      <c r="D1959" s="18">
        <f t="shared" ca="1" si="61"/>
        <v>36.739219712525667</v>
      </c>
      <c r="E1959" s="33">
        <f t="shared" ca="1" si="62"/>
        <v>55404</v>
      </c>
      <c r="F1959" s="47">
        <v>2.692002352762386</v>
      </c>
    </row>
    <row r="1960" spans="4:6" x14ac:dyDescent="0.2">
      <c r="D1960" s="18">
        <f t="shared" ca="1" si="61"/>
        <v>36.758384668035589</v>
      </c>
      <c r="E1960" s="33">
        <f t="shared" ca="1" si="62"/>
        <v>55411</v>
      </c>
      <c r="F1960" s="47">
        <v>2.6917282720168245</v>
      </c>
    </row>
    <row r="1961" spans="4:6" x14ac:dyDescent="0.2">
      <c r="D1961" s="18">
        <f t="shared" ca="1" si="61"/>
        <v>36.777549623545518</v>
      </c>
      <c r="E1961" s="33">
        <f t="shared" ca="1" si="62"/>
        <v>55418</v>
      </c>
      <c r="F1961" s="47">
        <v>2.6914548109801704</v>
      </c>
    </row>
    <row r="1962" spans="4:6" x14ac:dyDescent="0.2">
      <c r="D1962" s="18">
        <f t="shared" ref="D1962:D2025" ca="1" si="63">(E1962-$E$42)/365.25</f>
        <v>36.79671457905544</v>
      </c>
      <c r="E1962" s="33">
        <f t="shared" ca="1" si="62"/>
        <v>55425</v>
      </c>
      <c r="F1962" s="47">
        <v>2.6911819772894421</v>
      </c>
    </row>
    <row r="1963" spans="4:6" x14ac:dyDescent="0.2">
      <c r="D1963" s="18">
        <f t="shared" ca="1" si="63"/>
        <v>36.815879534565369</v>
      </c>
      <c r="E1963" s="33">
        <f t="shared" ref="E1963:E2026" ca="1" si="64">E1962+7</f>
        <v>55432</v>
      </c>
      <c r="F1963" s="47">
        <v>2.690909778519766</v>
      </c>
    </row>
    <row r="1964" spans="4:6" x14ac:dyDescent="0.2">
      <c r="D1964" s="18">
        <f t="shared" ca="1" si="63"/>
        <v>36.83504449007529</v>
      </c>
      <c r="E1964" s="33">
        <f t="shared" ca="1" si="64"/>
        <v>55439</v>
      </c>
      <c r="F1964" s="47">
        <v>2.6906382221839285</v>
      </c>
    </row>
    <row r="1965" spans="4:6" x14ac:dyDescent="0.2">
      <c r="D1965" s="18">
        <f t="shared" ca="1" si="63"/>
        <v>36.854209445585212</v>
      </c>
      <c r="E1965" s="33">
        <f t="shared" ca="1" si="64"/>
        <v>55446</v>
      </c>
      <c r="F1965" s="47">
        <v>2.6903673157319528</v>
      </c>
    </row>
    <row r="1966" spans="4:6" x14ac:dyDescent="0.2">
      <c r="D1966" s="18">
        <f t="shared" ca="1" si="63"/>
        <v>36.873374401095141</v>
      </c>
      <c r="E1966" s="33">
        <f t="shared" ca="1" si="64"/>
        <v>55453</v>
      </c>
      <c r="F1966" s="47">
        <v>2.6900970665506767</v>
      </c>
    </row>
    <row r="1967" spans="4:6" x14ac:dyDescent="0.2">
      <c r="D1967" s="18">
        <f t="shared" ca="1" si="63"/>
        <v>36.892539356605063</v>
      </c>
      <c r="E1967" s="33">
        <f t="shared" ca="1" si="64"/>
        <v>55460</v>
      </c>
      <c r="F1967" s="47">
        <v>2.6898274819633508</v>
      </c>
    </row>
    <row r="1968" spans="4:6" x14ac:dyDescent="0.2">
      <c r="D1968" s="18">
        <f t="shared" ca="1" si="63"/>
        <v>36.911704312114992</v>
      </c>
      <c r="E1968" s="33">
        <f t="shared" ca="1" si="64"/>
        <v>55467</v>
      </c>
      <c r="F1968" s="47">
        <v>2.6895585692292414</v>
      </c>
    </row>
    <row r="1969" spans="4:6" x14ac:dyDescent="0.2">
      <c r="D1969" s="18">
        <f t="shared" ca="1" si="63"/>
        <v>36.930869267624914</v>
      </c>
      <c r="E1969" s="33">
        <f t="shared" ca="1" si="64"/>
        <v>55474</v>
      </c>
      <c r="F1969" s="47">
        <v>2.6892903355432463</v>
      </c>
    </row>
    <row r="1970" spans="4:6" x14ac:dyDescent="0.2">
      <c r="D1970" s="18">
        <f t="shared" ca="1" si="63"/>
        <v>36.950034223134843</v>
      </c>
      <c r="E1970" s="33">
        <f t="shared" ca="1" si="64"/>
        <v>55481</v>
      </c>
      <c r="F1970" s="47">
        <v>2.6890227880355222</v>
      </c>
    </row>
    <row r="1971" spans="4:6" x14ac:dyDescent="0.2">
      <c r="D1971" s="18">
        <f t="shared" ca="1" si="63"/>
        <v>36.969199178644764</v>
      </c>
      <c r="E1971" s="33">
        <f t="shared" ca="1" si="64"/>
        <v>55488</v>
      </c>
      <c r="F1971" s="47">
        <v>2.688755933771124</v>
      </c>
    </row>
    <row r="1972" spans="4:6" x14ac:dyDescent="0.2">
      <c r="D1972" s="18">
        <f t="shared" ca="1" si="63"/>
        <v>36.988364134154686</v>
      </c>
      <c r="E1972" s="33">
        <f t="shared" ca="1" si="64"/>
        <v>55495</v>
      </c>
      <c r="F1972" s="47">
        <v>2.6884897797496503</v>
      </c>
    </row>
    <row r="1973" spans="4:6" x14ac:dyDescent="0.2">
      <c r="D1973" s="18">
        <f t="shared" ca="1" si="63"/>
        <v>37.007529089664615</v>
      </c>
      <c r="E1973" s="33">
        <f t="shared" ca="1" si="64"/>
        <v>55502</v>
      </c>
      <c r="F1973" s="47">
        <v>2.6882243329049089</v>
      </c>
    </row>
    <row r="1974" spans="4:6" x14ac:dyDescent="0.2">
      <c r="D1974" s="18">
        <f t="shared" ca="1" si="63"/>
        <v>37.026694045174537</v>
      </c>
      <c r="E1974" s="33">
        <f t="shared" ca="1" si="64"/>
        <v>55509</v>
      </c>
      <c r="F1974" s="47">
        <v>2.6879596001045845</v>
      </c>
    </row>
    <row r="1975" spans="4:6" x14ac:dyDescent="0.2">
      <c r="D1975" s="18">
        <f t="shared" ca="1" si="63"/>
        <v>37.045859000684466</v>
      </c>
      <c r="E1975" s="33">
        <f t="shared" ca="1" si="64"/>
        <v>55516</v>
      </c>
      <c r="F1975" s="47">
        <v>2.687695588149924</v>
      </c>
    </row>
    <row r="1976" spans="4:6" x14ac:dyDescent="0.2">
      <c r="D1976" s="18">
        <f t="shared" ca="1" si="63"/>
        <v>37.065023956194388</v>
      </c>
      <c r="E1976" s="33">
        <f t="shared" ca="1" si="64"/>
        <v>55523</v>
      </c>
      <c r="F1976" s="47">
        <v>2.6874323037754273</v>
      </c>
    </row>
    <row r="1977" spans="4:6" x14ac:dyDescent="0.2">
      <c r="D1977" s="18">
        <f t="shared" ca="1" si="63"/>
        <v>37.08418891170431</v>
      </c>
      <c r="E1977" s="33">
        <f t="shared" ca="1" si="64"/>
        <v>55530</v>
      </c>
      <c r="F1977" s="47">
        <v>2.687169753648555</v>
      </c>
    </row>
    <row r="1978" spans="4:6" x14ac:dyDescent="0.2">
      <c r="D1978" s="18">
        <f t="shared" ca="1" si="63"/>
        <v>37.103353867214238</v>
      </c>
      <c r="E1978" s="33">
        <f t="shared" ca="1" si="64"/>
        <v>55537</v>
      </c>
      <c r="F1978" s="47">
        <v>2.6869079443694419</v>
      </c>
    </row>
    <row r="1979" spans="4:6" x14ac:dyDescent="0.2">
      <c r="D1979" s="18">
        <f t="shared" ca="1" si="63"/>
        <v>37.12251882272416</v>
      </c>
      <c r="E1979" s="33">
        <f t="shared" ca="1" si="64"/>
        <v>55544</v>
      </c>
      <c r="F1979" s="47">
        <v>2.6866468824706264</v>
      </c>
    </row>
    <row r="1980" spans="4:6" x14ac:dyDescent="0.2">
      <c r="D1980" s="18">
        <f t="shared" ca="1" si="63"/>
        <v>37.141683778234089</v>
      </c>
      <c r="E1980" s="33">
        <f t="shared" ca="1" si="64"/>
        <v>55551</v>
      </c>
      <c r="F1980" s="47">
        <v>2.6863865744167867</v>
      </c>
    </row>
    <row r="1981" spans="4:6" x14ac:dyDescent="0.2">
      <c r="D1981" s="18">
        <f t="shared" ca="1" si="63"/>
        <v>37.160848733744011</v>
      </c>
      <c r="E1981" s="33">
        <f t="shared" ca="1" si="64"/>
        <v>55558</v>
      </c>
      <c r="F1981" s="47">
        <v>2.6861270266044874</v>
      </c>
    </row>
    <row r="1982" spans="4:6" x14ac:dyDescent="0.2">
      <c r="D1982" s="18">
        <f t="shared" ca="1" si="63"/>
        <v>37.180013689253933</v>
      </c>
      <c r="E1982" s="33">
        <f t="shared" ca="1" si="64"/>
        <v>55565</v>
      </c>
      <c r="F1982" s="47">
        <v>2.6858682453619451</v>
      </c>
    </row>
    <row r="1983" spans="4:6" x14ac:dyDescent="0.2">
      <c r="D1983" s="18">
        <f t="shared" ca="1" si="63"/>
        <v>37.199178644763862</v>
      </c>
      <c r="E1983" s="33">
        <f t="shared" ca="1" si="64"/>
        <v>55572</v>
      </c>
      <c r="F1983" s="47">
        <v>2.6856102369487935</v>
      </c>
    </row>
    <row r="1984" spans="4:6" x14ac:dyDescent="0.2">
      <c r="D1984" s="18">
        <f t="shared" ca="1" si="63"/>
        <v>37.218343600273784</v>
      </c>
      <c r="E1984" s="33">
        <f t="shared" ca="1" si="64"/>
        <v>55579</v>
      </c>
      <c r="F1984" s="47">
        <v>2.6853530075558676</v>
      </c>
    </row>
    <row r="1985" spans="4:6" x14ac:dyDescent="0.2">
      <c r="D1985" s="18">
        <f t="shared" ca="1" si="63"/>
        <v>37.237508555783712</v>
      </c>
      <c r="E1985" s="33">
        <f t="shared" ca="1" si="64"/>
        <v>55586</v>
      </c>
      <c r="F1985" s="47">
        <v>2.6850965633049961</v>
      </c>
    </row>
    <row r="1986" spans="4:6" x14ac:dyDescent="0.2">
      <c r="D1986" s="18">
        <f t="shared" ca="1" si="63"/>
        <v>37.256673511293634</v>
      </c>
      <c r="E1986" s="33">
        <f t="shared" ca="1" si="64"/>
        <v>55593</v>
      </c>
      <c r="F1986" s="47">
        <v>2.6848409102488042</v>
      </c>
    </row>
    <row r="1987" spans="4:6" x14ac:dyDescent="0.2">
      <c r="D1987" s="18">
        <f t="shared" ca="1" si="63"/>
        <v>37.275838466803556</v>
      </c>
      <c r="E1987" s="33">
        <f t="shared" ca="1" si="64"/>
        <v>55600</v>
      </c>
      <c r="F1987" s="47">
        <v>2.6845860543705289</v>
      </c>
    </row>
    <row r="1988" spans="4:6" x14ac:dyDescent="0.2">
      <c r="D1988" s="18">
        <f t="shared" ca="1" si="63"/>
        <v>37.295003422313485</v>
      </c>
      <c r="E1988" s="33">
        <f t="shared" ca="1" si="64"/>
        <v>55607</v>
      </c>
      <c r="F1988" s="47">
        <v>2.6843320015838401</v>
      </c>
    </row>
    <row r="1989" spans="4:6" x14ac:dyDescent="0.2">
      <c r="D1989" s="18">
        <f t="shared" ca="1" si="63"/>
        <v>37.314168377823407</v>
      </c>
      <c r="E1989" s="33">
        <f t="shared" ca="1" si="64"/>
        <v>55614</v>
      </c>
      <c r="F1989" s="47">
        <v>2.6840787577326792</v>
      </c>
    </row>
    <row r="1990" spans="4:6" x14ac:dyDescent="0.2">
      <c r="D1990" s="18">
        <f t="shared" ca="1" si="63"/>
        <v>37.333333333333336</v>
      </c>
      <c r="E1990" s="33">
        <f t="shared" ca="1" si="64"/>
        <v>55621</v>
      </c>
      <c r="F1990" s="47">
        <v>2.6838263285911061</v>
      </c>
    </row>
    <row r="1991" spans="4:6" x14ac:dyDescent="0.2">
      <c r="D1991" s="18">
        <f t="shared" ca="1" si="63"/>
        <v>37.352498288843258</v>
      </c>
      <c r="E1991" s="33">
        <f t="shared" ca="1" si="64"/>
        <v>55628</v>
      </c>
      <c r="F1991" s="47">
        <v>2.6835747198631519</v>
      </c>
    </row>
    <row r="1992" spans="4:6" x14ac:dyDescent="0.2">
      <c r="D1992" s="18">
        <f t="shared" ca="1" si="63"/>
        <v>37.371663244353179</v>
      </c>
      <c r="E1992" s="33">
        <f t="shared" ca="1" si="64"/>
        <v>55635</v>
      </c>
      <c r="F1992" s="47">
        <v>2.6833239371826885</v>
      </c>
    </row>
    <row r="1993" spans="4:6" x14ac:dyDescent="0.2">
      <c r="D1993" s="18">
        <f t="shared" ca="1" si="63"/>
        <v>37.390828199863108</v>
      </c>
      <c r="E1993" s="33">
        <f t="shared" ca="1" si="64"/>
        <v>55642</v>
      </c>
      <c r="F1993" s="47">
        <v>2.6830739861133055</v>
      </c>
    </row>
    <row r="1994" spans="4:6" x14ac:dyDescent="0.2">
      <c r="D1994" s="18">
        <f t="shared" ca="1" si="63"/>
        <v>37.40999315537303</v>
      </c>
      <c r="E1994" s="33">
        <f t="shared" ca="1" si="64"/>
        <v>55649</v>
      </c>
      <c r="F1994" s="47">
        <v>2.6828248721482004</v>
      </c>
    </row>
    <row r="1995" spans="4:6" x14ac:dyDescent="0.2">
      <c r="D1995" s="18">
        <f t="shared" ca="1" si="63"/>
        <v>37.429158110882959</v>
      </c>
      <c r="E1995" s="33">
        <f t="shared" ca="1" si="64"/>
        <v>55656</v>
      </c>
      <c r="F1995" s="47">
        <v>2.682576600710072</v>
      </c>
    </row>
    <row r="1996" spans="4:6" x14ac:dyDescent="0.2">
      <c r="D1996" s="18">
        <f t="shared" ca="1" si="63"/>
        <v>37.448323066392881</v>
      </c>
      <c r="E1996" s="33">
        <f t="shared" ca="1" si="64"/>
        <v>55663</v>
      </c>
      <c r="F1996" s="47">
        <v>2.682329177151034</v>
      </c>
    </row>
    <row r="1997" spans="4:6" x14ac:dyDescent="0.2">
      <c r="D1997" s="18">
        <f t="shared" ca="1" si="63"/>
        <v>37.46748802190281</v>
      </c>
      <c r="E1997" s="33">
        <f t="shared" ca="1" si="64"/>
        <v>55670</v>
      </c>
      <c r="F1997" s="47">
        <v>2.6820826067525312</v>
      </c>
    </row>
    <row r="1998" spans="4:6" x14ac:dyDescent="0.2">
      <c r="D1998" s="18">
        <f t="shared" ca="1" si="63"/>
        <v>37.486652977412732</v>
      </c>
      <c r="E1998" s="33">
        <f t="shared" ca="1" si="64"/>
        <v>55677</v>
      </c>
      <c r="F1998" s="47">
        <v>2.6818368947252669</v>
      </c>
    </row>
    <row r="1999" spans="4:6" x14ac:dyDescent="0.2">
      <c r="D1999" s="18">
        <f t="shared" ca="1" si="63"/>
        <v>37.505817932922653</v>
      </c>
      <c r="E1999" s="33">
        <f t="shared" ca="1" si="64"/>
        <v>55684</v>
      </c>
      <c r="F1999" s="47">
        <v>2.6815920462091483</v>
      </c>
    </row>
    <row r="2000" spans="4:6" x14ac:dyDescent="0.2">
      <c r="D2000" s="18">
        <f t="shared" ca="1" si="63"/>
        <v>37.524982888432582</v>
      </c>
      <c r="E2000" s="33">
        <f t="shared" ca="1" si="64"/>
        <v>55691</v>
      </c>
      <c r="F2000" s="47">
        <v>2.6813480662732272</v>
      </c>
    </row>
    <row r="2001" spans="4:6" x14ac:dyDescent="0.2">
      <c r="D2001" s="18">
        <f t="shared" ca="1" si="63"/>
        <v>37.544147843942504</v>
      </c>
      <c r="E2001" s="33">
        <f t="shared" ca="1" si="64"/>
        <v>55698</v>
      </c>
      <c r="F2001" s="47">
        <v>2.681104959915666</v>
      </c>
    </row>
    <row r="2002" spans="4:6" x14ac:dyDescent="0.2">
      <c r="D2002" s="18">
        <f t="shared" ca="1" si="63"/>
        <v>37.563312799452433</v>
      </c>
      <c r="E2002" s="33">
        <f t="shared" ca="1" si="64"/>
        <v>55705</v>
      </c>
      <c r="F2002" s="47">
        <v>2.6808627320637006</v>
      </c>
    </row>
    <row r="2003" spans="4:6" x14ac:dyDescent="0.2">
      <c r="D2003" s="18">
        <f t="shared" ca="1" si="63"/>
        <v>37.582477754962355</v>
      </c>
      <c r="E2003" s="33">
        <f t="shared" ca="1" si="64"/>
        <v>55712</v>
      </c>
      <c r="F2003" s="47">
        <v>2.6806213875736238</v>
      </c>
    </row>
    <row r="2004" spans="4:6" x14ac:dyDescent="0.2">
      <c r="D2004" s="18">
        <f t="shared" ca="1" si="63"/>
        <v>37.601642710472277</v>
      </c>
      <c r="E2004" s="33">
        <f t="shared" ca="1" si="64"/>
        <v>55719</v>
      </c>
      <c r="F2004" s="47">
        <v>2.680380931230772</v>
      </c>
    </row>
    <row r="2005" spans="4:6" x14ac:dyDescent="0.2">
      <c r="D2005" s="18">
        <f t="shared" ca="1" si="63"/>
        <v>37.620807665982205</v>
      </c>
      <c r="E2005" s="33">
        <f t="shared" ca="1" si="64"/>
        <v>55726</v>
      </c>
      <c r="F2005" s="47">
        <v>2.6801413677495227</v>
      </c>
    </row>
    <row r="2006" spans="4:6" x14ac:dyDescent="0.2">
      <c r="D2006" s="18">
        <f t="shared" ca="1" si="63"/>
        <v>37.639972621492127</v>
      </c>
      <c r="E2006" s="33">
        <f t="shared" ca="1" si="64"/>
        <v>55733</v>
      </c>
      <c r="F2006" s="47">
        <v>2.6799027017733019</v>
      </c>
    </row>
    <row r="2007" spans="4:6" x14ac:dyDescent="0.2">
      <c r="D2007" s="18">
        <f t="shared" ca="1" si="63"/>
        <v>37.659137577002056</v>
      </c>
      <c r="E2007" s="33">
        <f t="shared" ca="1" si="64"/>
        <v>55740</v>
      </c>
      <c r="F2007" s="47">
        <v>2.679664937874604</v>
      </c>
    </row>
    <row r="2008" spans="4:6" x14ac:dyDescent="0.2">
      <c r="D2008" s="18">
        <f t="shared" ca="1" si="63"/>
        <v>37.678302532511978</v>
      </c>
      <c r="E2008" s="33">
        <f t="shared" ca="1" si="64"/>
        <v>55747</v>
      </c>
      <c r="F2008" s="47">
        <v>2.6794280805550126</v>
      </c>
    </row>
    <row r="2009" spans="4:6" x14ac:dyDescent="0.2">
      <c r="D2009" s="18">
        <f t="shared" ca="1" si="63"/>
        <v>37.6974674880219</v>
      </c>
      <c r="E2009" s="33">
        <f t="shared" ca="1" si="64"/>
        <v>55754</v>
      </c>
      <c r="F2009" s="47">
        <v>2.6791921342452407</v>
      </c>
    </row>
    <row r="2010" spans="4:6" x14ac:dyDescent="0.2">
      <c r="D2010" s="18">
        <f t="shared" ca="1" si="63"/>
        <v>37.716632443531829</v>
      </c>
      <c r="E2010" s="33">
        <f t="shared" ca="1" si="64"/>
        <v>55761</v>
      </c>
      <c r="F2010" s="47">
        <v>2.6789571033051742</v>
      </c>
    </row>
    <row r="2011" spans="4:6" x14ac:dyDescent="0.2">
      <c r="D2011" s="18">
        <f t="shared" ca="1" si="63"/>
        <v>37.735797399041751</v>
      </c>
      <c r="E2011" s="33">
        <f t="shared" ca="1" si="64"/>
        <v>55768</v>
      </c>
      <c r="F2011" s="47">
        <v>2.6787229920239266</v>
      </c>
    </row>
    <row r="2012" spans="4:6" x14ac:dyDescent="0.2">
      <c r="D2012" s="18">
        <f t="shared" ca="1" si="63"/>
        <v>37.754962354551679</v>
      </c>
      <c r="E2012" s="33">
        <f t="shared" ca="1" si="64"/>
        <v>55775</v>
      </c>
      <c r="F2012" s="47">
        <v>2.6784898046199026</v>
      </c>
    </row>
    <row r="2013" spans="4:6" x14ac:dyDescent="0.2">
      <c r="D2013" s="18">
        <f t="shared" ca="1" si="63"/>
        <v>37.774127310061601</v>
      </c>
      <c r="E2013" s="33">
        <f t="shared" ca="1" si="64"/>
        <v>55782</v>
      </c>
      <c r="F2013" s="47">
        <v>2.6782575452408666</v>
      </c>
    </row>
    <row r="2014" spans="4:6" x14ac:dyDescent="0.2">
      <c r="D2014" s="18">
        <f t="shared" ca="1" si="63"/>
        <v>37.793292265571523</v>
      </c>
      <c r="E2014" s="33">
        <f t="shared" ca="1" si="64"/>
        <v>55789</v>
      </c>
      <c r="F2014" s="47">
        <v>2.6780262179640273</v>
      </c>
    </row>
    <row r="2015" spans="4:6" x14ac:dyDescent="0.2">
      <c r="D2015" s="18">
        <f t="shared" ca="1" si="63"/>
        <v>37.812457221081452</v>
      </c>
      <c r="E2015" s="33">
        <f t="shared" ca="1" si="64"/>
        <v>55796</v>
      </c>
      <c r="F2015" s="47">
        <v>2.6777958267961273</v>
      </c>
    </row>
    <row r="2016" spans="4:6" x14ac:dyDescent="0.2">
      <c r="D2016" s="18">
        <f t="shared" ca="1" si="63"/>
        <v>37.831622176591374</v>
      </c>
      <c r="E2016" s="33">
        <f t="shared" ca="1" si="64"/>
        <v>55803</v>
      </c>
      <c r="F2016" s="47">
        <v>2.6775663756735386</v>
      </c>
    </row>
    <row r="2017" spans="4:6" x14ac:dyDescent="0.2">
      <c r="D2017" s="18">
        <f t="shared" ca="1" si="63"/>
        <v>37.850787132101303</v>
      </c>
      <c r="E2017" s="33">
        <f t="shared" ca="1" si="64"/>
        <v>55810</v>
      </c>
      <c r="F2017" s="47">
        <v>2.6773378684623714</v>
      </c>
    </row>
    <row r="2018" spans="4:6" x14ac:dyDescent="0.2">
      <c r="D2018" s="18">
        <f t="shared" ca="1" si="63"/>
        <v>37.869952087611225</v>
      </c>
      <c r="E2018" s="33">
        <f t="shared" ca="1" si="64"/>
        <v>55817</v>
      </c>
      <c r="F2018" s="47">
        <v>2.6771103089585897</v>
      </c>
    </row>
    <row r="2019" spans="4:6" x14ac:dyDescent="0.2">
      <c r="D2019" s="18">
        <f t="shared" ca="1" si="63"/>
        <v>37.889117043121146</v>
      </c>
      <c r="E2019" s="33">
        <f t="shared" ca="1" si="64"/>
        <v>55824</v>
      </c>
      <c r="F2019" s="47">
        <v>2.6768837008881334</v>
      </c>
    </row>
    <row r="2020" spans="4:6" x14ac:dyDescent="0.2">
      <c r="D2020" s="18">
        <f t="shared" ca="1" si="63"/>
        <v>37.908281998631075</v>
      </c>
      <c r="E2020" s="33">
        <f t="shared" ca="1" si="64"/>
        <v>55831</v>
      </c>
      <c r="F2020" s="47">
        <v>2.6766580479070528</v>
      </c>
    </row>
    <row r="2021" spans="4:6" x14ac:dyDescent="0.2">
      <c r="D2021" s="18">
        <f t="shared" ca="1" si="63"/>
        <v>37.927446954140997</v>
      </c>
      <c r="E2021" s="33">
        <f t="shared" ca="1" si="64"/>
        <v>55838</v>
      </c>
      <c r="F2021" s="47">
        <v>2.6764333536016474</v>
      </c>
    </row>
    <row r="2022" spans="4:6" x14ac:dyDescent="0.2">
      <c r="D2022" s="18">
        <f t="shared" ca="1" si="63"/>
        <v>37.946611909650926</v>
      </c>
      <c r="E2022" s="33">
        <f t="shared" ca="1" si="64"/>
        <v>55845</v>
      </c>
      <c r="F2022" s="47">
        <v>2.6762096214886117</v>
      </c>
    </row>
    <row r="2023" spans="4:6" x14ac:dyDescent="0.2">
      <c r="D2023" s="18">
        <f t="shared" ca="1" si="63"/>
        <v>37.965776865160848</v>
      </c>
      <c r="E2023" s="33">
        <f t="shared" ca="1" si="64"/>
        <v>55852</v>
      </c>
      <c r="F2023" s="47">
        <v>2.675986855015196</v>
      </c>
    </row>
    <row r="2024" spans="4:6" x14ac:dyDescent="0.2">
      <c r="D2024" s="18">
        <f t="shared" ca="1" si="63"/>
        <v>37.984941820670777</v>
      </c>
      <c r="E2024" s="33">
        <f t="shared" ca="1" si="64"/>
        <v>55859</v>
      </c>
      <c r="F2024" s="47">
        <v>2.6757650575593677</v>
      </c>
    </row>
    <row r="2025" spans="4:6" x14ac:dyDescent="0.2">
      <c r="D2025" s="18">
        <f t="shared" ca="1" si="63"/>
        <v>38.004106776180699</v>
      </c>
      <c r="E2025" s="33">
        <f t="shared" ca="1" si="64"/>
        <v>55866</v>
      </c>
      <c r="F2025" s="47">
        <v>2.6755442324299832</v>
      </c>
    </row>
    <row r="2026" spans="4:6" x14ac:dyDescent="0.2">
      <c r="D2026" s="18">
        <f t="shared" ref="D2026:D2089" ca="1" si="65">(E2026-$E$42)/365.25</f>
        <v>38.02327173169062</v>
      </c>
      <c r="E2026" s="33">
        <f t="shared" ca="1" si="64"/>
        <v>55873</v>
      </c>
      <c r="F2026" s="47">
        <v>2.6753243828669677</v>
      </c>
    </row>
    <row r="2027" spans="4:6" x14ac:dyDescent="0.2">
      <c r="D2027" s="18">
        <f t="shared" ca="1" si="65"/>
        <v>38.042436687200549</v>
      </c>
      <c r="E2027" s="33">
        <f t="shared" ref="E2027:E2090" ca="1" si="66">E2026+7</f>
        <v>55880</v>
      </c>
      <c r="F2027" s="47">
        <v>2.6751055120415028</v>
      </c>
    </row>
    <row r="2028" spans="4:6" x14ac:dyDescent="0.2">
      <c r="D2028" s="18">
        <f t="shared" ca="1" si="65"/>
        <v>38.061601642710471</v>
      </c>
      <c r="E2028" s="33">
        <f t="shared" ca="1" si="66"/>
        <v>55887</v>
      </c>
      <c r="F2028" s="47">
        <v>2.6748876230562213</v>
      </c>
    </row>
    <row r="2029" spans="4:6" x14ac:dyDescent="0.2">
      <c r="D2029" s="18">
        <f t="shared" ca="1" si="65"/>
        <v>38.0807665982204</v>
      </c>
      <c r="E2029" s="33">
        <f t="shared" ca="1" si="66"/>
        <v>55894</v>
      </c>
      <c r="F2029" s="47">
        <v>2.6746707189454062</v>
      </c>
    </row>
    <row r="2030" spans="4:6" x14ac:dyDescent="0.2">
      <c r="D2030" s="18">
        <f t="shared" ca="1" si="65"/>
        <v>38.099931553730322</v>
      </c>
      <c r="E2030" s="33">
        <f t="shared" ca="1" si="66"/>
        <v>55901</v>
      </c>
      <c r="F2030" s="47">
        <v>2.674454802675204</v>
      </c>
    </row>
    <row r="2031" spans="4:6" x14ac:dyDescent="0.2">
      <c r="D2031" s="18">
        <f t="shared" ca="1" si="65"/>
        <v>38.119096509240244</v>
      </c>
      <c r="E2031" s="33">
        <f t="shared" ca="1" si="66"/>
        <v>55908</v>
      </c>
      <c r="F2031" s="47">
        <v>2.6742398771438372</v>
      </c>
    </row>
    <row r="2032" spans="4:6" x14ac:dyDescent="0.2">
      <c r="D2032" s="18">
        <f t="shared" ca="1" si="65"/>
        <v>38.138261464750173</v>
      </c>
      <c r="E2032" s="33">
        <f t="shared" ca="1" si="66"/>
        <v>55915</v>
      </c>
      <c r="F2032" s="47">
        <v>2.6740259451818296</v>
      </c>
    </row>
    <row r="2033" spans="4:6" x14ac:dyDescent="0.2">
      <c r="D2033" s="18">
        <f t="shared" ca="1" si="65"/>
        <v>38.157426420260094</v>
      </c>
      <c r="E2033" s="33">
        <f t="shared" ca="1" si="66"/>
        <v>55922</v>
      </c>
      <c r="F2033" s="47">
        <v>2.6738130095522363</v>
      </c>
    </row>
    <row r="2034" spans="4:6" x14ac:dyDescent="0.2">
      <c r="D2034" s="18">
        <f t="shared" ca="1" si="65"/>
        <v>38.176591375770023</v>
      </c>
      <c r="E2034" s="33">
        <f t="shared" ca="1" si="66"/>
        <v>55929</v>
      </c>
      <c r="F2034" s="47">
        <v>2.6736010729508788</v>
      </c>
    </row>
    <row r="2035" spans="4:6" x14ac:dyDescent="0.2">
      <c r="D2035" s="18">
        <f t="shared" ca="1" si="65"/>
        <v>38.195756331279945</v>
      </c>
      <c r="E2035" s="33">
        <f t="shared" ca="1" si="66"/>
        <v>55936</v>
      </c>
      <c r="F2035" s="47">
        <v>2.6733901380065919</v>
      </c>
    </row>
    <row r="2036" spans="4:6" x14ac:dyDescent="0.2">
      <c r="D2036" s="18">
        <f t="shared" ca="1" si="65"/>
        <v>38.214921286789867</v>
      </c>
      <c r="E2036" s="33">
        <f t="shared" ca="1" si="66"/>
        <v>55943</v>
      </c>
      <c r="F2036" s="47">
        <v>2.6731802072814697</v>
      </c>
    </row>
    <row r="2037" spans="4:6" x14ac:dyDescent="0.2">
      <c r="D2037" s="18">
        <f t="shared" ca="1" si="65"/>
        <v>38.234086242299796</v>
      </c>
      <c r="E2037" s="33">
        <f t="shared" ca="1" si="66"/>
        <v>55950</v>
      </c>
      <c r="F2037" s="47">
        <v>2.6729712832711252</v>
      </c>
    </row>
    <row r="2038" spans="4:6" x14ac:dyDescent="0.2">
      <c r="D2038" s="18">
        <f t="shared" ca="1" si="65"/>
        <v>38.253251197809718</v>
      </c>
      <c r="E2038" s="33">
        <f t="shared" ca="1" si="66"/>
        <v>55957</v>
      </c>
      <c r="F2038" s="47">
        <v>2.6727633684049539</v>
      </c>
    </row>
    <row r="2039" spans="4:6" x14ac:dyDescent="0.2">
      <c r="D2039" s="18">
        <f t="shared" ca="1" si="65"/>
        <v>38.272416153319647</v>
      </c>
      <c r="E2039" s="33">
        <f t="shared" ca="1" si="66"/>
        <v>55964</v>
      </c>
      <c r="F2039" s="47">
        <v>2.6725564650463984</v>
      </c>
    </row>
    <row r="2040" spans="4:6" x14ac:dyDescent="0.2">
      <c r="D2040" s="18">
        <f t="shared" ca="1" si="65"/>
        <v>38.291581108829568</v>
      </c>
      <c r="E2040" s="33">
        <f t="shared" ca="1" si="66"/>
        <v>55971</v>
      </c>
      <c r="F2040" s="47">
        <v>2.6723505754932302</v>
      </c>
    </row>
    <row r="2041" spans="4:6" x14ac:dyDescent="0.2">
      <c r="D2041" s="18">
        <f t="shared" ca="1" si="65"/>
        <v>38.31074606433949</v>
      </c>
      <c r="E2041" s="33">
        <f t="shared" ca="1" si="66"/>
        <v>55978</v>
      </c>
      <c r="F2041" s="47">
        <v>2.6721457019778274</v>
      </c>
    </row>
    <row r="2042" spans="4:6" x14ac:dyDescent="0.2">
      <c r="D2042" s="18">
        <f t="shared" ca="1" si="65"/>
        <v>38.329911019849419</v>
      </c>
      <c r="E2042" s="33">
        <f t="shared" ca="1" si="66"/>
        <v>55985</v>
      </c>
      <c r="F2042" s="47">
        <v>2.67194184666746</v>
      </c>
    </row>
    <row r="2043" spans="4:6" x14ac:dyDescent="0.2">
      <c r="D2043" s="18">
        <f t="shared" ca="1" si="65"/>
        <v>38.349075975359341</v>
      </c>
      <c r="E2043" s="33">
        <f t="shared" ca="1" si="66"/>
        <v>55992</v>
      </c>
      <c r="F2043" s="47">
        <v>2.6717390116645876</v>
      </c>
    </row>
    <row r="2044" spans="4:6" x14ac:dyDescent="0.2">
      <c r="D2044" s="18">
        <f t="shared" ca="1" si="65"/>
        <v>38.36824093086927</v>
      </c>
      <c r="E2044" s="33">
        <f t="shared" ca="1" si="66"/>
        <v>55999</v>
      </c>
      <c r="F2044" s="47">
        <v>2.6715371990071568</v>
      </c>
    </row>
    <row r="2045" spans="4:6" x14ac:dyDescent="0.2">
      <c r="D2045" s="18">
        <f t="shared" ca="1" si="65"/>
        <v>38.387405886379192</v>
      </c>
      <c r="E2045" s="33">
        <f t="shared" ca="1" si="66"/>
        <v>56006</v>
      </c>
      <c r="F2045" s="47">
        <v>2.6713364106689022</v>
      </c>
    </row>
    <row r="2046" spans="4:6" x14ac:dyDescent="0.2">
      <c r="D2046" s="18">
        <f t="shared" ca="1" si="65"/>
        <v>38.406570841889121</v>
      </c>
      <c r="E2046" s="33">
        <f t="shared" ca="1" si="66"/>
        <v>56013</v>
      </c>
      <c r="F2046" s="47">
        <v>2.6711366485596599</v>
      </c>
    </row>
    <row r="2047" spans="4:6" x14ac:dyDescent="0.2">
      <c r="D2047" s="18">
        <f t="shared" ca="1" si="65"/>
        <v>38.425735797399042</v>
      </c>
      <c r="E2047" s="33">
        <f t="shared" ca="1" si="66"/>
        <v>56020</v>
      </c>
      <c r="F2047" s="47">
        <v>2.6709379145256835</v>
      </c>
    </row>
    <row r="2048" spans="4:6" x14ac:dyDescent="0.2">
      <c r="D2048" s="18">
        <f t="shared" ca="1" si="65"/>
        <v>38.444900752908964</v>
      </c>
      <c r="E2048" s="33">
        <f t="shared" ca="1" si="66"/>
        <v>56027</v>
      </c>
      <c r="F2048" s="47">
        <v>2.67074021034996</v>
      </c>
    </row>
    <row r="2049" spans="4:6" x14ac:dyDescent="0.2">
      <c r="D2049" s="18">
        <f t="shared" ca="1" si="65"/>
        <v>38.464065708418893</v>
      </c>
      <c r="E2049" s="33">
        <f t="shared" ca="1" si="66"/>
        <v>56034</v>
      </c>
      <c r="F2049" s="47">
        <v>2.6705435377525393</v>
      </c>
    </row>
    <row r="2050" spans="4:6" x14ac:dyDescent="0.2">
      <c r="D2050" s="18">
        <f t="shared" ca="1" si="65"/>
        <v>38.483230663928815</v>
      </c>
      <c r="E2050" s="33">
        <f t="shared" ca="1" si="66"/>
        <v>56041</v>
      </c>
      <c r="F2050" s="47">
        <v>2.6703478983908613</v>
      </c>
    </row>
    <row r="2051" spans="4:6" x14ac:dyDescent="0.2">
      <c r="D2051" s="18">
        <f t="shared" ca="1" si="65"/>
        <v>38.502395619438744</v>
      </c>
      <c r="E2051" s="33">
        <f t="shared" ca="1" si="66"/>
        <v>56048</v>
      </c>
      <c r="F2051" s="47">
        <v>2.6701532938600967</v>
      </c>
    </row>
    <row r="2052" spans="4:6" x14ac:dyDescent="0.2">
      <c r="D2052" s="18">
        <f t="shared" ca="1" si="65"/>
        <v>38.521560574948666</v>
      </c>
      <c r="E2052" s="33">
        <f t="shared" ca="1" si="66"/>
        <v>56055</v>
      </c>
      <c r="F2052" s="47">
        <v>2.6699597256934831</v>
      </c>
    </row>
    <row r="2053" spans="4:6" x14ac:dyDescent="0.2">
      <c r="D2053" s="18">
        <f t="shared" ca="1" si="65"/>
        <v>38.540725530458587</v>
      </c>
      <c r="E2053" s="33">
        <f t="shared" ca="1" si="66"/>
        <v>56062</v>
      </c>
      <c r="F2053" s="47">
        <v>2.6697671953626694</v>
      </c>
    </row>
    <row r="2054" spans="4:6" x14ac:dyDescent="0.2">
      <c r="D2054" s="18">
        <f t="shared" ca="1" si="65"/>
        <v>38.559890485968516</v>
      </c>
      <c r="E2054" s="33">
        <f t="shared" ca="1" si="66"/>
        <v>56069</v>
      </c>
      <c r="F2054" s="47">
        <v>2.6695757042780661</v>
      </c>
    </row>
    <row r="2055" spans="4:6" x14ac:dyDescent="0.2">
      <c r="D2055" s="18">
        <f t="shared" ca="1" si="65"/>
        <v>38.579055441478438</v>
      </c>
      <c r="E2055" s="33">
        <f t="shared" ca="1" si="66"/>
        <v>56076</v>
      </c>
      <c r="F2055" s="47">
        <v>2.6693852537892031</v>
      </c>
    </row>
    <row r="2056" spans="4:6" x14ac:dyDescent="0.2">
      <c r="D2056" s="18">
        <f t="shared" ca="1" si="65"/>
        <v>38.598220396988367</v>
      </c>
      <c r="E2056" s="33">
        <f t="shared" ca="1" si="66"/>
        <v>56083</v>
      </c>
      <c r="F2056" s="47">
        <v>2.6691958451850817</v>
      </c>
    </row>
    <row r="2057" spans="4:6" x14ac:dyDescent="0.2">
      <c r="D2057" s="18">
        <f t="shared" ca="1" si="65"/>
        <v>38.617385352498289</v>
      </c>
      <c r="E2057" s="33">
        <f t="shared" ca="1" si="66"/>
        <v>56090</v>
      </c>
      <c r="F2057" s="47">
        <v>2.669007479694542</v>
      </c>
    </row>
    <row r="2058" spans="4:6" x14ac:dyDescent="0.2">
      <c r="D2058" s="18">
        <f t="shared" ca="1" si="65"/>
        <v>38.636550308008211</v>
      </c>
      <c r="E2058" s="33">
        <f t="shared" ca="1" si="66"/>
        <v>56097</v>
      </c>
      <c r="F2058" s="47">
        <v>2.6688201584866285</v>
      </c>
    </row>
    <row r="2059" spans="4:6" x14ac:dyDescent="0.2">
      <c r="D2059" s="18">
        <f t="shared" ca="1" si="65"/>
        <v>38.65571526351814</v>
      </c>
      <c r="E2059" s="33">
        <f t="shared" ca="1" si="66"/>
        <v>56104</v>
      </c>
      <c r="F2059" s="47">
        <v>2.6686338826709561</v>
      </c>
    </row>
    <row r="2060" spans="4:6" x14ac:dyDescent="0.2">
      <c r="D2060" s="18">
        <f t="shared" ca="1" si="65"/>
        <v>38.674880219028061</v>
      </c>
      <c r="E2060" s="33">
        <f t="shared" ca="1" si="66"/>
        <v>56111</v>
      </c>
      <c r="F2060" s="47">
        <v>2.6684486532980931</v>
      </c>
    </row>
    <row r="2061" spans="4:6" x14ac:dyDescent="0.2">
      <c r="D2061" s="18">
        <f t="shared" ca="1" si="65"/>
        <v>38.69404517453799</v>
      </c>
      <c r="E2061" s="33">
        <f t="shared" ca="1" si="66"/>
        <v>56118</v>
      </c>
      <c r="F2061" s="47">
        <v>2.6682644713599348</v>
      </c>
    </row>
    <row r="2062" spans="4:6" x14ac:dyDescent="0.2">
      <c r="D2062" s="18">
        <f t="shared" ca="1" si="65"/>
        <v>38.713210130047912</v>
      </c>
      <c r="E2062" s="33">
        <f t="shared" ca="1" si="66"/>
        <v>56125</v>
      </c>
      <c r="F2062" s="47">
        <v>2.6680813377900847</v>
      </c>
    </row>
    <row r="2063" spans="4:6" x14ac:dyDescent="0.2">
      <c r="D2063" s="18">
        <f t="shared" ca="1" si="65"/>
        <v>38.732375085557834</v>
      </c>
      <c r="E2063" s="33">
        <f t="shared" ca="1" si="66"/>
        <v>56132</v>
      </c>
      <c r="F2063" s="47">
        <v>2.6678992534642414</v>
      </c>
    </row>
    <row r="2064" spans="4:6" x14ac:dyDescent="0.2">
      <c r="D2064" s="18">
        <f t="shared" ca="1" si="65"/>
        <v>38.751540041067763</v>
      </c>
      <c r="E2064" s="33">
        <f t="shared" ca="1" si="66"/>
        <v>56139</v>
      </c>
      <c r="F2064" s="47">
        <v>2.6677182192005899</v>
      </c>
    </row>
    <row r="2065" spans="4:6" x14ac:dyDescent="0.2">
      <c r="D2065" s="18">
        <f t="shared" ca="1" si="65"/>
        <v>38.770704996577685</v>
      </c>
      <c r="E2065" s="33">
        <f t="shared" ca="1" si="66"/>
        <v>56146</v>
      </c>
      <c r="F2065" s="47">
        <v>2.6675382357601891</v>
      </c>
    </row>
    <row r="2066" spans="4:6" x14ac:dyDescent="0.2">
      <c r="D2066" s="18">
        <f t="shared" ca="1" si="65"/>
        <v>38.789869952087614</v>
      </c>
      <c r="E2066" s="33">
        <f t="shared" ca="1" si="66"/>
        <v>56153</v>
      </c>
      <c r="F2066" s="47">
        <v>2.6673593038473751</v>
      </c>
    </row>
    <row r="2067" spans="4:6" x14ac:dyDescent="0.2">
      <c r="D2067" s="18">
        <f t="shared" ca="1" si="65"/>
        <v>38.809034907597535</v>
      </c>
      <c r="E2067" s="33">
        <f t="shared" ca="1" si="66"/>
        <v>56160</v>
      </c>
      <c r="F2067" s="47">
        <v>2.6671814241101535</v>
      </c>
    </row>
    <row r="2068" spans="4:6" x14ac:dyDescent="0.2">
      <c r="D2068" s="18">
        <f t="shared" ca="1" si="65"/>
        <v>38.828199863107457</v>
      </c>
      <c r="E2068" s="33">
        <f t="shared" ca="1" si="66"/>
        <v>56167</v>
      </c>
      <c r="F2068" s="47">
        <v>2.6670045971406036</v>
      </c>
    </row>
    <row r="2069" spans="4:6" x14ac:dyDescent="0.2">
      <c r="D2069" s="18">
        <f t="shared" ca="1" si="65"/>
        <v>38.847364818617386</v>
      </c>
      <c r="E2069" s="33">
        <f t="shared" ca="1" si="66"/>
        <v>56174</v>
      </c>
      <c r="F2069" s="47">
        <v>2.666828823475285</v>
      </c>
    </row>
    <row r="2070" spans="4:6" x14ac:dyDescent="0.2">
      <c r="D2070" s="18">
        <f t="shared" ca="1" si="65"/>
        <v>38.866529774127308</v>
      </c>
      <c r="E2070" s="33">
        <f t="shared" ca="1" si="66"/>
        <v>56181</v>
      </c>
      <c r="F2070" s="47">
        <v>2.6666541035956448</v>
      </c>
    </row>
    <row r="2071" spans="4:6" x14ac:dyDescent="0.2">
      <c r="D2071" s="18">
        <f t="shared" ca="1" si="65"/>
        <v>38.885694729637237</v>
      </c>
      <c r="E2071" s="33">
        <f t="shared" ca="1" si="66"/>
        <v>56188</v>
      </c>
      <c r="F2071" s="47">
        <v>2.6664804379284264</v>
      </c>
    </row>
    <row r="2072" spans="4:6" x14ac:dyDescent="0.2">
      <c r="D2072" s="18">
        <f t="shared" ca="1" si="65"/>
        <v>38.904859685147159</v>
      </c>
      <c r="E2072" s="33">
        <f t="shared" ca="1" si="66"/>
        <v>56195</v>
      </c>
      <c r="F2072" s="47">
        <v>2.6663078268460834</v>
      </c>
    </row>
    <row r="2073" spans="4:6" x14ac:dyDescent="0.2">
      <c r="D2073" s="18">
        <f t="shared" ca="1" si="65"/>
        <v>38.924024640657088</v>
      </c>
      <c r="E2073" s="33">
        <f t="shared" ca="1" si="66"/>
        <v>56202</v>
      </c>
      <c r="F2073" s="47">
        <v>2.6661362706671992</v>
      </c>
    </row>
    <row r="2074" spans="4:6" x14ac:dyDescent="0.2">
      <c r="D2074" s="18">
        <f t="shared" ca="1" si="65"/>
        <v>38.943189596167009</v>
      </c>
      <c r="E2074" s="33">
        <f t="shared" ca="1" si="66"/>
        <v>56209</v>
      </c>
      <c r="F2074" s="47">
        <v>2.6659657696569004</v>
      </c>
    </row>
    <row r="2075" spans="4:6" x14ac:dyDescent="0.2">
      <c r="D2075" s="18">
        <f t="shared" ca="1" si="65"/>
        <v>38.962354551676931</v>
      </c>
      <c r="E2075" s="33">
        <f t="shared" ca="1" si="66"/>
        <v>56216</v>
      </c>
      <c r="F2075" s="47">
        <v>2.66579632402728</v>
      </c>
    </row>
    <row r="2076" spans="4:6" x14ac:dyDescent="0.2">
      <c r="D2076" s="18">
        <f t="shared" ca="1" si="65"/>
        <v>38.98151950718686</v>
      </c>
      <c r="E2076" s="33">
        <f t="shared" ca="1" si="66"/>
        <v>56223</v>
      </c>
      <c r="F2076" s="47">
        <v>2.6656279339378179</v>
      </c>
    </row>
    <row r="2077" spans="4:6" x14ac:dyDescent="0.2">
      <c r="D2077" s="18">
        <f t="shared" ca="1" si="65"/>
        <v>39.000684462696782</v>
      </c>
      <c r="E2077" s="33">
        <f t="shared" ca="1" si="66"/>
        <v>56230</v>
      </c>
      <c r="F2077" s="47">
        <v>2.6654605994958125</v>
      </c>
    </row>
    <row r="2078" spans="4:6" x14ac:dyDescent="0.2">
      <c r="D2078" s="18">
        <f t="shared" ca="1" si="65"/>
        <v>39.019849418206711</v>
      </c>
      <c r="E2078" s="33">
        <f t="shared" ca="1" si="66"/>
        <v>56237</v>
      </c>
      <c r="F2078" s="47">
        <v>2.6652943207567974</v>
      </c>
    </row>
    <row r="2079" spans="4:6" x14ac:dyDescent="0.2">
      <c r="D2079" s="18">
        <f t="shared" ca="1" si="65"/>
        <v>39.039014373716633</v>
      </c>
      <c r="E2079" s="33">
        <f t="shared" ca="1" si="66"/>
        <v>56244</v>
      </c>
      <c r="F2079" s="47">
        <v>2.66512909772498</v>
      </c>
    </row>
    <row r="2080" spans="4:6" x14ac:dyDescent="0.2">
      <c r="D2080" s="18">
        <f t="shared" ca="1" si="65"/>
        <v>39.058179329226554</v>
      </c>
      <c r="E2080" s="33">
        <f t="shared" ca="1" si="66"/>
        <v>56251</v>
      </c>
      <c r="F2080" s="47">
        <v>2.6649649303536682</v>
      </c>
    </row>
    <row r="2081" spans="4:6" x14ac:dyDescent="0.2">
      <c r="D2081" s="18">
        <f t="shared" ca="1" si="65"/>
        <v>39.077344284736483</v>
      </c>
      <c r="E2081" s="33">
        <f t="shared" ca="1" si="66"/>
        <v>56258</v>
      </c>
      <c r="F2081" s="47">
        <v>2.6648018185457012</v>
      </c>
    </row>
    <row r="2082" spans="4:6" x14ac:dyDescent="0.2">
      <c r="D2082" s="18">
        <f t="shared" ca="1" si="65"/>
        <v>39.096509240246405</v>
      </c>
      <c r="E2082" s="33">
        <f t="shared" ca="1" si="66"/>
        <v>56265</v>
      </c>
      <c r="F2082" s="47">
        <v>2.6646397621538904</v>
      </c>
    </row>
    <row r="2083" spans="4:6" x14ac:dyDescent="0.2">
      <c r="D2083" s="18">
        <f t="shared" ca="1" si="65"/>
        <v>39.115674195756334</v>
      </c>
      <c r="E2083" s="33">
        <f t="shared" ca="1" si="66"/>
        <v>56272</v>
      </c>
      <c r="F2083" s="47">
        <v>2.6644787609814484</v>
      </c>
    </row>
    <row r="2084" spans="4:6" x14ac:dyDescent="0.2">
      <c r="D2084" s="18">
        <f t="shared" ca="1" si="65"/>
        <v>39.134839151266256</v>
      </c>
      <c r="E2084" s="33">
        <f t="shared" ca="1" si="66"/>
        <v>56279</v>
      </c>
      <c r="F2084" s="47">
        <v>2.6643188147824302</v>
      </c>
    </row>
    <row r="2085" spans="4:6" x14ac:dyDescent="0.2">
      <c r="D2085" s="18">
        <f t="shared" ca="1" si="65"/>
        <v>39.154004106776178</v>
      </c>
      <c r="E2085" s="33">
        <f t="shared" ca="1" si="66"/>
        <v>56286</v>
      </c>
      <c r="F2085" s="47">
        <v>2.6641599232621709</v>
      </c>
    </row>
    <row r="2086" spans="4:6" x14ac:dyDescent="0.2">
      <c r="D2086" s="18">
        <f t="shared" ca="1" si="65"/>
        <v>39.173169062286107</v>
      </c>
      <c r="E2086" s="33">
        <f t="shared" ca="1" si="66"/>
        <v>56293</v>
      </c>
      <c r="F2086" s="47">
        <v>2.664002086077728</v>
      </c>
    </row>
    <row r="2087" spans="4:6" x14ac:dyDescent="0.2">
      <c r="D2087" s="18">
        <f t="shared" ca="1" si="65"/>
        <v>39.192334017796028</v>
      </c>
      <c r="E2087" s="33">
        <f t="shared" ca="1" si="66"/>
        <v>56300</v>
      </c>
      <c r="F2087" s="47">
        <v>2.6638453028383191</v>
      </c>
    </row>
    <row r="2088" spans="4:6" x14ac:dyDescent="0.2">
      <c r="D2088" s="18">
        <f t="shared" ca="1" si="65"/>
        <v>39.211498973305957</v>
      </c>
      <c r="E2088" s="33">
        <f t="shared" ca="1" si="66"/>
        <v>56307</v>
      </c>
      <c r="F2088" s="47">
        <v>2.6636895731057679</v>
      </c>
    </row>
    <row r="2089" spans="4:6" x14ac:dyDescent="0.2">
      <c r="D2089" s="18">
        <f t="shared" ca="1" si="65"/>
        <v>39.230663928815879</v>
      </c>
      <c r="E2089" s="33">
        <f t="shared" ca="1" si="66"/>
        <v>56314</v>
      </c>
      <c r="F2089" s="47">
        <v>2.663534896394947</v>
      </c>
    </row>
    <row r="2090" spans="4:6" x14ac:dyDescent="0.2">
      <c r="D2090" s="18">
        <f t="shared" ref="D2090:D2153" ca="1" si="67">(E2090-$E$42)/365.25</f>
        <v>39.249828884325801</v>
      </c>
      <c r="E2090" s="33">
        <f t="shared" ca="1" si="66"/>
        <v>56321</v>
      </c>
      <c r="F2090" s="47">
        <v>2.6633812721742189</v>
      </c>
    </row>
    <row r="2091" spans="4:6" x14ac:dyDescent="0.2">
      <c r="D2091" s="18">
        <f t="shared" ca="1" si="67"/>
        <v>39.26899383983573</v>
      </c>
      <c r="E2091" s="33">
        <f t="shared" ref="E2091:E2154" ca="1" si="68">E2090+7</f>
        <v>56328</v>
      </c>
      <c r="F2091" s="47">
        <v>2.6632286998658894</v>
      </c>
    </row>
    <row r="2092" spans="4:6" x14ac:dyDescent="0.2">
      <c r="D2092" s="18">
        <f t="shared" ca="1" si="67"/>
        <v>39.288158795345652</v>
      </c>
      <c r="E2092" s="33">
        <f t="shared" ca="1" si="68"/>
        <v>56335</v>
      </c>
      <c r="F2092" s="47">
        <v>2.6630771788466441</v>
      </c>
    </row>
    <row r="2093" spans="4:6" x14ac:dyDescent="0.2">
      <c r="D2093" s="18">
        <f t="shared" ca="1" si="67"/>
        <v>39.307323750855581</v>
      </c>
      <c r="E2093" s="33">
        <f t="shared" ca="1" si="68"/>
        <v>56342</v>
      </c>
      <c r="F2093" s="47">
        <v>2.6629267084480044</v>
      </c>
    </row>
    <row r="2094" spans="4:6" x14ac:dyDescent="0.2">
      <c r="D2094" s="18">
        <f t="shared" ca="1" si="67"/>
        <v>39.326488706365502</v>
      </c>
      <c r="E2094" s="33">
        <f t="shared" ca="1" si="68"/>
        <v>56349</v>
      </c>
      <c r="F2094" s="47">
        <v>2.662777287956767</v>
      </c>
    </row>
    <row r="2095" spans="4:6" x14ac:dyDescent="0.2">
      <c r="D2095" s="18">
        <f t="shared" ca="1" si="67"/>
        <v>39.345653661875431</v>
      </c>
      <c r="E2095" s="33">
        <f t="shared" ca="1" si="68"/>
        <v>56356</v>
      </c>
      <c r="F2095" s="47">
        <v>2.6626289166154602</v>
      </c>
    </row>
    <row r="2096" spans="4:6" x14ac:dyDescent="0.2">
      <c r="D2096" s="18">
        <f t="shared" ca="1" si="67"/>
        <v>39.364818617385353</v>
      </c>
      <c r="E2096" s="33">
        <f t="shared" ca="1" si="68"/>
        <v>56363</v>
      </c>
      <c r="F2096" s="47">
        <v>2.6624815936227857</v>
      </c>
    </row>
    <row r="2097" spans="4:6" x14ac:dyDescent="0.2">
      <c r="D2097" s="18">
        <f t="shared" ca="1" si="67"/>
        <v>39.383983572895275</v>
      </c>
      <c r="E2097" s="33">
        <f t="shared" ca="1" si="68"/>
        <v>56370</v>
      </c>
      <c r="F2097" s="47">
        <v>2.6623353181340694</v>
      </c>
    </row>
    <row r="2098" spans="4:6" x14ac:dyDescent="0.2">
      <c r="D2098" s="18">
        <f t="shared" ca="1" si="67"/>
        <v>39.403148528405204</v>
      </c>
      <c r="E2098" s="33">
        <f t="shared" ca="1" si="68"/>
        <v>56377</v>
      </c>
      <c r="F2098" s="47">
        <v>2.6621900892617143</v>
      </c>
    </row>
    <row r="2099" spans="4:6" x14ac:dyDescent="0.2">
      <c r="D2099" s="18">
        <f t="shared" ca="1" si="67"/>
        <v>39.422313483915126</v>
      </c>
      <c r="E2099" s="33">
        <f t="shared" ca="1" si="68"/>
        <v>56384</v>
      </c>
      <c r="F2099" s="47">
        <v>2.6620459060756452</v>
      </c>
    </row>
    <row r="2100" spans="4:6" x14ac:dyDescent="0.2">
      <c r="D2100" s="18">
        <f t="shared" ca="1" si="67"/>
        <v>39.441478439425055</v>
      </c>
      <c r="E2100" s="33">
        <f t="shared" ca="1" si="68"/>
        <v>56391</v>
      </c>
      <c r="F2100" s="47">
        <v>2.6619027676037619</v>
      </c>
    </row>
    <row r="2101" spans="4:6" x14ac:dyDescent="0.2">
      <c r="D2101" s="18">
        <f t="shared" ca="1" si="67"/>
        <v>39.460643394934976</v>
      </c>
      <c r="E2101" s="33">
        <f t="shared" ca="1" si="68"/>
        <v>56398</v>
      </c>
      <c r="F2101" s="47">
        <v>2.6617606728323855</v>
      </c>
    </row>
    <row r="2102" spans="4:6" x14ac:dyDescent="0.2">
      <c r="D2102" s="18">
        <f t="shared" ca="1" si="67"/>
        <v>39.479808350444898</v>
      </c>
      <c r="E2102" s="33">
        <f t="shared" ca="1" si="68"/>
        <v>56405</v>
      </c>
      <c r="F2102" s="47">
        <v>2.6616196207067122</v>
      </c>
    </row>
    <row r="2103" spans="4:6" x14ac:dyDescent="0.2">
      <c r="D2103" s="18">
        <f t="shared" ca="1" si="67"/>
        <v>39.498973305954827</v>
      </c>
      <c r="E2103" s="33">
        <f t="shared" ca="1" si="68"/>
        <v>56412</v>
      </c>
      <c r="F2103" s="47">
        <v>2.6614796101312592</v>
      </c>
    </row>
    <row r="2104" spans="4:6" x14ac:dyDescent="0.2">
      <c r="D2104" s="18">
        <f t="shared" ca="1" si="67"/>
        <v>39.518138261464749</v>
      </c>
      <c r="E2104" s="33">
        <f t="shared" ca="1" si="68"/>
        <v>56419</v>
      </c>
      <c r="F2104" s="47">
        <v>2.6613406399703186</v>
      </c>
    </row>
    <row r="2105" spans="4:6" x14ac:dyDescent="0.2">
      <c r="D2105" s="18">
        <f t="shared" ca="1" si="67"/>
        <v>39.537303216974678</v>
      </c>
      <c r="E2105" s="33">
        <f t="shared" ca="1" si="68"/>
        <v>56426</v>
      </c>
      <c r="F2105" s="47">
        <v>2.6612027090484029</v>
      </c>
    </row>
    <row r="2106" spans="4:6" x14ac:dyDescent="0.2">
      <c r="D2106" s="18">
        <f t="shared" ca="1" si="67"/>
        <v>39.5564681724846</v>
      </c>
      <c r="E2106" s="33">
        <f t="shared" ca="1" si="68"/>
        <v>56433</v>
      </c>
      <c r="F2106" s="47">
        <v>2.6610658161506939</v>
      </c>
    </row>
    <row r="2107" spans="4:6" x14ac:dyDescent="0.2">
      <c r="D2107" s="18">
        <f t="shared" ca="1" si="67"/>
        <v>39.575633127994521</v>
      </c>
      <c r="E2107" s="33">
        <f t="shared" ca="1" si="68"/>
        <v>56440</v>
      </c>
      <c r="F2107" s="47">
        <v>2.6609299600234957</v>
      </c>
    </row>
    <row r="2108" spans="4:6" x14ac:dyDescent="0.2">
      <c r="D2108" s="18">
        <f t="shared" ca="1" si="67"/>
        <v>39.59479808350445</v>
      </c>
      <c r="E2108" s="33">
        <f t="shared" ca="1" si="68"/>
        <v>56447</v>
      </c>
      <c r="F2108" s="47">
        <v>2.6607951393746805</v>
      </c>
    </row>
    <row r="2109" spans="4:6" x14ac:dyDescent="0.2">
      <c r="D2109" s="18">
        <f t="shared" ca="1" si="67"/>
        <v>39.613963039014372</v>
      </c>
      <c r="E2109" s="33">
        <f t="shared" ca="1" si="68"/>
        <v>56454</v>
      </c>
      <c r="F2109" s="47">
        <v>2.6606613528741327</v>
      </c>
    </row>
    <row r="2110" spans="4:6" x14ac:dyDescent="0.2">
      <c r="D2110" s="18">
        <f t="shared" ca="1" si="67"/>
        <v>39.633127994524301</v>
      </c>
      <c r="E2110" s="33">
        <f t="shared" ca="1" si="68"/>
        <v>56461</v>
      </c>
      <c r="F2110" s="47">
        <v>2.6605285991542038</v>
      </c>
    </row>
    <row r="2111" spans="4:6" x14ac:dyDescent="0.2">
      <c r="D2111" s="18">
        <f t="shared" ca="1" si="67"/>
        <v>39.652292950034223</v>
      </c>
      <c r="E2111" s="33">
        <f t="shared" ca="1" si="68"/>
        <v>56468</v>
      </c>
      <c r="F2111" s="47">
        <v>2.6603968768101525</v>
      </c>
    </row>
    <row r="2112" spans="4:6" x14ac:dyDescent="0.2">
      <c r="D2112" s="18">
        <f t="shared" ca="1" si="67"/>
        <v>39.671457905544145</v>
      </c>
      <c r="E2112" s="33">
        <f t="shared" ca="1" si="68"/>
        <v>56475</v>
      </c>
      <c r="F2112" s="47">
        <v>2.6602661844005957</v>
      </c>
    </row>
    <row r="2113" spans="4:6" x14ac:dyDescent="0.2">
      <c r="D2113" s="18">
        <f t="shared" ca="1" si="67"/>
        <v>39.690622861054074</v>
      </c>
      <c r="E2113" s="33">
        <f t="shared" ca="1" si="68"/>
        <v>56482</v>
      </c>
      <c r="F2113" s="47">
        <v>2.6601365204479483</v>
      </c>
    </row>
    <row r="2114" spans="4:6" x14ac:dyDescent="0.2">
      <c r="D2114" s="18">
        <f t="shared" ca="1" si="67"/>
        <v>39.709787816563995</v>
      </c>
      <c r="E2114" s="33">
        <f t="shared" ca="1" si="68"/>
        <v>56489</v>
      </c>
      <c r="F2114" s="47">
        <v>2.6600078834388743</v>
      </c>
    </row>
    <row r="2115" spans="4:6" x14ac:dyDescent="0.2">
      <c r="D2115" s="18">
        <f t="shared" ca="1" si="67"/>
        <v>39.728952772073924</v>
      </c>
      <c r="E2115" s="33">
        <f t="shared" ca="1" si="68"/>
        <v>56496</v>
      </c>
      <c r="F2115" s="47">
        <v>2.6598802718247239</v>
      </c>
    </row>
    <row r="2116" spans="4:6" x14ac:dyDescent="0.2">
      <c r="D2116" s="18">
        <f t="shared" ca="1" si="67"/>
        <v>39.748117727583846</v>
      </c>
      <c r="E2116" s="33">
        <f t="shared" ca="1" si="68"/>
        <v>56503</v>
      </c>
      <c r="F2116" s="47">
        <v>2.6597536840219811</v>
      </c>
    </row>
    <row r="2117" spans="4:6" x14ac:dyDescent="0.2">
      <c r="D2117" s="18">
        <f t="shared" ca="1" si="67"/>
        <v>39.767282683093768</v>
      </c>
      <c r="E2117" s="33">
        <f t="shared" ca="1" si="68"/>
        <v>56510</v>
      </c>
      <c r="F2117" s="47">
        <v>2.6596281184127029</v>
      </c>
    </row>
    <row r="2118" spans="4:6" x14ac:dyDescent="0.2">
      <c r="D2118" s="18">
        <f t="shared" ca="1" si="67"/>
        <v>39.786447638603697</v>
      </c>
      <c r="E2118" s="33">
        <f t="shared" ca="1" si="68"/>
        <v>56517</v>
      </c>
      <c r="F2118" s="47">
        <v>2.6595035733449617</v>
      </c>
    </row>
    <row r="2119" spans="4:6" x14ac:dyDescent="0.2">
      <c r="D2119" s="18">
        <f t="shared" ca="1" si="67"/>
        <v>39.805612594113619</v>
      </c>
      <c r="E2119" s="33">
        <f t="shared" ca="1" si="68"/>
        <v>56524</v>
      </c>
      <c r="F2119" s="47">
        <v>2.6593800471332822</v>
      </c>
    </row>
    <row r="2120" spans="4:6" x14ac:dyDescent="0.2">
      <c r="D2120" s="18">
        <f t="shared" ca="1" si="67"/>
        <v>39.824777549623548</v>
      </c>
      <c r="E2120" s="33">
        <f t="shared" ca="1" si="68"/>
        <v>56531</v>
      </c>
      <c r="F2120" s="47">
        <v>2.6592575380590819</v>
      </c>
    </row>
    <row r="2121" spans="4:6" x14ac:dyDescent="0.2">
      <c r="D2121" s="18">
        <f t="shared" ca="1" si="67"/>
        <v>39.843942505133469</v>
      </c>
      <c r="E2121" s="33">
        <f t="shared" ca="1" si="68"/>
        <v>56538</v>
      </c>
      <c r="F2121" s="47">
        <v>2.6591360443711092</v>
      </c>
    </row>
    <row r="2122" spans="4:6" x14ac:dyDescent="0.2">
      <c r="D2122" s="18">
        <f t="shared" ca="1" si="67"/>
        <v>39.863107460643398</v>
      </c>
      <c r="E2122" s="33">
        <f t="shared" ca="1" si="68"/>
        <v>56545</v>
      </c>
      <c r="F2122" s="47">
        <v>2.6590155642858773</v>
      </c>
    </row>
    <row r="2123" spans="4:6" x14ac:dyDescent="0.2">
      <c r="D2123" s="18">
        <f t="shared" ca="1" si="67"/>
        <v>39.88227241615332</v>
      </c>
      <c r="E2123" s="33">
        <f t="shared" ca="1" si="68"/>
        <v>56552</v>
      </c>
      <c r="F2123" s="47">
        <v>2.6588960959881005</v>
      </c>
    </row>
    <row r="2124" spans="4:6" x14ac:dyDescent="0.2">
      <c r="D2124" s="18">
        <f t="shared" ca="1" si="67"/>
        <v>39.901437371663242</v>
      </c>
      <c r="E2124" s="33">
        <f t="shared" ca="1" si="68"/>
        <v>56559</v>
      </c>
      <c r="F2124" s="47">
        <v>2.658777637631125</v>
      </c>
    </row>
    <row r="2125" spans="4:6" x14ac:dyDescent="0.2">
      <c r="D2125" s="18">
        <f t="shared" ca="1" si="67"/>
        <v>39.920602327173171</v>
      </c>
      <c r="E2125" s="33">
        <f t="shared" ca="1" si="68"/>
        <v>56566</v>
      </c>
      <c r="F2125" s="47">
        <v>2.6586601873373668</v>
      </c>
    </row>
    <row r="2126" spans="4:6" x14ac:dyDescent="0.2">
      <c r="D2126" s="18">
        <f t="shared" ca="1" si="67"/>
        <v>39.939767282683093</v>
      </c>
      <c r="E2126" s="33">
        <f t="shared" ca="1" si="68"/>
        <v>56573</v>
      </c>
      <c r="F2126" s="47">
        <v>2.658543743198734</v>
      </c>
    </row>
    <row r="2127" spans="4:6" x14ac:dyDescent="0.2">
      <c r="D2127" s="18">
        <f t="shared" ca="1" si="67"/>
        <v>39.958932238193022</v>
      </c>
      <c r="E2127" s="33">
        <f t="shared" ca="1" si="68"/>
        <v>56580</v>
      </c>
      <c r="F2127" s="47">
        <v>2.6584283032770619</v>
      </c>
    </row>
    <row r="2128" spans="4:6" x14ac:dyDescent="0.2">
      <c r="D2128" s="18">
        <f t="shared" ca="1" si="67"/>
        <v>39.978097193702943</v>
      </c>
      <c r="E2128" s="33">
        <f t="shared" ca="1" si="68"/>
        <v>56587</v>
      </c>
      <c r="F2128" s="47">
        <v>2.6583138656045402</v>
      </c>
    </row>
    <row r="2129" spans="4:6" x14ac:dyDescent="0.2">
      <c r="D2129" s="18">
        <f t="shared" ca="1" si="67"/>
        <v>39.997262149212865</v>
      </c>
      <c r="E2129" s="33">
        <f t="shared" ca="1" si="68"/>
        <v>56594</v>
      </c>
      <c r="F2129" s="47">
        <v>2.6582004281841338</v>
      </c>
    </row>
    <row r="2130" spans="4:6" x14ac:dyDescent="0.2">
      <c r="D2130" s="18">
        <f t="shared" ca="1" si="67"/>
        <v>40.016427104722794</v>
      </c>
      <c r="E2130" s="33">
        <f t="shared" ca="1" si="68"/>
        <v>56601</v>
      </c>
      <c r="F2130" s="47">
        <v>2.6580876615229609</v>
      </c>
    </row>
    <row r="2131" spans="4:6" x14ac:dyDescent="0.2">
      <c r="D2131" s="18">
        <f t="shared" ca="1" si="67"/>
        <v>40.035592060232716</v>
      </c>
      <c r="E2131" s="33">
        <f t="shared" ca="1" si="68"/>
        <v>56608</v>
      </c>
      <c r="F2131" s="47">
        <v>2.6579750110574607</v>
      </c>
    </row>
    <row r="2132" spans="4:6" x14ac:dyDescent="0.2">
      <c r="D2132" s="18">
        <f t="shared" ca="1" si="67"/>
        <v>40.054757015742645</v>
      </c>
      <c r="E2132" s="33">
        <f t="shared" ca="1" si="68"/>
        <v>56615</v>
      </c>
      <c r="F2132" s="47">
        <v>2.6578624697364859</v>
      </c>
    </row>
    <row r="2133" spans="4:6" x14ac:dyDescent="0.2">
      <c r="D2133" s="18">
        <f t="shared" ca="1" si="67"/>
        <v>40.073921971252567</v>
      </c>
      <c r="E2133" s="33">
        <f t="shared" ca="1" si="68"/>
        <v>56622</v>
      </c>
      <c r="F2133" s="47">
        <v>2.6577500396300717</v>
      </c>
    </row>
    <row r="2134" spans="4:6" x14ac:dyDescent="0.2">
      <c r="D2134" s="18">
        <f t="shared" ca="1" si="67"/>
        <v>40.093086926762489</v>
      </c>
      <c r="E2134" s="33">
        <f t="shared" ca="1" si="68"/>
        <v>56629</v>
      </c>
      <c r="F2134" s="47">
        <v>2.6576377228191452</v>
      </c>
    </row>
    <row r="2135" spans="4:6" x14ac:dyDescent="0.2">
      <c r="D2135" s="18">
        <f t="shared" ca="1" si="67"/>
        <v>40.112251882272417</v>
      </c>
      <c r="E2135" s="33">
        <f t="shared" ca="1" si="68"/>
        <v>56636</v>
      </c>
      <c r="F2135" s="47">
        <v>2.6575255213954758</v>
      </c>
    </row>
    <row r="2136" spans="4:6" x14ac:dyDescent="0.2">
      <c r="D2136" s="18">
        <f t="shared" ca="1" si="67"/>
        <v>40.131416837782339</v>
      </c>
      <c r="E2136" s="33">
        <f t="shared" ca="1" si="68"/>
        <v>56643</v>
      </c>
      <c r="F2136" s="47">
        <v>2.6574134374616278</v>
      </c>
    </row>
    <row r="2137" spans="4:6" x14ac:dyDescent="0.2">
      <c r="D2137" s="18">
        <f t="shared" ca="1" si="67"/>
        <v>40.150581793292268</v>
      </c>
      <c r="E2137" s="33">
        <f t="shared" ca="1" si="68"/>
        <v>56650</v>
      </c>
      <c r="F2137" s="47">
        <v>2.657301473130897</v>
      </c>
    </row>
    <row r="2138" spans="4:6" x14ac:dyDescent="0.2">
      <c r="D2138" s="18">
        <f t="shared" ca="1" si="67"/>
        <v>40.16974674880219</v>
      </c>
      <c r="E2138" s="33">
        <f t="shared" ca="1" si="68"/>
        <v>56657</v>
      </c>
      <c r="F2138" s="47">
        <v>2.6571896305272662</v>
      </c>
    </row>
    <row r="2139" spans="4:6" x14ac:dyDescent="0.2">
      <c r="D2139" s="18">
        <f t="shared" ca="1" si="67"/>
        <v>40.188911704312112</v>
      </c>
      <c r="E2139" s="33">
        <f t="shared" ca="1" si="68"/>
        <v>56664</v>
      </c>
      <c r="F2139" s="47">
        <v>2.657077911785338</v>
      </c>
    </row>
    <row r="2140" spans="4:6" x14ac:dyDescent="0.2">
      <c r="D2140" s="18">
        <f t="shared" ca="1" si="67"/>
        <v>40.208076659822041</v>
      </c>
      <c r="E2140" s="33">
        <f t="shared" ca="1" si="68"/>
        <v>56671</v>
      </c>
      <c r="F2140" s="47">
        <v>2.656966319050281</v>
      </c>
    </row>
    <row r="2141" spans="4:6" x14ac:dyDescent="0.2">
      <c r="D2141" s="18">
        <f t="shared" ca="1" si="67"/>
        <v>40.227241615331963</v>
      </c>
      <c r="E2141" s="33">
        <f t="shared" ca="1" si="68"/>
        <v>56678</v>
      </c>
      <c r="F2141" s="47">
        <v>2.6568548544777664</v>
      </c>
    </row>
    <row r="2142" spans="4:6" x14ac:dyDescent="0.2">
      <c r="D2142" s="18">
        <f t="shared" ca="1" si="67"/>
        <v>40.246406570841891</v>
      </c>
      <c r="E2142" s="33">
        <f t="shared" ca="1" si="68"/>
        <v>56685</v>
      </c>
      <c r="F2142" s="47">
        <v>2.6567435202339063</v>
      </c>
    </row>
    <row r="2143" spans="4:6" x14ac:dyDescent="0.2">
      <c r="D2143" s="18">
        <f t="shared" ca="1" si="67"/>
        <v>40.265571526351813</v>
      </c>
      <c r="E2143" s="33">
        <f t="shared" ca="1" si="68"/>
        <v>56692</v>
      </c>
      <c r="F2143" s="47">
        <v>2.6566323184951846</v>
      </c>
    </row>
    <row r="2144" spans="4:6" x14ac:dyDescent="0.2">
      <c r="D2144" s="18">
        <f t="shared" ca="1" si="67"/>
        <v>40.284736481861735</v>
      </c>
      <c r="E2144" s="33">
        <f t="shared" ca="1" si="68"/>
        <v>56699</v>
      </c>
      <c r="F2144" s="47">
        <v>2.6565212514483956</v>
      </c>
    </row>
    <row r="2145" spans="4:6" x14ac:dyDescent="0.2">
      <c r="D2145" s="18">
        <f t="shared" ca="1" si="67"/>
        <v>40.303901437371664</v>
      </c>
      <c r="E2145" s="33">
        <f t="shared" ca="1" si="68"/>
        <v>56706</v>
      </c>
      <c r="F2145" s="47">
        <v>2.6564103212905699</v>
      </c>
    </row>
    <row r="2146" spans="4:6" x14ac:dyDescent="0.2">
      <c r="D2146" s="18">
        <f t="shared" ca="1" si="67"/>
        <v>40.323066392881586</v>
      </c>
      <c r="E2146" s="33">
        <f t="shared" ca="1" si="68"/>
        <v>56713</v>
      </c>
      <c r="F2146" s="47">
        <v>2.6562995302289081</v>
      </c>
    </row>
    <row r="2147" spans="4:6" x14ac:dyDescent="0.2">
      <c r="D2147" s="18">
        <f t="shared" ca="1" si="67"/>
        <v>40.342231348391515</v>
      </c>
      <c r="E2147" s="33">
        <f t="shared" ca="1" si="68"/>
        <v>56720</v>
      </c>
      <c r="F2147" s="47">
        <v>2.6561888804807046</v>
      </c>
    </row>
    <row r="2148" spans="4:6" x14ac:dyDescent="0.2">
      <c r="D2148" s="18">
        <f t="shared" ca="1" si="67"/>
        <v>40.361396303901437</v>
      </c>
      <c r="E2148" s="33">
        <f t="shared" ca="1" si="68"/>
        <v>56727</v>
      </c>
      <c r="F2148" s="47">
        <v>2.6560783742732719</v>
      </c>
    </row>
    <row r="2149" spans="4:6" x14ac:dyDescent="0.2">
      <c r="D2149" s="18">
        <f t="shared" ca="1" si="67"/>
        <v>40.380561259411365</v>
      </c>
      <c r="E2149" s="33">
        <f t="shared" ca="1" si="68"/>
        <v>56734</v>
      </c>
      <c r="F2149" s="47">
        <v>2.6559680138438688</v>
      </c>
    </row>
    <row r="2150" spans="4:6" x14ac:dyDescent="0.2">
      <c r="D2150" s="18">
        <f t="shared" ca="1" si="67"/>
        <v>40.399726214921287</v>
      </c>
      <c r="E2150" s="33">
        <f t="shared" ca="1" si="68"/>
        <v>56741</v>
      </c>
      <c r="F2150" s="47">
        <v>2.6558578014396188</v>
      </c>
    </row>
    <row r="2151" spans="4:6" x14ac:dyDescent="0.2">
      <c r="D2151" s="18">
        <f t="shared" ca="1" si="67"/>
        <v>40.418891170431209</v>
      </c>
      <c r="E2151" s="33">
        <f t="shared" ca="1" si="68"/>
        <v>56748</v>
      </c>
      <c r="F2151" s="47">
        <v>2.6557477393174245</v>
      </c>
    </row>
    <row r="2152" spans="4:6" x14ac:dyDescent="0.2">
      <c r="D2152" s="18">
        <f t="shared" ca="1" si="67"/>
        <v>40.438056125941138</v>
      </c>
      <c r="E2152" s="33">
        <f t="shared" ca="1" si="68"/>
        <v>56755</v>
      </c>
      <c r="F2152" s="47">
        <v>2.655637829743895</v>
      </c>
    </row>
    <row r="2153" spans="4:6" x14ac:dyDescent="0.2">
      <c r="D2153" s="18">
        <f t="shared" ca="1" si="67"/>
        <v>40.45722108145106</v>
      </c>
      <c r="E2153" s="33">
        <f t="shared" ca="1" si="68"/>
        <v>56762</v>
      </c>
      <c r="F2153" s="47">
        <v>2.6555280749952503</v>
      </c>
    </row>
    <row r="2154" spans="4:6" x14ac:dyDescent="0.2">
      <c r="D2154" s="18">
        <f t="shared" ref="D2154:D2217" ca="1" si="69">(E2154-$E$42)/365.25</f>
        <v>40.476386036960989</v>
      </c>
      <c r="E2154" s="33">
        <f t="shared" ca="1" si="68"/>
        <v>56769</v>
      </c>
      <c r="F2154" s="47">
        <v>2.655418477357244</v>
      </c>
    </row>
    <row r="2155" spans="4:6" x14ac:dyDescent="0.2">
      <c r="D2155" s="18">
        <f t="shared" ca="1" si="69"/>
        <v>40.495550992470911</v>
      </c>
      <c r="E2155" s="33">
        <f t="shared" ref="E2155:E2218" ca="1" si="70">E2154+7</f>
        <v>56776</v>
      </c>
      <c r="F2155" s="47">
        <v>2.6553090391250667</v>
      </c>
    </row>
    <row r="2156" spans="4:6" x14ac:dyDescent="0.2">
      <c r="D2156" s="18">
        <f t="shared" ca="1" si="69"/>
        <v>40.514715947980832</v>
      </c>
      <c r="E2156" s="33">
        <f t="shared" ca="1" si="70"/>
        <v>56783</v>
      </c>
      <c r="F2156" s="47">
        <v>2.6551997626032589</v>
      </c>
    </row>
    <row r="2157" spans="4:6" x14ac:dyDescent="0.2">
      <c r="D2157" s="18">
        <f t="shared" ca="1" si="69"/>
        <v>40.533880903490761</v>
      </c>
      <c r="E2157" s="33">
        <f t="shared" ca="1" si="70"/>
        <v>56790</v>
      </c>
      <c r="F2157" s="47">
        <v>2.6550906501056173</v>
      </c>
    </row>
    <row r="2158" spans="4:6" x14ac:dyDescent="0.2">
      <c r="D2158" s="18">
        <f t="shared" ca="1" si="69"/>
        <v>40.553045859000683</v>
      </c>
      <c r="E2158" s="33">
        <f t="shared" ca="1" si="70"/>
        <v>56797</v>
      </c>
      <c r="F2158" s="47">
        <v>2.6549817039551002</v>
      </c>
    </row>
    <row r="2159" spans="4:6" x14ac:dyDescent="0.2">
      <c r="D2159" s="18">
        <f t="shared" ca="1" si="69"/>
        <v>40.572210814510612</v>
      </c>
      <c r="E2159" s="33">
        <f t="shared" ca="1" si="70"/>
        <v>56804</v>
      </c>
      <c r="F2159" s="47">
        <v>2.6548729264837272</v>
      </c>
    </row>
    <row r="2160" spans="4:6" x14ac:dyDescent="0.2">
      <c r="D2160" s="18">
        <f t="shared" ca="1" si="69"/>
        <v>40.591375770020534</v>
      </c>
      <c r="E2160" s="33">
        <f t="shared" ca="1" si="70"/>
        <v>56811</v>
      </c>
      <c r="F2160" s="47">
        <v>2.6547643200324824</v>
      </c>
    </row>
    <row r="2161" spans="4:6" x14ac:dyDescent="0.2">
      <c r="D2161" s="18">
        <f t="shared" ca="1" si="69"/>
        <v>40.610540725530456</v>
      </c>
      <c r="E2161" s="33">
        <f t="shared" ca="1" si="70"/>
        <v>56818</v>
      </c>
      <c r="F2161" s="47">
        <v>2.6546558869512151</v>
      </c>
    </row>
    <row r="2162" spans="4:6" x14ac:dyDescent="0.2">
      <c r="D2162" s="18">
        <f t="shared" ca="1" si="69"/>
        <v>40.629705681040384</v>
      </c>
      <c r="E2162" s="33">
        <f t="shared" ca="1" si="70"/>
        <v>56825</v>
      </c>
      <c r="F2162" s="47">
        <v>2.6545476295985284</v>
      </c>
    </row>
    <row r="2163" spans="4:6" x14ac:dyDescent="0.2">
      <c r="D2163" s="18">
        <f t="shared" ca="1" si="69"/>
        <v>40.648870636550306</v>
      </c>
      <c r="E2163" s="33">
        <f t="shared" ca="1" si="70"/>
        <v>56832</v>
      </c>
      <c r="F2163" s="47">
        <v>2.6544395503416842</v>
      </c>
    </row>
    <row r="2164" spans="4:6" x14ac:dyDescent="0.2">
      <c r="D2164" s="18">
        <f t="shared" ca="1" si="69"/>
        <v>40.668035592060235</v>
      </c>
      <c r="E2164" s="33">
        <f t="shared" ca="1" si="70"/>
        <v>56839</v>
      </c>
      <c r="F2164" s="47">
        <v>2.6543316515564834</v>
      </c>
    </row>
    <row r="2165" spans="4:6" x14ac:dyDescent="0.2">
      <c r="D2165" s="18">
        <f t="shared" ca="1" si="69"/>
        <v>40.687200547570157</v>
      </c>
      <c r="E2165" s="33">
        <f t="shared" ca="1" si="70"/>
        <v>56846</v>
      </c>
      <c r="F2165" s="47">
        <v>2.654223935627166</v>
      </c>
    </row>
    <row r="2166" spans="4:6" x14ac:dyDescent="0.2">
      <c r="D2166" s="18">
        <f t="shared" ca="1" si="69"/>
        <v>40.706365503080079</v>
      </c>
      <c r="E2166" s="33">
        <f t="shared" ca="1" si="70"/>
        <v>56853</v>
      </c>
      <c r="F2166" s="47">
        <v>2.6541164049462931</v>
      </c>
    </row>
    <row r="2167" spans="4:6" x14ac:dyDescent="0.2">
      <c r="D2167" s="18">
        <f t="shared" ca="1" si="69"/>
        <v>40.725530458590008</v>
      </c>
      <c r="E2167" s="33">
        <f t="shared" ca="1" si="70"/>
        <v>56860</v>
      </c>
      <c r="F2167" s="47">
        <v>2.6540090619146337</v>
      </c>
    </row>
    <row r="2168" spans="4:6" x14ac:dyDescent="0.2">
      <c r="D2168" s="18">
        <f t="shared" ca="1" si="69"/>
        <v>40.74469541409993</v>
      </c>
      <c r="E2168" s="33">
        <f t="shared" ca="1" si="70"/>
        <v>56867</v>
      </c>
      <c r="F2168" s="47">
        <v>2.6539019089410441</v>
      </c>
    </row>
    <row r="2169" spans="4:6" x14ac:dyDescent="0.2">
      <c r="D2169" s="18">
        <f t="shared" ca="1" si="69"/>
        <v>40.763860369609858</v>
      </c>
      <c r="E2169" s="33">
        <f t="shared" ca="1" si="70"/>
        <v>56874</v>
      </c>
      <c r="F2169" s="47">
        <v>2.6537949484423624</v>
      </c>
    </row>
    <row r="2170" spans="4:6" x14ac:dyDescent="0.2">
      <c r="D2170" s="18">
        <f t="shared" ca="1" si="69"/>
        <v>40.78302532511978</v>
      </c>
      <c r="E2170" s="33">
        <f t="shared" ca="1" si="70"/>
        <v>56881</v>
      </c>
      <c r="F2170" s="47">
        <v>2.6536881828432675</v>
      </c>
    </row>
    <row r="2171" spans="4:6" x14ac:dyDescent="0.2">
      <c r="D2171" s="18">
        <f t="shared" ca="1" si="69"/>
        <v>40.802190280629709</v>
      </c>
      <c r="E2171" s="33">
        <f t="shared" ca="1" si="70"/>
        <v>56888</v>
      </c>
      <c r="F2171" s="47">
        <v>2.6535816145761717</v>
      </c>
    </row>
    <row r="2172" spans="4:6" x14ac:dyDescent="0.2">
      <c r="D2172" s="18">
        <f t="shared" ca="1" si="69"/>
        <v>40.821355236139631</v>
      </c>
      <c r="E2172" s="33">
        <f t="shared" ca="1" si="70"/>
        <v>56895</v>
      </c>
      <c r="F2172" s="47">
        <v>2.6534752460810882</v>
      </c>
    </row>
    <row r="2173" spans="4:6" x14ac:dyDescent="0.2">
      <c r="D2173" s="18">
        <f t="shared" ca="1" si="69"/>
        <v>40.840520191649553</v>
      </c>
      <c r="E2173" s="33">
        <f t="shared" ca="1" si="70"/>
        <v>56902</v>
      </c>
      <c r="F2173" s="47">
        <v>2.6533690798055063</v>
      </c>
    </row>
    <row r="2174" spans="4:6" x14ac:dyDescent="0.2">
      <c r="D2174" s="18">
        <f t="shared" ca="1" si="69"/>
        <v>40.859685147159482</v>
      </c>
      <c r="E2174" s="33">
        <f t="shared" ca="1" si="70"/>
        <v>56909</v>
      </c>
      <c r="F2174" s="47">
        <v>2.6532631182042574</v>
      </c>
    </row>
    <row r="2175" spans="4:6" x14ac:dyDescent="0.2">
      <c r="D2175" s="18">
        <f t="shared" ca="1" si="69"/>
        <v>40.878850102669404</v>
      </c>
      <c r="E2175" s="33">
        <f t="shared" ca="1" si="70"/>
        <v>56916</v>
      </c>
      <c r="F2175" s="47">
        <v>2.6531573637393855</v>
      </c>
    </row>
    <row r="2176" spans="4:6" x14ac:dyDescent="0.2">
      <c r="D2176" s="18">
        <f t="shared" ca="1" si="69"/>
        <v>40.898015058179332</v>
      </c>
      <c r="E2176" s="33">
        <f t="shared" ca="1" si="70"/>
        <v>56923</v>
      </c>
      <c r="F2176" s="47">
        <v>2.6530518188800127</v>
      </c>
    </row>
    <row r="2177" spans="4:6" x14ac:dyDescent="0.2">
      <c r="D2177" s="18">
        <f t="shared" ca="1" si="69"/>
        <v>40.917180013689254</v>
      </c>
      <c r="E2177" s="33">
        <f t="shared" ca="1" si="70"/>
        <v>56930</v>
      </c>
      <c r="F2177" s="47">
        <v>2.6529464861022038</v>
      </c>
    </row>
    <row r="2178" spans="4:6" x14ac:dyDescent="0.2">
      <c r="D2178" s="18">
        <f t="shared" ca="1" si="69"/>
        <v>40.936344969199176</v>
      </c>
      <c r="E2178" s="33">
        <f t="shared" ca="1" si="70"/>
        <v>56937</v>
      </c>
      <c r="F2178" s="47">
        <v>2.6528413678888234</v>
      </c>
    </row>
    <row r="2179" spans="4:6" x14ac:dyDescent="0.2">
      <c r="D2179" s="18">
        <f t="shared" ca="1" si="69"/>
        <v>40.955509924709105</v>
      </c>
      <c r="E2179" s="33">
        <f t="shared" ca="1" si="70"/>
        <v>56944</v>
      </c>
      <c r="F2179" s="47">
        <v>2.6527364667293978</v>
      </c>
    </row>
    <row r="2180" spans="4:6" x14ac:dyDescent="0.2">
      <c r="D2180" s="18">
        <f t="shared" ca="1" si="69"/>
        <v>40.974674880219027</v>
      </c>
      <c r="E2180" s="33">
        <f t="shared" ca="1" si="70"/>
        <v>56951</v>
      </c>
      <c r="F2180" s="47">
        <v>2.6526317851199694</v>
      </c>
    </row>
    <row r="2181" spans="4:6" x14ac:dyDescent="0.2">
      <c r="D2181" s="18">
        <f t="shared" ca="1" si="69"/>
        <v>40.993839835728956</v>
      </c>
      <c r="E2181" s="33">
        <f t="shared" ca="1" si="70"/>
        <v>56958</v>
      </c>
      <c r="F2181" s="47">
        <v>2.652527325562954</v>
      </c>
    </row>
    <row r="2182" spans="4:6" x14ac:dyDescent="0.2">
      <c r="D2182" s="18">
        <f t="shared" ca="1" si="69"/>
        <v>41.013004791238878</v>
      </c>
      <c r="E2182" s="33">
        <f t="shared" ca="1" si="70"/>
        <v>56965</v>
      </c>
      <c r="F2182" s="47">
        <v>2.6524230905669897</v>
      </c>
    </row>
    <row r="2183" spans="4:6" x14ac:dyDescent="0.2">
      <c r="D2183" s="18">
        <f t="shared" ca="1" si="69"/>
        <v>41.032169746748799</v>
      </c>
      <c r="E2183" s="33">
        <f t="shared" ca="1" si="70"/>
        <v>56972</v>
      </c>
      <c r="F2183" s="47">
        <v>2.652319082646788</v>
      </c>
    </row>
    <row r="2184" spans="4:6" x14ac:dyDescent="0.2">
      <c r="D2184" s="18">
        <f t="shared" ca="1" si="69"/>
        <v>41.051334702258728</v>
      </c>
      <c r="E2184" s="33">
        <f t="shared" ca="1" si="70"/>
        <v>56979</v>
      </c>
      <c r="F2184" s="47">
        <v>2.6522153043229801</v>
      </c>
    </row>
    <row r="2185" spans="4:6" x14ac:dyDescent="0.2">
      <c r="D2185" s="18">
        <f t="shared" ca="1" si="69"/>
        <v>41.07049965776865</v>
      </c>
      <c r="E2185" s="33">
        <f t="shared" ca="1" si="70"/>
        <v>56986</v>
      </c>
      <c r="F2185" s="47">
        <v>2.6521117581219649</v>
      </c>
    </row>
    <row r="2186" spans="4:6" x14ac:dyDescent="0.2">
      <c r="D2186" s="18">
        <f t="shared" ca="1" si="69"/>
        <v>41.089664613278579</v>
      </c>
      <c r="E2186" s="33">
        <f t="shared" ca="1" si="70"/>
        <v>56993</v>
      </c>
      <c r="F2186" s="47">
        <v>2.6520084465757479</v>
      </c>
    </row>
    <row r="2187" spans="4:6" x14ac:dyDescent="0.2">
      <c r="D2187" s="18">
        <f t="shared" ca="1" si="69"/>
        <v>41.108829568788501</v>
      </c>
      <c r="E2187" s="33">
        <f t="shared" ca="1" si="70"/>
        <v>57000</v>
      </c>
      <c r="F2187" s="47">
        <v>2.6519053722217856</v>
      </c>
    </row>
    <row r="2188" spans="4:6" x14ac:dyDescent="0.2">
      <c r="D2188" s="18">
        <f t="shared" ca="1" si="69"/>
        <v>41.127994524298423</v>
      </c>
      <c r="E2188" s="33">
        <f t="shared" ca="1" si="70"/>
        <v>57007</v>
      </c>
      <c r="F2188" s="47">
        <v>2.6518025376028214</v>
      </c>
    </row>
    <row r="2189" spans="4:6" x14ac:dyDescent="0.2">
      <c r="D2189" s="18">
        <f t="shared" ca="1" si="69"/>
        <v>41.147159479808352</v>
      </c>
      <c r="E2189" s="33">
        <f t="shared" ca="1" si="70"/>
        <v>57014</v>
      </c>
      <c r="F2189" s="47">
        <v>2.6516999452667198</v>
      </c>
    </row>
    <row r="2190" spans="4:6" x14ac:dyDescent="0.2">
      <c r="D2190" s="18">
        <f t="shared" ca="1" si="69"/>
        <v>41.166324435318273</v>
      </c>
      <c r="E2190" s="33">
        <f t="shared" ca="1" si="70"/>
        <v>57021</v>
      </c>
      <c r="F2190" s="47">
        <v>2.6515975977663095</v>
      </c>
    </row>
    <row r="2191" spans="4:6" x14ac:dyDescent="0.2">
      <c r="D2191" s="18">
        <f t="shared" ca="1" si="69"/>
        <v>41.185489390828202</v>
      </c>
      <c r="E2191" s="33">
        <f t="shared" ca="1" si="70"/>
        <v>57028</v>
      </c>
      <c r="F2191" s="47">
        <v>2.651495497659202</v>
      </c>
    </row>
    <row r="2192" spans="4:6" x14ac:dyDescent="0.2">
      <c r="D2192" s="18">
        <f t="shared" ca="1" si="69"/>
        <v>41.204654346338124</v>
      </c>
      <c r="E2192" s="33">
        <f t="shared" ca="1" si="70"/>
        <v>57035</v>
      </c>
      <c r="F2192" s="47">
        <v>2.6513936475076294</v>
      </c>
    </row>
    <row r="2193" spans="4:6" x14ac:dyDescent="0.2">
      <c r="D2193" s="18">
        <f t="shared" ca="1" si="69"/>
        <v>41.223819301848046</v>
      </c>
      <c r="E2193" s="33">
        <f t="shared" ca="1" si="70"/>
        <v>57042</v>
      </c>
      <c r="F2193" s="47">
        <v>2.6512920498782706</v>
      </c>
    </row>
    <row r="2194" spans="4:6" x14ac:dyDescent="0.2">
      <c r="D2194" s="18">
        <f t="shared" ca="1" si="69"/>
        <v>41.242984257357975</v>
      </c>
      <c r="E2194" s="33">
        <f t="shared" ca="1" si="70"/>
        <v>57049</v>
      </c>
      <c r="F2194" s="47">
        <v>2.6511907073420722</v>
      </c>
    </row>
    <row r="2195" spans="4:6" x14ac:dyDescent="0.2">
      <c r="D2195" s="18">
        <f t="shared" ca="1" si="69"/>
        <v>41.262149212867897</v>
      </c>
      <c r="E2195" s="33">
        <f t="shared" ca="1" si="70"/>
        <v>57056</v>
      </c>
      <c r="F2195" s="47">
        <v>2.6510896224740765</v>
      </c>
    </row>
    <row r="2196" spans="4:6" x14ac:dyDescent="0.2">
      <c r="D2196" s="18">
        <f t="shared" ca="1" si="69"/>
        <v>41.281314168377826</v>
      </c>
      <c r="E2196" s="33">
        <f t="shared" ca="1" si="70"/>
        <v>57063</v>
      </c>
      <c r="F2196" s="47">
        <v>2.6509887978532372</v>
      </c>
    </row>
    <row r="2197" spans="4:6" x14ac:dyDescent="0.2">
      <c r="D2197" s="18">
        <f t="shared" ca="1" si="69"/>
        <v>41.300479123887747</v>
      </c>
      <c r="E2197" s="33">
        <f t="shared" ca="1" si="70"/>
        <v>57070</v>
      </c>
      <c r="F2197" s="47">
        <v>2.6508882360622392</v>
      </c>
    </row>
    <row r="2198" spans="4:6" x14ac:dyDescent="0.2">
      <c r="D2198" s="18">
        <f t="shared" ca="1" si="69"/>
        <v>41.319644079397676</v>
      </c>
      <c r="E2198" s="33">
        <f t="shared" ca="1" si="70"/>
        <v>57077</v>
      </c>
      <c r="F2198" s="47">
        <v>2.6507879396873157</v>
      </c>
    </row>
    <row r="2199" spans="4:6" x14ac:dyDescent="0.2">
      <c r="D2199" s="18">
        <f t="shared" ca="1" si="69"/>
        <v>41.338809034907598</v>
      </c>
      <c r="E2199" s="33">
        <f t="shared" ca="1" si="70"/>
        <v>57084</v>
      </c>
      <c r="F2199" s="47">
        <v>2.6506879113180593</v>
      </c>
    </row>
    <row r="2200" spans="4:6" x14ac:dyDescent="0.2">
      <c r="D2200" s="18">
        <f t="shared" ca="1" si="69"/>
        <v>41.35797399041752</v>
      </c>
      <c r="E2200" s="33">
        <f t="shared" ca="1" si="70"/>
        <v>57091</v>
      </c>
      <c r="F2200" s="47">
        <v>2.6505881535472353</v>
      </c>
    </row>
    <row r="2201" spans="4:6" x14ac:dyDescent="0.2">
      <c r="D2201" s="18">
        <f t="shared" ca="1" si="69"/>
        <v>41.377138945927449</v>
      </c>
      <c r="E2201" s="33">
        <f t="shared" ca="1" si="70"/>
        <v>57098</v>
      </c>
      <c r="F2201" s="47">
        <v>2.6504886689705902</v>
      </c>
    </row>
    <row r="2202" spans="4:6" x14ac:dyDescent="0.2">
      <c r="D2202" s="18">
        <f t="shared" ca="1" si="69"/>
        <v>41.396303901437371</v>
      </c>
      <c r="E2202" s="33">
        <f t="shared" ca="1" si="70"/>
        <v>57105</v>
      </c>
      <c r="F2202" s="47">
        <v>2.6503894601866596</v>
      </c>
    </row>
    <row r="2203" spans="4:6" x14ac:dyDescent="0.2">
      <c r="D2203" s="18">
        <f t="shared" ca="1" si="69"/>
        <v>41.4154688569473</v>
      </c>
      <c r="E2203" s="33">
        <f t="shared" ca="1" si="70"/>
        <v>57112</v>
      </c>
      <c r="F2203" s="47">
        <v>2.6502905297965706</v>
      </c>
    </row>
    <row r="2204" spans="4:6" x14ac:dyDescent="0.2">
      <c r="D2204" s="18">
        <f t="shared" ca="1" si="69"/>
        <v>41.434633812457221</v>
      </c>
      <c r="E2204" s="33">
        <f t="shared" ca="1" si="70"/>
        <v>57119</v>
      </c>
      <c r="F2204" s="47">
        <v>2.6501918804038467</v>
      </c>
    </row>
    <row r="2205" spans="4:6" x14ac:dyDescent="0.2">
      <c r="D2205" s="18">
        <f t="shared" ca="1" si="69"/>
        <v>41.453798767967143</v>
      </c>
      <c r="E2205" s="33">
        <f t="shared" ca="1" si="70"/>
        <v>57126</v>
      </c>
      <c r="F2205" s="47">
        <v>2.6500935146142086</v>
      </c>
    </row>
    <row r="2206" spans="4:6" x14ac:dyDescent="0.2">
      <c r="D2206" s="18">
        <f t="shared" ca="1" si="69"/>
        <v>41.472963723477072</v>
      </c>
      <c r="E2206" s="33">
        <f t="shared" ca="1" si="70"/>
        <v>57133</v>
      </c>
      <c r="F2206" s="47">
        <v>2.6499954350353705</v>
      </c>
    </row>
    <row r="2207" spans="4:6" x14ac:dyDescent="0.2">
      <c r="D2207" s="18">
        <f t="shared" ca="1" si="69"/>
        <v>41.492128678986994</v>
      </c>
      <c r="E2207" s="33">
        <f t="shared" ca="1" si="70"/>
        <v>57140</v>
      </c>
      <c r="F2207" s="47">
        <v>2.6498976442768378</v>
      </c>
    </row>
    <row r="2208" spans="4:6" x14ac:dyDescent="0.2">
      <c r="D2208" s="18">
        <f t="shared" ca="1" si="69"/>
        <v>41.511293634496923</v>
      </c>
      <c r="E2208" s="33">
        <f t="shared" ca="1" si="70"/>
        <v>57147</v>
      </c>
      <c r="F2208" s="47">
        <v>2.6498001449496997</v>
      </c>
    </row>
    <row r="2209" spans="4:6" x14ac:dyDescent="0.2">
      <c r="D2209" s="18">
        <f t="shared" ca="1" si="69"/>
        <v>41.530458590006845</v>
      </c>
      <c r="E2209" s="33">
        <f t="shared" ca="1" si="70"/>
        <v>57154</v>
      </c>
      <c r="F2209" s="47">
        <v>2.6497029396664229</v>
      </c>
    </row>
    <row r="2210" spans="4:6" x14ac:dyDescent="0.2">
      <c r="D2210" s="18">
        <f t="shared" ca="1" si="69"/>
        <v>41.549623545516766</v>
      </c>
      <c r="E2210" s="33">
        <f t="shared" ca="1" si="70"/>
        <v>57161</v>
      </c>
      <c r="F2210" s="47">
        <v>2.6496060310406397</v>
      </c>
    </row>
    <row r="2211" spans="4:6" x14ac:dyDescent="0.2">
      <c r="D2211" s="18">
        <f t="shared" ca="1" si="69"/>
        <v>41.568788501026695</v>
      </c>
      <c r="E2211" s="33">
        <f t="shared" ca="1" si="70"/>
        <v>57168</v>
      </c>
      <c r="F2211" s="47">
        <v>2.6495094216869375</v>
      </c>
    </row>
    <row r="2212" spans="4:6" x14ac:dyDescent="0.2">
      <c r="D2212" s="18">
        <f t="shared" ca="1" si="69"/>
        <v>41.587953456536617</v>
      </c>
      <c r="E2212" s="33">
        <f t="shared" ca="1" si="70"/>
        <v>57175</v>
      </c>
      <c r="F2212" s="47">
        <v>2.6494131142206414</v>
      </c>
    </row>
    <row r="2213" spans="4:6" x14ac:dyDescent="0.2">
      <c r="D2213" s="18">
        <f t="shared" ca="1" si="69"/>
        <v>41.607118412046546</v>
      </c>
      <c r="E2213" s="33">
        <f t="shared" ca="1" si="70"/>
        <v>57182</v>
      </c>
      <c r="F2213" s="47">
        <v>2.6493171112576031</v>
      </c>
    </row>
    <row r="2214" spans="4:6" x14ac:dyDescent="0.2">
      <c r="D2214" s="18">
        <f t="shared" ca="1" si="69"/>
        <v>41.626283367556468</v>
      </c>
      <c r="E2214" s="33">
        <f t="shared" ca="1" si="70"/>
        <v>57189</v>
      </c>
      <c r="F2214" s="47">
        <v>2.6492214154139755</v>
      </c>
    </row>
    <row r="2215" spans="4:6" x14ac:dyDescent="0.2">
      <c r="D2215" s="18">
        <f t="shared" ca="1" si="69"/>
        <v>41.64544832306639</v>
      </c>
      <c r="E2215" s="33">
        <f t="shared" ca="1" si="70"/>
        <v>57196</v>
      </c>
      <c r="F2215" s="47">
        <v>2.6491260293059966</v>
      </c>
    </row>
    <row r="2216" spans="4:6" x14ac:dyDescent="0.2">
      <c r="D2216" s="18">
        <f t="shared" ca="1" si="69"/>
        <v>41.664613278576319</v>
      </c>
      <c r="E2216" s="33">
        <f t="shared" ca="1" si="70"/>
        <v>57203</v>
      </c>
      <c r="F2216" s="47">
        <v>2.6490309555497698</v>
      </c>
    </row>
    <row r="2217" spans="4:6" x14ac:dyDescent="0.2">
      <c r="D2217" s="18">
        <f t="shared" ca="1" si="69"/>
        <v>41.68377823408624</v>
      </c>
      <c r="E2217" s="33">
        <f t="shared" ca="1" si="70"/>
        <v>57210</v>
      </c>
      <c r="F2217" s="47">
        <v>2.6489361967610305</v>
      </c>
    </row>
    <row r="2218" spans="4:6" x14ac:dyDescent="0.2">
      <c r="D2218" s="18">
        <f t="shared" ref="D2218:D2281" ca="1" si="71">(E2218-$E$42)/365.25</f>
        <v>41.702943189596169</v>
      </c>
      <c r="E2218" s="33">
        <f t="shared" ca="1" si="70"/>
        <v>57217</v>
      </c>
      <c r="F2218" s="47">
        <v>2.648841755554928</v>
      </c>
    </row>
    <row r="2219" spans="4:6" x14ac:dyDescent="0.2">
      <c r="D2219" s="18">
        <f t="shared" ca="1" si="71"/>
        <v>41.722108145106091</v>
      </c>
      <c r="E2219" s="33">
        <f t="shared" ref="E2219:E2282" ca="1" si="72">E2218+7</f>
        <v>57224</v>
      </c>
      <c r="F2219" s="47">
        <v>2.6487476345457921</v>
      </c>
    </row>
    <row r="2220" spans="4:6" x14ac:dyDescent="0.2">
      <c r="D2220" s="18">
        <f t="shared" ca="1" si="71"/>
        <v>41.741273100616013</v>
      </c>
      <c r="E2220" s="33">
        <f t="shared" ca="1" si="72"/>
        <v>57231</v>
      </c>
      <c r="F2220" s="47">
        <v>2.6486538363469072</v>
      </c>
    </row>
    <row r="2221" spans="4:6" x14ac:dyDescent="0.2">
      <c r="D2221" s="18">
        <f t="shared" ca="1" si="71"/>
        <v>41.760438056125942</v>
      </c>
      <c r="E2221" s="33">
        <f t="shared" ca="1" si="72"/>
        <v>57238</v>
      </c>
      <c r="F2221" s="47">
        <v>2.6485603635702755</v>
      </c>
    </row>
    <row r="2222" spans="4:6" x14ac:dyDescent="0.2">
      <c r="D2222" s="18">
        <f t="shared" ca="1" si="71"/>
        <v>41.779603011635864</v>
      </c>
      <c r="E2222" s="33">
        <f t="shared" ca="1" si="72"/>
        <v>57245</v>
      </c>
      <c r="F2222" s="47">
        <v>2.6484672188263847</v>
      </c>
    </row>
    <row r="2223" spans="4:6" x14ac:dyDescent="0.2">
      <c r="D2223" s="18">
        <f t="shared" ca="1" si="71"/>
        <v>41.798767967145793</v>
      </c>
      <c r="E2223" s="33">
        <f t="shared" ca="1" si="72"/>
        <v>57252</v>
      </c>
      <c r="F2223" s="47">
        <v>2.648374404723973</v>
      </c>
    </row>
    <row r="2224" spans="4:6" x14ac:dyDescent="0.2">
      <c r="D2224" s="18">
        <f t="shared" ca="1" si="71"/>
        <v>41.817932922655714</v>
      </c>
      <c r="E2224" s="33">
        <f t="shared" ca="1" si="72"/>
        <v>57259</v>
      </c>
      <c r="F2224" s="47">
        <v>2.6482819238697894</v>
      </c>
    </row>
    <row r="2225" spans="4:6" x14ac:dyDescent="0.2">
      <c r="D2225" s="18">
        <f t="shared" ca="1" si="71"/>
        <v>41.837097878165643</v>
      </c>
      <c r="E2225" s="33">
        <f t="shared" ca="1" si="72"/>
        <v>57266</v>
      </c>
      <c r="F2225" s="47">
        <v>2.6481897788683559</v>
      </c>
    </row>
    <row r="2226" spans="4:6" x14ac:dyDescent="0.2">
      <c r="D2226" s="18">
        <f t="shared" ca="1" si="71"/>
        <v>41.856262833675565</v>
      </c>
      <c r="E2226" s="33">
        <f t="shared" ca="1" si="72"/>
        <v>57273</v>
      </c>
      <c r="F2226" s="47">
        <v>2.6480979723217244</v>
      </c>
    </row>
    <row r="2227" spans="4:6" x14ac:dyDescent="0.2">
      <c r="D2227" s="18">
        <f t="shared" ca="1" si="71"/>
        <v>41.875427789185487</v>
      </c>
      <c r="E2227" s="33">
        <f t="shared" ca="1" si="72"/>
        <v>57280</v>
      </c>
      <c r="F2227" s="47">
        <v>2.6480065068292351</v>
      </c>
    </row>
    <row r="2228" spans="4:6" x14ac:dyDescent="0.2">
      <c r="D2228" s="18">
        <f t="shared" ca="1" si="71"/>
        <v>41.894592744695416</v>
      </c>
      <c r="E2228" s="33">
        <f t="shared" ca="1" si="72"/>
        <v>57287</v>
      </c>
      <c r="F2228" s="47">
        <v>2.647915384987269</v>
      </c>
    </row>
    <row r="2229" spans="4:6" x14ac:dyDescent="0.2">
      <c r="D2229" s="18">
        <f t="shared" ca="1" si="71"/>
        <v>41.913757700205338</v>
      </c>
      <c r="E2229" s="33">
        <f t="shared" ca="1" si="72"/>
        <v>57294</v>
      </c>
      <c r="F2229" s="47">
        <v>2.6478246093890037</v>
      </c>
    </row>
    <row r="2230" spans="4:6" x14ac:dyDescent="0.2">
      <c r="D2230" s="18">
        <f t="shared" ca="1" si="71"/>
        <v>41.932922655715267</v>
      </c>
      <c r="E2230" s="33">
        <f t="shared" ca="1" si="72"/>
        <v>57301</v>
      </c>
      <c r="F2230" s="47">
        <v>2.6477341826241649</v>
      </c>
    </row>
    <row r="2231" spans="4:6" x14ac:dyDescent="0.2">
      <c r="D2231" s="18">
        <f t="shared" ca="1" si="71"/>
        <v>41.952087611225188</v>
      </c>
      <c r="E2231" s="33">
        <f t="shared" ca="1" si="72"/>
        <v>57308</v>
      </c>
      <c r="F2231" s="47">
        <v>2.6476441072787757</v>
      </c>
    </row>
    <row r="2232" spans="4:6" x14ac:dyDescent="0.2">
      <c r="D2232" s="18">
        <f t="shared" ca="1" si="71"/>
        <v>41.97125256673511</v>
      </c>
      <c r="E2232" s="33">
        <f t="shared" ca="1" si="72"/>
        <v>57315</v>
      </c>
      <c r="F2232" s="47">
        <v>2.6475543859349036</v>
      </c>
    </row>
    <row r="2233" spans="4:6" x14ac:dyDescent="0.2">
      <c r="D2233" s="18">
        <f t="shared" ca="1" si="71"/>
        <v>41.990417522245039</v>
      </c>
      <c r="E2233" s="33">
        <f t="shared" ca="1" si="72"/>
        <v>57322</v>
      </c>
      <c r="F2233" s="47">
        <v>2.6474650211704107</v>
      </c>
    </row>
    <row r="2234" spans="4:6" x14ac:dyDescent="0.2">
      <c r="D2234" s="18">
        <f t="shared" ca="1" si="71"/>
        <v>42.009582477754961</v>
      </c>
      <c r="E2234" s="33">
        <f t="shared" ca="1" si="72"/>
        <v>57329</v>
      </c>
      <c r="F2234" s="47">
        <v>2.6473760155586938</v>
      </c>
    </row>
    <row r="2235" spans="4:6" x14ac:dyDescent="0.2">
      <c r="D2235" s="18">
        <f t="shared" ca="1" si="71"/>
        <v>42.02874743326489</v>
      </c>
      <c r="E2235" s="33">
        <f t="shared" ca="1" si="72"/>
        <v>57336</v>
      </c>
      <c r="F2235" s="47">
        <v>2.6472873716684355</v>
      </c>
    </row>
    <row r="2236" spans="4:6" x14ac:dyDescent="0.2">
      <c r="D2236" s="18">
        <f t="shared" ca="1" si="71"/>
        <v>42.047912388774812</v>
      </c>
      <c r="E2236" s="33">
        <f t="shared" ca="1" si="72"/>
        <v>57343</v>
      </c>
      <c r="F2236" s="47">
        <v>2.6471990920633384</v>
      </c>
    </row>
    <row r="2237" spans="4:6" x14ac:dyDescent="0.2">
      <c r="D2237" s="18">
        <f t="shared" ca="1" si="71"/>
        <v>42.067077344284733</v>
      </c>
      <c r="E2237" s="33">
        <f t="shared" ca="1" si="72"/>
        <v>57350</v>
      </c>
      <c r="F2237" s="47">
        <v>2.6471111793018713</v>
      </c>
    </row>
    <row r="2238" spans="4:6" x14ac:dyDescent="0.2">
      <c r="D2238" s="18">
        <f t="shared" ca="1" si="71"/>
        <v>42.086242299794662</v>
      </c>
      <c r="E2238" s="33">
        <f t="shared" ca="1" si="72"/>
        <v>57357</v>
      </c>
      <c r="F2238" s="47">
        <v>2.6470236359370056</v>
      </c>
    </row>
    <row r="2239" spans="4:6" x14ac:dyDescent="0.2">
      <c r="D2239" s="18">
        <f t="shared" ca="1" si="71"/>
        <v>42.105407255304584</v>
      </c>
      <c r="E2239" s="33">
        <f t="shared" ca="1" si="72"/>
        <v>57364</v>
      </c>
      <c r="F2239" s="47">
        <v>2.6469364645159565</v>
      </c>
    </row>
    <row r="2240" spans="4:6" x14ac:dyDescent="0.2">
      <c r="D2240" s="18">
        <f t="shared" ca="1" si="71"/>
        <v>42.124572210814513</v>
      </c>
      <c r="E2240" s="33">
        <f t="shared" ca="1" si="72"/>
        <v>57371</v>
      </c>
      <c r="F2240" s="47">
        <v>2.6468496675799149</v>
      </c>
    </row>
    <row r="2241" spans="4:6" x14ac:dyDescent="0.2">
      <c r="D2241" s="18">
        <f t="shared" ca="1" si="71"/>
        <v>42.143737166324435</v>
      </c>
      <c r="E2241" s="33">
        <f t="shared" ca="1" si="72"/>
        <v>57378</v>
      </c>
      <c r="F2241" s="47">
        <v>2.6467632476637859</v>
      </c>
    </row>
    <row r="2242" spans="4:6" x14ac:dyDescent="0.2">
      <c r="D2242" s="18">
        <f t="shared" ca="1" si="71"/>
        <v>42.162902121834357</v>
      </c>
      <c r="E2242" s="33">
        <f t="shared" ca="1" si="72"/>
        <v>57385</v>
      </c>
      <c r="F2242" s="47">
        <v>2.6466772072959226</v>
      </c>
    </row>
    <row r="2243" spans="4:6" x14ac:dyDescent="0.2">
      <c r="D2243" s="18">
        <f t="shared" ca="1" si="71"/>
        <v>42.182067077344286</v>
      </c>
      <c r="E2243" s="33">
        <f t="shared" ca="1" si="72"/>
        <v>57392</v>
      </c>
      <c r="F2243" s="47">
        <v>2.6465915489978582</v>
      </c>
    </row>
    <row r="2244" spans="4:6" x14ac:dyDescent="0.2">
      <c r="D2244" s="18">
        <f t="shared" ca="1" si="71"/>
        <v>42.201232032854207</v>
      </c>
      <c r="E2244" s="33">
        <f t="shared" ca="1" si="72"/>
        <v>57399</v>
      </c>
      <c r="F2244" s="47">
        <v>2.6465062752840356</v>
      </c>
    </row>
    <row r="2245" spans="4:6" x14ac:dyDescent="0.2">
      <c r="D2245" s="18">
        <f t="shared" ca="1" si="71"/>
        <v>42.220396988364136</v>
      </c>
      <c r="E2245" s="33">
        <f t="shared" ca="1" si="72"/>
        <v>57406</v>
      </c>
      <c r="F2245" s="47">
        <v>2.6464213886615404</v>
      </c>
    </row>
    <row r="2246" spans="4:6" x14ac:dyDescent="0.2">
      <c r="D2246" s="18">
        <f t="shared" ca="1" si="71"/>
        <v>42.239561943874058</v>
      </c>
      <c r="E2246" s="33">
        <f t="shared" ca="1" si="72"/>
        <v>57413</v>
      </c>
      <c r="F2246" s="47">
        <v>2.6463368916298302</v>
      </c>
    </row>
    <row r="2247" spans="4:6" x14ac:dyDescent="0.2">
      <c r="D2247" s="18">
        <f t="shared" ca="1" si="71"/>
        <v>42.258726899383987</v>
      </c>
      <c r="E2247" s="33">
        <f t="shared" ca="1" si="72"/>
        <v>57420</v>
      </c>
      <c r="F2247" s="47">
        <v>2.6462527866804613</v>
      </c>
    </row>
    <row r="2248" spans="4:6" x14ac:dyDescent="0.2">
      <c r="D2248" s="18">
        <f t="shared" ca="1" si="71"/>
        <v>42.277891854893909</v>
      </c>
      <c r="E2248" s="33">
        <f t="shared" ca="1" si="72"/>
        <v>57427</v>
      </c>
      <c r="F2248" s="47">
        <v>2.6461690762968137</v>
      </c>
    </row>
    <row r="2249" spans="4:6" x14ac:dyDescent="0.2">
      <c r="D2249" s="18">
        <f t="shared" ca="1" si="71"/>
        <v>42.297056810403831</v>
      </c>
      <c r="E2249" s="33">
        <f t="shared" ca="1" si="72"/>
        <v>57434</v>
      </c>
      <c r="F2249" s="47">
        <v>2.6460857629538217</v>
      </c>
    </row>
    <row r="2250" spans="4:6" x14ac:dyDescent="0.2">
      <c r="D2250" s="18">
        <f t="shared" ca="1" si="71"/>
        <v>42.31622176591376</v>
      </c>
      <c r="E2250" s="33">
        <f t="shared" ca="1" si="72"/>
        <v>57441</v>
      </c>
      <c r="F2250" s="47">
        <v>2.646002849117695</v>
      </c>
    </row>
    <row r="2251" spans="4:6" x14ac:dyDescent="0.2">
      <c r="D2251" s="18">
        <f t="shared" ca="1" si="71"/>
        <v>42.335386721423681</v>
      </c>
      <c r="E2251" s="33">
        <f t="shared" ca="1" si="72"/>
        <v>57448</v>
      </c>
      <c r="F2251" s="47">
        <v>2.6459203372456459</v>
      </c>
    </row>
    <row r="2252" spans="4:6" x14ac:dyDescent="0.2">
      <c r="D2252" s="18">
        <f t="shared" ca="1" si="71"/>
        <v>42.35455167693361</v>
      </c>
      <c r="E2252" s="33">
        <f t="shared" ca="1" si="72"/>
        <v>57455</v>
      </c>
      <c r="F2252" s="47">
        <v>2.64583822978561</v>
      </c>
    </row>
    <row r="2253" spans="4:6" x14ac:dyDescent="0.2">
      <c r="D2253" s="18">
        <f t="shared" ca="1" si="71"/>
        <v>42.373716632443532</v>
      </c>
      <c r="E2253" s="33">
        <f t="shared" ca="1" si="72"/>
        <v>57462</v>
      </c>
      <c r="F2253" s="47">
        <v>2.6457565291759706</v>
      </c>
    </row>
    <row r="2254" spans="4:6" x14ac:dyDescent="0.2">
      <c r="D2254" s="18">
        <f t="shared" ca="1" si="71"/>
        <v>42.392881587953454</v>
      </c>
      <c r="E2254" s="33">
        <f t="shared" ca="1" si="72"/>
        <v>57469</v>
      </c>
      <c r="F2254" s="47">
        <v>2.6456752378452784</v>
      </c>
    </row>
    <row r="2255" spans="4:6" x14ac:dyDescent="0.2">
      <c r="D2255" s="18">
        <f t="shared" ca="1" si="71"/>
        <v>42.412046543463383</v>
      </c>
      <c r="E2255" s="33">
        <f t="shared" ca="1" si="72"/>
        <v>57476</v>
      </c>
      <c r="F2255" s="47">
        <v>2.6455943582119734</v>
      </c>
    </row>
    <row r="2256" spans="4:6" x14ac:dyDescent="0.2">
      <c r="D2256" s="18">
        <f t="shared" ca="1" si="71"/>
        <v>42.431211498973305</v>
      </c>
      <c r="E2256" s="33">
        <f t="shared" ca="1" si="72"/>
        <v>57483</v>
      </c>
      <c r="F2256" s="47">
        <v>2.6455138926841033</v>
      </c>
    </row>
    <row r="2257" spans="4:6" x14ac:dyDescent="0.2">
      <c r="D2257" s="18">
        <f t="shared" ca="1" si="71"/>
        <v>42.450376454483234</v>
      </c>
      <c r="E2257" s="33">
        <f t="shared" ca="1" si="72"/>
        <v>57490</v>
      </c>
      <c r="F2257" s="47">
        <v>2.645433843659049</v>
      </c>
    </row>
    <row r="2258" spans="4:6" x14ac:dyDescent="0.2">
      <c r="D2258" s="18">
        <f t="shared" ca="1" si="71"/>
        <v>42.469541409993155</v>
      </c>
      <c r="E2258" s="33">
        <f t="shared" ca="1" si="72"/>
        <v>57497</v>
      </c>
      <c r="F2258" s="47">
        <v>2.6453542135232335</v>
      </c>
    </row>
    <row r="2259" spans="4:6" x14ac:dyDescent="0.2">
      <c r="D2259" s="18">
        <f t="shared" ca="1" si="71"/>
        <v>42.488706365503077</v>
      </c>
      <c r="E2259" s="33">
        <f t="shared" ca="1" si="72"/>
        <v>57504</v>
      </c>
      <c r="F2259" s="47">
        <v>2.6452750046518494</v>
      </c>
    </row>
    <row r="2260" spans="4:6" x14ac:dyDescent="0.2">
      <c r="D2260" s="18">
        <f t="shared" ca="1" si="71"/>
        <v>42.507871321013006</v>
      </c>
      <c r="E2260" s="33">
        <f t="shared" ca="1" si="72"/>
        <v>57511</v>
      </c>
      <c r="F2260" s="47">
        <v>2.6451962194085721</v>
      </c>
    </row>
    <row r="2261" spans="4:6" x14ac:dyDescent="0.2">
      <c r="D2261" s="18">
        <f t="shared" ca="1" si="71"/>
        <v>42.527036276522928</v>
      </c>
      <c r="E2261" s="33">
        <f t="shared" ca="1" si="72"/>
        <v>57518</v>
      </c>
      <c r="F2261" s="47">
        <v>2.6451178601452789</v>
      </c>
    </row>
    <row r="2262" spans="4:6" x14ac:dyDescent="0.2">
      <c r="D2262" s="18">
        <f t="shared" ca="1" si="71"/>
        <v>42.546201232032857</v>
      </c>
      <c r="E2262" s="33">
        <f t="shared" ca="1" si="72"/>
        <v>57525</v>
      </c>
      <c r="F2262" s="47">
        <v>2.6450399292017628</v>
      </c>
    </row>
    <row r="2263" spans="4:6" x14ac:dyDescent="0.2">
      <c r="D2263" s="18">
        <f t="shared" ca="1" si="71"/>
        <v>42.565366187542779</v>
      </c>
      <c r="E2263" s="33">
        <f t="shared" ca="1" si="72"/>
        <v>57532</v>
      </c>
      <c r="F2263" s="47">
        <v>2.6449624289054539</v>
      </c>
    </row>
    <row r="2264" spans="4:6" x14ac:dyDescent="0.2">
      <c r="D2264" s="18">
        <f t="shared" ca="1" si="71"/>
        <v>42.5845311430527</v>
      </c>
      <c r="E2264" s="33">
        <f t="shared" ca="1" si="72"/>
        <v>57539</v>
      </c>
      <c r="F2264" s="47">
        <v>2.6448853615711321</v>
      </c>
    </row>
    <row r="2265" spans="4:6" x14ac:dyDescent="0.2">
      <c r="D2265" s="18">
        <f t="shared" ca="1" si="71"/>
        <v>42.603696098562629</v>
      </c>
      <c r="E2265" s="33">
        <f t="shared" ca="1" si="72"/>
        <v>57546</v>
      </c>
      <c r="F2265" s="47">
        <v>2.6448087295006446</v>
      </c>
    </row>
    <row r="2266" spans="4:6" x14ac:dyDescent="0.2">
      <c r="D2266" s="18">
        <f t="shared" ca="1" si="71"/>
        <v>42.622861054072551</v>
      </c>
      <c r="E2266" s="33">
        <f t="shared" ca="1" si="72"/>
        <v>57553</v>
      </c>
      <c r="F2266" s="47">
        <v>2.6447325349826207</v>
      </c>
    </row>
    <row r="2267" spans="4:6" x14ac:dyDescent="0.2">
      <c r="D2267" s="18">
        <f t="shared" ca="1" si="71"/>
        <v>42.64202600958248</v>
      </c>
      <c r="E2267" s="33">
        <f t="shared" ca="1" si="72"/>
        <v>57560</v>
      </c>
      <c r="F2267" s="47">
        <v>2.6446567802921885</v>
      </c>
    </row>
    <row r="2268" spans="4:6" x14ac:dyDescent="0.2">
      <c r="D2268" s="18">
        <f t="shared" ca="1" si="71"/>
        <v>42.661190965092402</v>
      </c>
      <c r="E2268" s="33">
        <f t="shared" ca="1" si="72"/>
        <v>57567</v>
      </c>
      <c r="F2268" s="47">
        <v>2.6445814676906907</v>
      </c>
    </row>
    <row r="2269" spans="4:6" x14ac:dyDescent="0.2">
      <c r="D2269" s="18">
        <f t="shared" ca="1" si="71"/>
        <v>42.680355920602324</v>
      </c>
      <c r="E2269" s="33">
        <f t="shared" ca="1" si="72"/>
        <v>57574</v>
      </c>
      <c r="F2269" s="47">
        <v>2.6445065994253993</v>
      </c>
    </row>
    <row r="2270" spans="4:6" x14ac:dyDescent="0.2">
      <c r="D2270" s="18">
        <f t="shared" ca="1" si="71"/>
        <v>42.699520876112253</v>
      </c>
      <c r="E2270" s="33">
        <f t="shared" ca="1" si="72"/>
        <v>57581</v>
      </c>
      <c r="F2270" s="47">
        <v>2.6444321777292301</v>
      </c>
    </row>
    <row r="2271" spans="4:6" x14ac:dyDescent="0.2">
      <c r="D2271" s="18">
        <f t="shared" ca="1" si="71"/>
        <v>42.718685831622174</v>
      </c>
      <c r="E2271" s="33">
        <f t="shared" ca="1" si="72"/>
        <v>57588</v>
      </c>
      <c r="F2271" s="47">
        <v>2.6443582048204606</v>
      </c>
    </row>
    <row r="2272" spans="4:6" x14ac:dyDescent="0.2">
      <c r="D2272" s="18">
        <f t="shared" ca="1" si="71"/>
        <v>42.737850787132103</v>
      </c>
      <c r="E2272" s="33">
        <f t="shared" ca="1" si="72"/>
        <v>57595</v>
      </c>
      <c r="F2272" s="47">
        <v>2.6442846829024438</v>
      </c>
    </row>
    <row r="2273" spans="4:6" x14ac:dyDescent="0.2">
      <c r="D2273" s="18">
        <f t="shared" ca="1" si="71"/>
        <v>42.757015742642025</v>
      </c>
      <c r="E2273" s="33">
        <f t="shared" ca="1" si="72"/>
        <v>57602</v>
      </c>
      <c r="F2273" s="47">
        <v>2.6442116141633254</v>
      </c>
    </row>
    <row r="2274" spans="4:6" x14ac:dyDescent="0.2">
      <c r="D2274" s="18">
        <f t="shared" ca="1" si="71"/>
        <v>42.776180698151954</v>
      </c>
      <c r="E2274" s="33">
        <f t="shared" ca="1" si="72"/>
        <v>57609</v>
      </c>
      <c r="F2274" s="47">
        <v>2.6441390007757617</v>
      </c>
    </row>
    <row r="2275" spans="4:6" x14ac:dyDescent="0.2">
      <c r="D2275" s="18">
        <f t="shared" ca="1" si="71"/>
        <v>42.795345653661876</v>
      </c>
      <c r="E2275" s="33">
        <f t="shared" ca="1" si="72"/>
        <v>57616</v>
      </c>
      <c r="F2275" s="47">
        <v>2.6440668448966287</v>
      </c>
    </row>
    <row r="2276" spans="4:6" x14ac:dyDescent="0.2">
      <c r="D2276" s="18">
        <f t="shared" ca="1" si="71"/>
        <v>42.814510609171798</v>
      </c>
      <c r="E2276" s="33">
        <f t="shared" ca="1" si="72"/>
        <v>57623</v>
      </c>
      <c r="F2276" s="47">
        <v>2.6439951486667477</v>
      </c>
    </row>
    <row r="2277" spans="4:6" x14ac:dyDescent="0.2">
      <c r="D2277" s="18">
        <f t="shared" ca="1" si="71"/>
        <v>42.833675564681727</v>
      </c>
      <c r="E2277" s="33">
        <f t="shared" ca="1" si="72"/>
        <v>57630</v>
      </c>
      <c r="F2277" s="47">
        <v>2.6439239142105984</v>
      </c>
    </row>
    <row r="2278" spans="4:6" x14ac:dyDescent="0.2">
      <c r="D2278" s="18">
        <f t="shared" ca="1" si="71"/>
        <v>42.852840520191648</v>
      </c>
      <c r="E2278" s="33">
        <f t="shared" ca="1" si="72"/>
        <v>57637</v>
      </c>
      <c r="F2278" s="47">
        <v>2.6438531436360342</v>
      </c>
    </row>
    <row r="2279" spans="4:6" x14ac:dyDescent="0.2">
      <c r="D2279" s="18">
        <f t="shared" ca="1" si="71"/>
        <v>42.872005475701577</v>
      </c>
      <c r="E2279" s="33">
        <f t="shared" ca="1" si="72"/>
        <v>57644</v>
      </c>
      <c r="F2279" s="47">
        <v>2.6437828390340066</v>
      </c>
    </row>
    <row r="2280" spans="4:6" x14ac:dyDescent="0.2">
      <c r="D2280" s="18">
        <f t="shared" ca="1" si="71"/>
        <v>42.891170431211499</v>
      </c>
      <c r="E2280" s="33">
        <f t="shared" ca="1" si="72"/>
        <v>57651</v>
      </c>
      <c r="F2280" s="47">
        <v>2.6437130024782762</v>
      </c>
    </row>
    <row r="2281" spans="4:6" x14ac:dyDescent="0.2">
      <c r="D2281" s="18">
        <f t="shared" ca="1" si="71"/>
        <v>42.910335386721421</v>
      </c>
      <c r="E2281" s="33">
        <f t="shared" ca="1" si="72"/>
        <v>57658</v>
      </c>
      <c r="F2281" s="47">
        <v>2.6436436360251396</v>
      </c>
    </row>
    <row r="2282" spans="4:6" x14ac:dyDescent="0.2">
      <c r="D2282" s="18">
        <f t="shared" ref="D2282:D2345" ca="1" si="73">(E2282-$E$42)/365.25</f>
        <v>42.92950034223135</v>
      </c>
      <c r="E2282" s="33">
        <f t="shared" ca="1" si="72"/>
        <v>57665</v>
      </c>
      <c r="F2282" s="47">
        <v>2.6435747417131439</v>
      </c>
    </row>
    <row r="2283" spans="4:6" x14ac:dyDescent="0.2">
      <c r="D2283" s="18">
        <f t="shared" ca="1" si="73"/>
        <v>42.948665297741272</v>
      </c>
      <c r="E2283" s="33">
        <f t="shared" ref="E2283:E2346" ca="1" si="74">E2282+7</f>
        <v>57672</v>
      </c>
      <c r="F2283" s="47">
        <v>2.6435063215628101</v>
      </c>
    </row>
    <row r="2284" spans="4:6" x14ac:dyDescent="0.2">
      <c r="D2284" s="18">
        <f t="shared" ca="1" si="73"/>
        <v>42.967830253251201</v>
      </c>
      <c r="E2284" s="33">
        <f t="shared" ca="1" si="74"/>
        <v>57679</v>
      </c>
      <c r="F2284" s="47">
        <v>2.6434383775763535</v>
      </c>
    </row>
    <row r="2285" spans="4:6" x14ac:dyDescent="0.2">
      <c r="D2285" s="18">
        <f t="shared" ca="1" si="73"/>
        <v>42.986995208761122</v>
      </c>
      <c r="E2285" s="33">
        <f t="shared" ca="1" si="74"/>
        <v>57686</v>
      </c>
      <c r="F2285" s="47">
        <v>2.6433709117374065</v>
      </c>
    </row>
    <row r="2286" spans="4:6" x14ac:dyDescent="0.2">
      <c r="D2286" s="18">
        <f t="shared" ca="1" si="73"/>
        <v>43.006160164271044</v>
      </c>
      <c r="E2286" s="33">
        <f t="shared" ca="1" si="74"/>
        <v>57693</v>
      </c>
      <c r="F2286" s="47">
        <v>2.6433039260107445</v>
      </c>
    </row>
    <row r="2287" spans="4:6" x14ac:dyDescent="0.2">
      <c r="D2287" s="18">
        <f t="shared" ca="1" si="73"/>
        <v>43.025325119780973</v>
      </c>
      <c r="E2287" s="33">
        <f t="shared" ca="1" si="74"/>
        <v>57700</v>
      </c>
      <c r="F2287" s="47">
        <v>2.6432374223420054</v>
      </c>
    </row>
    <row r="2288" spans="4:6" x14ac:dyDescent="0.2">
      <c r="D2288" s="18">
        <f t="shared" ca="1" si="73"/>
        <v>43.044490075290895</v>
      </c>
      <c r="E2288" s="33">
        <f t="shared" ca="1" si="74"/>
        <v>57707</v>
      </c>
      <c r="F2288" s="47">
        <v>2.6431714026574196</v>
      </c>
    </row>
    <row r="2289" spans="4:6" x14ac:dyDescent="0.2">
      <c r="D2289" s="18">
        <f t="shared" ca="1" si="73"/>
        <v>43.063655030800824</v>
      </c>
      <c r="E2289" s="33">
        <f t="shared" ca="1" si="74"/>
        <v>57714</v>
      </c>
      <c r="F2289" s="47">
        <v>2.6431058688635334</v>
      </c>
    </row>
    <row r="2290" spans="4:6" x14ac:dyDescent="0.2">
      <c r="D2290" s="18">
        <f t="shared" ca="1" si="73"/>
        <v>43.082819986310746</v>
      </c>
      <c r="E2290" s="33">
        <f t="shared" ca="1" si="74"/>
        <v>57721</v>
      </c>
      <c r="F2290" s="47">
        <v>2.6430408228469395</v>
      </c>
    </row>
    <row r="2291" spans="4:6" x14ac:dyDescent="0.2">
      <c r="D2291" s="18">
        <f t="shared" ca="1" si="73"/>
        <v>43.101984941820668</v>
      </c>
      <c r="E2291" s="33">
        <f t="shared" ca="1" si="74"/>
        <v>57728</v>
      </c>
      <c r="F2291" s="47">
        <v>2.6429762664740033</v>
      </c>
    </row>
    <row r="2292" spans="4:6" x14ac:dyDescent="0.2">
      <c r="D2292" s="18">
        <f t="shared" ca="1" si="73"/>
        <v>43.121149897330596</v>
      </c>
      <c r="E2292" s="33">
        <f t="shared" ca="1" si="74"/>
        <v>57735</v>
      </c>
      <c r="F2292" s="47">
        <v>2.6429122015905957</v>
      </c>
    </row>
    <row r="2293" spans="4:6" x14ac:dyDescent="0.2">
      <c r="D2293" s="18">
        <f t="shared" ca="1" si="73"/>
        <v>43.140314852840518</v>
      </c>
      <c r="E2293" s="33">
        <f t="shared" ca="1" si="74"/>
        <v>57742</v>
      </c>
      <c r="F2293" s="47">
        <v>2.642848630021823</v>
      </c>
    </row>
    <row r="2294" spans="4:6" x14ac:dyDescent="0.2">
      <c r="D2294" s="18">
        <f t="shared" ca="1" si="73"/>
        <v>43.159479808350447</v>
      </c>
      <c r="E2294" s="33">
        <f t="shared" ca="1" si="74"/>
        <v>57749</v>
      </c>
      <c r="F2294" s="47">
        <v>2.6427855535717613</v>
      </c>
    </row>
    <row r="2295" spans="4:6" x14ac:dyDescent="0.2">
      <c r="D2295" s="18">
        <f t="shared" ca="1" si="73"/>
        <v>43.178644763860369</v>
      </c>
      <c r="E2295" s="33">
        <f t="shared" ca="1" si="74"/>
        <v>57756</v>
      </c>
      <c r="F2295" s="47">
        <v>2.6427229740231892</v>
      </c>
    </row>
    <row r="2296" spans="4:6" x14ac:dyDescent="0.2">
      <c r="D2296" s="18">
        <f t="shared" ca="1" si="73"/>
        <v>43.197809719370291</v>
      </c>
      <c r="E2296" s="33">
        <f t="shared" ca="1" si="74"/>
        <v>57763</v>
      </c>
      <c r="F2296" s="47">
        <v>2.6426608931373261</v>
      </c>
    </row>
    <row r="2297" spans="4:6" x14ac:dyDescent="0.2">
      <c r="D2297" s="18">
        <f t="shared" ca="1" si="73"/>
        <v>43.21697467488022</v>
      </c>
      <c r="E2297" s="33">
        <f t="shared" ca="1" si="74"/>
        <v>57770</v>
      </c>
      <c r="F2297" s="47">
        <v>2.6425993126535672</v>
      </c>
    </row>
    <row r="2298" spans="4:6" x14ac:dyDescent="0.2">
      <c r="D2298" s="18">
        <f t="shared" ca="1" si="73"/>
        <v>43.236139630390142</v>
      </c>
      <c r="E2298" s="33">
        <f t="shared" ca="1" si="74"/>
        <v>57777</v>
      </c>
      <c r="F2298" s="47">
        <v>2.642538234289229</v>
      </c>
    </row>
    <row r="2299" spans="4:6" x14ac:dyDescent="0.2">
      <c r="D2299" s="18">
        <f t="shared" ca="1" si="73"/>
        <v>43.25530458590007</v>
      </c>
      <c r="E2299" s="33">
        <f t="shared" ca="1" si="74"/>
        <v>57784</v>
      </c>
      <c r="F2299" s="47">
        <v>2.6424776597392809</v>
      </c>
    </row>
    <row r="2300" spans="4:6" x14ac:dyDescent="0.2">
      <c r="D2300" s="18">
        <f t="shared" ca="1" si="73"/>
        <v>43.274469541409992</v>
      </c>
      <c r="E2300" s="33">
        <f t="shared" ca="1" si="74"/>
        <v>57791</v>
      </c>
      <c r="F2300" s="47">
        <v>2.6424175906760965</v>
      </c>
    </row>
    <row r="2301" spans="4:6" x14ac:dyDescent="0.2">
      <c r="D2301" s="18">
        <f t="shared" ca="1" si="73"/>
        <v>43.293634496919921</v>
      </c>
      <c r="E2301" s="33">
        <f t="shared" ca="1" si="74"/>
        <v>57798</v>
      </c>
      <c r="F2301" s="47">
        <v>2.6423580287491952</v>
      </c>
    </row>
    <row r="2302" spans="4:6" x14ac:dyDescent="0.2">
      <c r="D2302" s="18">
        <f t="shared" ca="1" si="73"/>
        <v>43.312799452429843</v>
      </c>
      <c r="E2302" s="33">
        <f t="shared" ca="1" si="74"/>
        <v>57805</v>
      </c>
      <c r="F2302" s="47">
        <v>2.6422989755849877</v>
      </c>
    </row>
    <row r="2303" spans="4:6" x14ac:dyDescent="0.2">
      <c r="D2303" s="18">
        <f t="shared" ca="1" si="73"/>
        <v>43.331964407939765</v>
      </c>
      <c r="E2303" s="33">
        <f t="shared" ca="1" si="74"/>
        <v>57812</v>
      </c>
      <c r="F2303" s="47">
        <v>2.6422404327865272</v>
      </c>
    </row>
    <row r="2304" spans="4:6" x14ac:dyDescent="0.2">
      <c r="D2304" s="18">
        <f t="shared" ca="1" si="73"/>
        <v>43.351129363449694</v>
      </c>
      <c r="E2304" s="33">
        <f t="shared" ca="1" si="74"/>
        <v>57819</v>
      </c>
      <c r="F2304" s="47">
        <v>2.6421824019332578</v>
      </c>
    </row>
    <row r="2305" spans="4:6" x14ac:dyDescent="0.2">
      <c r="D2305" s="18">
        <f t="shared" ca="1" si="73"/>
        <v>43.370294318959616</v>
      </c>
      <c r="E2305" s="33">
        <f t="shared" ca="1" si="74"/>
        <v>57826</v>
      </c>
      <c r="F2305" s="47">
        <v>2.6421248845807686</v>
      </c>
    </row>
    <row r="2306" spans="4:6" x14ac:dyDescent="0.2">
      <c r="D2306" s="18">
        <f t="shared" ca="1" si="73"/>
        <v>43.389459274469544</v>
      </c>
      <c r="E2306" s="33">
        <f t="shared" ca="1" si="74"/>
        <v>57833</v>
      </c>
      <c r="F2306" s="47">
        <v>2.6420678822605503</v>
      </c>
    </row>
    <row r="2307" spans="4:6" x14ac:dyDescent="0.2">
      <c r="D2307" s="18">
        <f t="shared" ca="1" si="73"/>
        <v>43.408624229979466</v>
      </c>
      <c r="E2307" s="33">
        <f t="shared" ca="1" si="74"/>
        <v>57840</v>
      </c>
      <c r="F2307" s="47">
        <v>2.6420113964797491</v>
      </c>
    </row>
    <row r="2308" spans="4:6" x14ac:dyDescent="0.2">
      <c r="D2308" s="18">
        <f t="shared" ca="1" si="73"/>
        <v>43.427789185489388</v>
      </c>
      <c r="E2308" s="33">
        <f t="shared" ca="1" si="74"/>
        <v>57847</v>
      </c>
      <c r="F2308" s="47">
        <v>2.6419554287209275</v>
      </c>
    </row>
    <row r="2309" spans="4:6" x14ac:dyDescent="0.2">
      <c r="D2309" s="18">
        <f t="shared" ca="1" si="73"/>
        <v>43.446954140999317</v>
      </c>
      <c r="E2309" s="33">
        <f t="shared" ca="1" si="74"/>
        <v>57854</v>
      </c>
      <c r="F2309" s="47">
        <v>2.6418999804418286</v>
      </c>
    </row>
    <row r="2310" spans="4:6" x14ac:dyDescent="0.2">
      <c r="D2310" s="18">
        <f t="shared" ca="1" si="73"/>
        <v>43.466119096509239</v>
      </c>
      <c r="E2310" s="33">
        <f t="shared" ca="1" si="74"/>
        <v>57861</v>
      </c>
      <c r="F2310" s="47">
        <v>2.6418450530751367</v>
      </c>
    </row>
    <row r="2311" spans="4:6" x14ac:dyDescent="0.2">
      <c r="D2311" s="18">
        <f t="shared" ca="1" si="73"/>
        <v>43.485284052019168</v>
      </c>
      <c r="E2311" s="33">
        <f t="shared" ca="1" si="74"/>
        <v>57868</v>
      </c>
      <c r="F2311" s="47">
        <v>2.641790648028246</v>
      </c>
    </row>
    <row r="2312" spans="4:6" x14ac:dyDescent="0.2">
      <c r="D2312" s="18">
        <f t="shared" ca="1" si="73"/>
        <v>43.504449007529089</v>
      </c>
      <c r="E2312" s="33">
        <f t="shared" ca="1" si="74"/>
        <v>57875</v>
      </c>
      <c r="F2312" s="47">
        <v>2.6417367666830294</v>
      </c>
    </row>
    <row r="2313" spans="4:6" x14ac:dyDescent="0.2">
      <c r="D2313" s="18">
        <f t="shared" ca="1" si="73"/>
        <v>43.523613963039011</v>
      </c>
      <c r="E2313" s="33">
        <f t="shared" ca="1" si="74"/>
        <v>57882</v>
      </c>
      <c r="F2313" s="47">
        <v>2.6416834103956113</v>
      </c>
    </row>
    <row r="2314" spans="4:6" x14ac:dyDescent="0.2">
      <c r="D2314" s="18">
        <f t="shared" ca="1" si="73"/>
        <v>43.54277891854894</v>
      </c>
      <c r="E2314" s="33">
        <f t="shared" ca="1" si="74"/>
        <v>57889</v>
      </c>
      <c r="F2314" s="47">
        <v>2.6416305804961415</v>
      </c>
    </row>
    <row r="2315" spans="4:6" x14ac:dyDescent="0.2">
      <c r="D2315" s="18">
        <f t="shared" ca="1" si="73"/>
        <v>43.561943874058862</v>
      </c>
      <c r="E2315" s="33">
        <f t="shared" ca="1" si="74"/>
        <v>57896</v>
      </c>
      <c r="F2315" s="47">
        <v>2.6415782782885699</v>
      </c>
    </row>
    <row r="2316" spans="4:6" x14ac:dyDescent="0.2">
      <c r="D2316" s="18">
        <f t="shared" ca="1" si="73"/>
        <v>43.581108829568791</v>
      </c>
      <c r="E2316" s="33">
        <f t="shared" ca="1" si="74"/>
        <v>57903</v>
      </c>
      <c r="F2316" s="47">
        <v>2.6415265050504324</v>
      </c>
    </row>
    <row r="2317" spans="4:6" x14ac:dyDescent="0.2">
      <c r="D2317" s="18">
        <f t="shared" ca="1" si="73"/>
        <v>43.600273785078713</v>
      </c>
      <c r="E2317" s="33">
        <f t="shared" ca="1" si="74"/>
        <v>57910</v>
      </c>
      <c r="F2317" s="47">
        <v>2.6414752620326296</v>
      </c>
    </row>
    <row r="2318" spans="4:6" x14ac:dyDescent="0.2">
      <c r="D2318" s="18">
        <f t="shared" ca="1" si="73"/>
        <v>43.619438740588635</v>
      </c>
      <c r="E2318" s="33">
        <f t="shared" ca="1" si="74"/>
        <v>57917</v>
      </c>
      <c r="F2318" s="47">
        <v>2.6414245504592091</v>
      </c>
    </row>
    <row r="2319" spans="4:6" x14ac:dyDescent="0.2">
      <c r="D2319" s="18">
        <f t="shared" ca="1" si="73"/>
        <v>43.638603696098563</v>
      </c>
      <c r="E2319" s="33">
        <f t="shared" ca="1" si="74"/>
        <v>57924</v>
      </c>
      <c r="F2319" s="47">
        <v>2.6413743715271627</v>
      </c>
    </row>
    <row r="2320" spans="4:6" x14ac:dyDescent="0.2">
      <c r="D2320" s="18">
        <f t="shared" ca="1" si="73"/>
        <v>43.657768651608485</v>
      </c>
      <c r="E2320" s="33">
        <f t="shared" ca="1" si="74"/>
        <v>57931</v>
      </c>
      <c r="F2320" s="47">
        <v>2.6413247264062125</v>
      </c>
    </row>
    <row r="2321" spans="4:6" x14ac:dyDescent="0.2">
      <c r="D2321" s="18">
        <f t="shared" ca="1" si="73"/>
        <v>43.676933607118414</v>
      </c>
      <c r="E2321" s="33">
        <f t="shared" ca="1" si="74"/>
        <v>57938</v>
      </c>
      <c r="F2321" s="47">
        <v>2.6412756162386062</v>
      </c>
    </row>
    <row r="2322" spans="4:6" x14ac:dyDescent="0.2">
      <c r="D2322" s="18">
        <f t="shared" ca="1" si="73"/>
        <v>43.696098562628336</v>
      </c>
      <c r="E2322" s="33">
        <f t="shared" ca="1" si="74"/>
        <v>57945</v>
      </c>
      <c r="F2322" s="47">
        <v>2.6412270421389148</v>
      </c>
    </row>
    <row r="2323" spans="4:6" x14ac:dyDescent="0.2">
      <c r="D2323" s="18">
        <f t="shared" ca="1" si="73"/>
        <v>43.715263518138265</v>
      </c>
      <c r="E2323" s="33">
        <f t="shared" ca="1" si="74"/>
        <v>57952</v>
      </c>
      <c r="F2323" s="47">
        <v>2.6411790051938344</v>
      </c>
    </row>
    <row r="2324" spans="4:6" x14ac:dyDescent="0.2">
      <c r="D2324" s="18">
        <f t="shared" ca="1" si="73"/>
        <v>43.734428473648187</v>
      </c>
      <c r="E2324" s="33">
        <f t="shared" ca="1" si="74"/>
        <v>57959</v>
      </c>
      <c r="F2324" s="47">
        <v>2.6411315064619898</v>
      </c>
    </row>
    <row r="2325" spans="4:6" x14ac:dyDescent="0.2">
      <c r="D2325" s="18">
        <f t="shared" ca="1" si="73"/>
        <v>43.753593429158109</v>
      </c>
      <c r="E2325" s="33">
        <f t="shared" ca="1" si="74"/>
        <v>57966</v>
      </c>
      <c r="F2325" s="47">
        <v>2.6410845469737443</v>
      </c>
    </row>
    <row r="2326" spans="4:6" x14ac:dyDescent="0.2">
      <c r="D2326" s="18">
        <f t="shared" ca="1" si="73"/>
        <v>43.772758384668037</v>
      </c>
      <c r="E2326" s="33">
        <f t="shared" ca="1" si="74"/>
        <v>57973</v>
      </c>
      <c r="F2326" s="47">
        <v>2.6410381277310044</v>
      </c>
    </row>
    <row r="2327" spans="4:6" x14ac:dyDescent="0.2">
      <c r="D2327" s="18">
        <f t="shared" ca="1" si="73"/>
        <v>43.791923340177959</v>
      </c>
      <c r="E2327" s="33">
        <f t="shared" ca="1" si="74"/>
        <v>57980</v>
      </c>
      <c r="F2327" s="47">
        <v>2.6409922497070428</v>
      </c>
    </row>
    <row r="2328" spans="4:6" x14ac:dyDescent="0.2">
      <c r="D2328" s="18">
        <f t="shared" ca="1" si="73"/>
        <v>43.811088295687888</v>
      </c>
      <c r="E2328" s="33">
        <f t="shared" ca="1" si="74"/>
        <v>57987</v>
      </c>
      <c r="F2328" s="47">
        <v>2.6409469138463071</v>
      </c>
    </row>
    <row r="2329" spans="4:6" x14ac:dyDescent="0.2">
      <c r="D2329" s="18">
        <f t="shared" ca="1" si="73"/>
        <v>43.83025325119781</v>
      </c>
      <c r="E2329" s="33">
        <f t="shared" ca="1" si="74"/>
        <v>57994</v>
      </c>
      <c r="F2329" s="47">
        <v>2.6409021210642472</v>
      </c>
    </row>
    <row r="2330" spans="4:6" x14ac:dyDescent="0.2">
      <c r="D2330" s="18">
        <f t="shared" ca="1" si="73"/>
        <v>43.849418206707732</v>
      </c>
      <c r="E2330" s="33">
        <f t="shared" ca="1" si="74"/>
        <v>58001</v>
      </c>
      <c r="F2330" s="47">
        <v>2.6408578722471354</v>
      </c>
    </row>
    <row r="2331" spans="4:6" x14ac:dyDescent="0.2">
      <c r="D2331" s="18">
        <f t="shared" ca="1" si="73"/>
        <v>43.868583162217661</v>
      </c>
      <c r="E2331" s="33">
        <f t="shared" ca="1" si="74"/>
        <v>58008</v>
      </c>
      <c r="F2331" s="47">
        <v>2.6408141682519011</v>
      </c>
    </row>
    <row r="2332" spans="4:6" x14ac:dyDescent="0.2">
      <c r="D2332" s="18">
        <f t="shared" ca="1" si="73"/>
        <v>43.887748117727583</v>
      </c>
      <c r="E2332" s="33">
        <f t="shared" ca="1" si="74"/>
        <v>58015</v>
      </c>
      <c r="F2332" s="47">
        <v>2.6407710099059534</v>
      </c>
    </row>
    <row r="2333" spans="4:6" x14ac:dyDescent="0.2">
      <c r="D2333" s="18">
        <f t="shared" ca="1" si="73"/>
        <v>43.906913073237511</v>
      </c>
      <c r="E2333" s="33">
        <f t="shared" ca="1" si="74"/>
        <v>58022</v>
      </c>
      <c r="F2333" s="47">
        <v>2.6407283980070262</v>
      </c>
    </row>
    <row r="2334" spans="4:6" x14ac:dyDescent="0.2">
      <c r="D2334" s="18">
        <f t="shared" ca="1" si="73"/>
        <v>43.926078028747433</v>
      </c>
      <c r="E2334" s="33">
        <f t="shared" ca="1" si="74"/>
        <v>58029</v>
      </c>
      <c r="F2334" s="47">
        <v>2.6406863333230088</v>
      </c>
    </row>
    <row r="2335" spans="4:6" x14ac:dyDescent="0.2">
      <c r="D2335" s="18">
        <f t="shared" ca="1" si="73"/>
        <v>43.945242984257355</v>
      </c>
      <c r="E2335" s="33">
        <f t="shared" ca="1" si="74"/>
        <v>58036</v>
      </c>
      <c r="F2335" s="47">
        <v>2.640644816591796</v>
      </c>
    </row>
    <row r="2336" spans="4:6" x14ac:dyDescent="0.2">
      <c r="D2336" s="18">
        <f t="shared" ca="1" si="73"/>
        <v>43.964407939767284</v>
      </c>
      <c r="E2336" s="33">
        <f t="shared" ca="1" si="74"/>
        <v>58043</v>
      </c>
      <c r="F2336" s="47">
        <v>2.6406038485211307</v>
      </c>
    </row>
    <row r="2337" spans="4:6" x14ac:dyDescent="0.2">
      <c r="D2337" s="18">
        <f t="shared" ca="1" si="73"/>
        <v>43.983572895277206</v>
      </c>
      <c r="E2337" s="33">
        <f t="shared" ca="1" si="74"/>
        <v>58050</v>
      </c>
      <c r="F2337" s="47">
        <v>2.6405634297884553</v>
      </c>
    </row>
    <row r="2338" spans="4:6" x14ac:dyDescent="0.2">
      <c r="D2338" s="18">
        <f t="shared" ca="1" si="73"/>
        <v>44.002737850787135</v>
      </c>
      <c r="E2338" s="33">
        <f t="shared" ca="1" si="74"/>
        <v>58057</v>
      </c>
      <c r="F2338" s="47">
        <v>2.6405235610407694</v>
      </c>
    </row>
    <row r="2339" spans="4:6" x14ac:dyDescent="0.2">
      <c r="D2339" s="18">
        <f t="shared" ca="1" si="73"/>
        <v>44.021902806297057</v>
      </c>
      <c r="E2339" s="33">
        <f t="shared" ca="1" si="74"/>
        <v>58064</v>
      </c>
      <c r="F2339" s="47">
        <v>2.6404842428944844</v>
      </c>
    </row>
    <row r="2340" spans="4:6" x14ac:dyDescent="0.2">
      <c r="D2340" s="18">
        <f t="shared" ca="1" si="73"/>
        <v>44.041067761806978</v>
      </c>
      <c r="E2340" s="33">
        <f t="shared" ca="1" si="74"/>
        <v>58071</v>
      </c>
      <c r="F2340" s="47">
        <v>2.640445475935286</v>
      </c>
    </row>
    <row r="2341" spans="4:6" x14ac:dyDescent="0.2">
      <c r="D2341" s="18">
        <f t="shared" ca="1" si="73"/>
        <v>44.060232717316907</v>
      </c>
      <c r="E2341" s="33">
        <f t="shared" ca="1" si="74"/>
        <v>58078</v>
      </c>
      <c r="F2341" s="47">
        <v>2.6404072607180056</v>
      </c>
    </row>
    <row r="2342" spans="4:6" x14ac:dyDescent="0.2">
      <c r="D2342" s="18">
        <f t="shared" ca="1" si="73"/>
        <v>44.079397672826829</v>
      </c>
      <c r="E2342" s="33">
        <f t="shared" ca="1" si="74"/>
        <v>58085</v>
      </c>
      <c r="F2342" s="47">
        <v>2.6403695977664867</v>
      </c>
    </row>
    <row r="2343" spans="4:6" x14ac:dyDescent="0.2">
      <c r="D2343" s="18">
        <f t="shared" ca="1" si="73"/>
        <v>44.098562628336758</v>
      </c>
      <c r="E2343" s="33">
        <f t="shared" ca="1" si="74"/>
        <v>58092</v>
      </c>
      <c r="F2343" s="47">
        <v>2.6403324875734606</v>
      </c>
    </row>
    <row r="2344" spans="4:6" x14ac:dyDescent="0.2">
      <c r="D2344" s="18">
        <f t="shared" ca="1" si="73"/>
        <v>44.11772758384668</v>
      </c>
      <c r="E2344" s="33">
        <f t="shared" ca="1" si="74"/>
        <v>58099</v>
      </c>
      <c r="F2344" s="47">
        <v>2.6402959306004261</v>
      </c>
    </row>
    <row r="2345" spans="4:6" x14ac:dyDescent="0.2">
      <c r="D2345" s="18">
        <f t="shared" ca="1" si="73"/>
        <v>44.136892539356602</v>
      </c>
      <c r="E2345" s="33">
        <f t="shared" ca="1" si="74"/>
        <v>58106</v>
      </c>
      <c r="F2345" s="47">
        <v>2.6402599272775347</v>
      </c>
    </row>
    <row r="2346" spans="4:6" x14ac:dyDescent="0.2">
      <c r="D2346" s="18">
        <f t="shared" ref="D2346:D2409" ca="1" si="75">(E2346-$E$42)/365.25</f>
        <v>44.156057494866531</v>
      </c>
      <c r="E2346" s="33">
        <f t="shared" ca="1" si="74"/>
        <v>58113</v>
      </c>
      <c r="F2346" s="47">
        <v>2.6402244780034732</v>
      </c>
    </row>
    <row r="2347" spans="4:6" x14ac:dyDescent="0.2">
      <c r="D2347" s="18">
        <f t="shared" ca="1" si="75"/>
        <v>44.175222450376452</v>
      </c>
      <c r="E2347" s="33">
        <f t="shared" ref="E2347:E2410" ca="1" si="76">E2346+7</f>
        <v>58120</v>
      </c>
      <c r="F2347" s="47">
        <v>2.6401895831453586</v>
      </c>
    </row>
    <row r="2348" spans="4:6" x14ac:dyDescent="0.2">
      <c r="D2348" s="18">
        <f t="shared" ca="1" si="75"/>
        <v>44.194387405886381</v>
      </c>
      <c r="E2348" s="33">
        <f t="shared" ca="1" si="76"/>
        <v>58127</v>
      </c>
      <c r="F2348" s="47">
        <v>2.640155243038635</v>
      </c>
    </row>
    <row r="2349" spans="4:6" x14ac:dyDescent="0.2">
      <c r="D2349" s="18">
        <f t="shared" ca="1" si="75"/>
        <v>44.213552361396303</v>
      </c>
      <c r="E2349" s="33">
        <f t="shared" ca="1" si="76"/>
        <v>58134</v>
      </c>
      <c r="F2349" s="47">
        <v>2.6401214579869734</v>
      </c>
    </row>
    <row r="2350" spans="4:6" x14ac:dyDescent="0.2">
      <c r="D2350" s="18">
        <f t="shared" ca="1" si="75"/>
        <v>44.232717316906232</v>
      </c>
      <c r="E2350" s="33">
        <f t="shared" ca="1" si="76"/>
        <v>58141</v>
      </c>
      <c r="F2350" s="47">
        <v>2.6400882282621732</v>
      </c>
    </row>
    <row r="2351" spans="4:6" x14ac:dyDescent="0.2">
      <c r="D2351" s="18">
        <f t="shared" ca="1" si="75"/>
        <v>44.251882272416154</v>
      </c>
      <c r="E2351" s="33">
        <f t="shared" ca="1" si="76"/>
        <v>58148</v>
      </c>
      <c r="F2351" s="47">
        <v>2.6400555541040767</v>
      </c>
    </row>
    <row r="2352" spans="4:6" x14ac:dyDescent="0.2">
      <c r="D2352" s="18">
        <f t="shared" ca="1" si="75"/>
        <v>44.271047227926076</v>
      </c>
      <c r="E2352" s="33">
        <f t="shared" ca="1" si="76"/>
        <v>58155</v>
      </c>
      <c r="F2352" s="47">
        <v>2.6400234357204804</v>
      </c>
    </row>
    <row r="2353" spans="4:6" x14ac:dyDescent="0.2">
      <c r="D2353" s="18">
        <f t="shared" ca="1" si="75"/>
        <v>44.290212183436005</v>
      </c>
      <c r="E2353" s="33">
        <f t="shared" ca="1" si="76"/>
        <v>58162</v>
      </c>
      <c r="F2353" s="47">
        <v>2.6399918732870518</v>
      </c>
    </row>
    <row r="2354" spans="4:6" x14ac:dyDescent="0.2">
      <c r="D2354" s="18">
        <f t="shared" ca="1" si="75"/>
        <v>44.309377138945926</v>
      </c>
      <c r="E2354" s="33">
        <f t="shared" ca="1" si="76"/>
        <v>58169</v>
      </c>
      <c r="F2354" s="47">
        <v>2.639960866947253</v>
      </c>
    </row>
    <row r="2355" spans="4:6" x14ac:dyDescent="0.2">
      <c r="D2355" s="18">
        <f t="shared" ca="1" si="75"/>
        <v>44.328542094455855</v>
      </c>
      <c r="E2355" s="33">
        <f t="shared" ca="1" si="76"/>
        <v>58176</v>
      </c>
      <c r="F2355" s="47">
        <v>2.6399304168122706</v>
      </c>
    </row>
    <row r="2356" spans="4:6" x14ac:dyDescent="0.2">
      <c r="D2356" s="18">
        <f t="shared" ca="1" si="75"/>
        <v>44.347707049965777</v>
      </c>
      <c r="E2356" s="33">
        <f t="shared" ca="1" si="76"/>
        <v>58183</v>
      </c>
      <c r="F2356" s="47">
        <v>2.6399005229609411</v>
      </c>
    </row>
    <row r="2357" spans="4:6" x14ac:dyDescent="0.2">
      <c r="D2357" s="18">
        <f t="shared" ca="1" si="75"/>
        <v>44.366872005475699</v>
      </c>
      <c r="E2357" s="33">
        <f t="shared" ca="1" si="76"/>
        <v>58190</v>
      </c>
      <c r="F2357" s="47">
        <v>2.6398711854396946</v>
      </c>
    </row>
    <row r="2358" spans="4:6" x14ac:dyDescent="0.2">
      <c r="D2358" s="18">
        <f t="shared" ca="1" si="75"/>
        <v>44.386036960985628</v>
      </c>
      <c r="E2358" s="33">
        <f t="shared" ca="1" si="76"/>
        <v>58197</v>
      </c>
      <c r="F2358" s="47">
        <v>2.6398424042624913</v>
      </c>
    </row>
    <row r="2359" spans="4:6" x14ac:dyDescent="0.2">
      <c r="D2359" s="18">
        <f t="shared" ca="1" si="75"/>
        <v>44.40520191649555</v>
      </c>
      <c r="E2359" s="33">
        <f t="shared" ca="1" si="76"/>
        <v>58204</v>
      </c>
      <c r="F2359" s="47">
        <v>2.6398141794107679</v>
      </c>
    </row>
    <row r="2360" spans="4:6" x14ac:dyDescent="0.2">
      <c r="D2360" s="18">
        <f t="shared" ca="1" si="75"/>
        <v>44.424366872005479</v>
      </c>
      <c r="E2360" s="33">
        <f t="shared" ca="1" si="76"/>
        <v>58211</v>
      </c>
      <c r="F2360" s="47">
        <v>2.6397865108333871</v>
      </c>
    </row>
    <row r="2361" spans="4:6" x14ac:dyDescent="0.2">
      <c r="D2361" s="18">
        <f t="shared" ca="1" si="75"/>
        <v>44.4435318275154</v>
      </c>
      <c r="E2361" s="33">
        <f t="shared" ca="1" si="76"/>
        <v>58218</v>
      </c>
      <c r="F2361" s="47">
        <v>2.6397593984465955</v>
      </c>
    </row>
    <row r="2362" spans="4:6" x14ac:dyDescent="0.2">
      <c r="D2362" s="18">
        <f t="shared" ca="1" si="75"/>
        <v>44.462696783025322</v>
      </c>
      <c r="E2362" s="33">
        <f t="shared" ca="1" si="76"/>
        <v>58225</v>
      </c>
      <c r="F2362" s="47">
        <v>2.6397328421339794</v>
      </c>
    </row>
    <row r="2363" spans="4:6" x14ac:dyDescent="0.2">
      <c r="D2363" s="18">
        <f t="shared" ca="1" si="75"/>
        <v>44.481861738535251</v>
      </c>
      <c r="E2363" s="33">
        <f t="shared" ca="1" si="76"/>
        <v>58232</v>
      </c>
      <c r="F2363" s="47">
        <v>2.6397068417464293</v>
      </c>
    </row>
    <row r="2364" spans="4:6" x14ac:dyDescent="0.2">
      <c r="D2364" s="18">
        <f t="shared" ca="1" si="75"/>
        <v>44.501026694045173</v>
      </c>
      <c r="E2364" s="33">
        <f t="shared" ca="1" si="76"/>
        <v>58239</v>
      </c>
      <c r="F2364" s="47">
        <v>2.6396813971021142</v>
      </c>
    </row>
    <row r="2365" spans="4:6" x14ac:dyDescent="0.2">
      <c r="D2365" s="18">
        <f t="shared" ca="1" si="75"/>
        <v>44.520191649555102</v>
      </c>
      <c r="E2365" s="33">
        <f t="shared" ca="1" si="76"/>
        <v>58246</v>
      </c>
      <c r="F2365" s="47">
        <v>2.6396565079864494</v>
      </c>
    </row>
    <row r="2366" spans="4:6" x14ac:dyDescent="0.2">
      <c r="D2366" s="18">
        <f t="shared" ca="1" si="75"/>
        <v>44.539356605065024</v>
      </c>
      <c r="E2366" s="33">
        <f t="shared" ca="1" si="76"/>
        <v>58253</v>
      </c>
      <c r="F2366" s="47">
        <v>2.6396321741520765</v>
      </c>
    </row>
    <row r="2367" spans="4:6" x14ac:dyDescent="0.2">
      <c r="D2367" s="18">
        <f t="shared" ca="1" si="75"/>
        <v>44.558521560574945</v>
      </c>
      <c r="E2367" s="33">
        <f t="shared" ca="1" si="76"/>
        <v>58260</v>
      </c>
      <c r="F2367" s="47">
        <v>2.6396083953188478</v>
      </c>
    </row>
    <row r="2368" spans="4:6" x14ac:dyDescent="0.2">
      <c r="D2368" s="18">
        <f t="shared" ca="1" si="75"/>
        <v>44.577686516084874</v>
      </c>
      <c r="E2368" s="33">
        <f t="shared" ca="1" si="76"/>
        <v>58267</v>
      </c>
      <c r="F2368" s="47">
        <v>2.6395851711738145</v>
      </c>
    </row>
    <row r="2369" spans="4:6" x14ac:dyDescent="0.2">
      <c r="D2369" s="18">
        <f t="shared" ca="1" si="75"/>
        <v>44.596851471594796</v>
      </c>
      <c r="E2369" s="33">
        <f t="shared" ca="1" si="76"/>
        <v>58274</v>
      </c>
      <c r="F2369" s="47">
        <v>2.6395625013712176</v>
      </c>
    </row>
    <row r="2370" spans="4:6" x14ac:dyDescent="0.2">
      <c r="D2370" s="18">
        <f t="shared" ca="1" si="75"/>
        <v>44.616016427104725</v>
      </c>
      <c r="E2370" s="33">
        <f t="shared" ca="1" si="76"/>
        <v>58281</v>
      </c>
      <c r="F2370" s="47">
        <v>2.6395403855324893</v>
      </c>
    </row>
    <row r="2371" spans="4:6" x14ac:dyDescent="0.2">
      <c r="D2371" s="18">
        <f t="shared" ca="1" si="75"/>
        <v>44.635181382614647</v>
      </c>
      <c r="E2371" s="33">
        <f t="shared" ca="1" si="76"/>
        <v>58288</v>
      </c>
      <c r="F2371" s="47">
        <v>2.6395188232462514</v>
      </c>
    </row>
    <row r="2372" spans="4:6" x14ac:dyDescent="0.2">
      <c r="D2372" s="18">
        <f t="shared" ca="1" si="75"/>
        <v>44.654346338124569</v>
      </c>
      <c r="E2372" s="33">
        <f t="shared" ca="1" si="76"/>
        <v>58295</v>
      </c>
      <c r="F2372" s="47">
        <v>2.6394978140683234</v>
      </c>
    </row>
    <row r="2373" spans="4:6" x14ac:dyDescent="0.2">
      <c r="D2373" s="18">
        <f t="shared" ca="1" si="75"/>
        <v>44.673511293634498</v>
      </c>
      <c r="E2373" s="33">
        <f t="shared" ca="1" si="76"/>
        <v>58302</v>
      </c>
      <c r="F2373" s="47">
        <v>2.6394773575217374</v>
      </c>
    </row>
    <row r="2374" spans="4:6" x14ac:dyDescent="0.2">
      <c r="D2374" s="18">
        <f t="shared" ca="1" si="75"/>
        <v>44.692676249144419</v>
      </c>
      <c r="E2374" s="33">
        <f t="shared" ca="1" si="76"/>
        <v>58309</v>
      </c>
      <c r="F2374" s="47">
        <v>2.6394574530967518</v>
      </c>
    </row>
    <row r="2375" spans="4:6" x14ac:dyDescent="0.2">
      <c r="D2375" s="18">
        <f t="shared" ca="1" si="75"/>
        <v>44.711841204654348</v>
      </c>
      <c r="E2375" s="33">
        <f t="shared" ca="1" si="76"/>
        <v>58316</v>
      </c>
      <c r="F2375" s="47">
        <v>2.639438100250874</v>
      </c>
    </row>
    <row r="2376" spans="4:6" x14ac:dyDescent="0.2">
      <c r="D2376" s="18">
        <f t="shared" ca="1" si="75"/>
        <v>44.73100616016427</v>
      </c>
      <c r="E2376" s="33">
        <f t="shared" ca="1" si="76"/>
        <v>58323</v>
      </c>
      <c r="F2376" s="47">
        <v>2.6394192984088907</v>
      </c>
    </row>
    <row r="2377" spans="4:6" x14ac:dyDescent="0.2">
      <c r="D2377" s="18">
        <f t="shared" ca="1" si="75"/>
        <v>44.750171115674199</v>
      </c>
      <c r="E2377" s="33">
        <f t="shared" ca="1" si="76"/>
        <v>58330</v>
      </c>
      <c r="F2377" s="47">
        <v>2.6394010469628912</v>
      </c>
    </row>
    <row r="2378" spans="4:6" x14ac:dyDescent="0.2">
      <c r="D2378" s="18">
        <f t="shared" ca="1" si="75"/>
        <v>44.769336071184121</v>
      </c>
      <c r="E2378" s="33">
        <f t="shared" ca="1" si="76"/>
        <v>58337</v>
      </c>
      <c r="F2378" s="47">
        <v>2.6393833452723108</v>
      </c>
    </row>
    <row r="2379" spans="4:6" x14ac:dyDescent="0.2">
      <c r="D2379" s="18">
        <f t="shared" ca="1" si="75"/>
        <v>44.788501026694043</v>
      </c>
      <c r="E2379" s="33">
        <f t="shared" ca="1" si="76"/>
        <v>58344</v>
      </c>
      <c r="F2379" s="47">
        <v>2.6393661926639704</v>
      </c>
    </row>
    <row r="2380" spans="4:6" x14ac:dyDescent="0.2">
      <c r="D2380" s="18">
        <f t="shared" ca="1" si="75"/>
        <v>44.807665982203972</v>
      </c>
      <c r="E2380" s="33">
        <f t="shared" ca="1" si="76"/>
        <v>58351</v>
      </c>
      <c r="F2380" s="47">
        <v>2.6393495884321188</v>
      </c>
    </row>
    <row r="2381" spans="4:6" x14ac:dyDescent="0.2">
      <c r="D2381" s="18">
        <f t="shared" ca="1" si="75"/>
        <v>44.826830937713893</v>
      </c>
      <c r="E2381" s="33">
        <f t="shared" ca="1" si="76"/>
        <v>58358</v>
      </c>
      <c r="F2381" s="47">
        <v>2.6393335318384898</v>
      </c>
    </row>
    <row r="2382" spans="4:6" x14ac:dyDescent="0.2">
      <c r="D2382" s="18">
        <f t="shared" ca="1" si="75"/>
        <v>44.845995893223822</v>
      </c>
      <c r="E2382" s="33">
        <f t="shared" ca="1" si="76"/>
        <v>58365</v>
      </c>
      <c r="F2382" s="47">
        <v>2.6393180221123496</v>
      </c>
    </row>
    <row r="2383" spans="4:6" x14ac:dyDescent="0.2">
      <c r="D2383" s="18">
        <f t="shared" ca="1" si="75"/>
        <v>44.865160848733744</v>
      </c>
      <c r="E2383" s="33">
        <f t="shared" ca="1" si="76"/>
        <v>58372</v>
      </c>
      <c r="F2383" s="47">
        <v>2.6393030584505639</v>
      </c>
    </row>
    <row r="2384" spans="4:6" x14ac:dyDescent="0.2">
      <c r="D2384" s="18">
        <f t="shared" ca="1" si="75"/>
        <v>44.884325804243666</v>
      </c>
      <c r="E2384" s="33">
        <f t="shared" ca="1" si="76"/>
        <v>58379</v>
      </c>
      <c r="F2384" s="47">
        <v>2.6392886400176616</v>
      </c>
    </row>
    <row r="2385" spans="4:6" x14ac:dyDescent="0.2">
      <c r="D2385" s="18">
        <f t="shared" ca="1" si="75"/>
        <v>44.903490759753595</v>
      </c>
      <c r="E2385" s="33">
        <f t="shared" ca="1" si="76"/>
        <v>58386</v>
      </c>
      <c r="F2385" s="47">
        <v>2.6392747659459013</v>
      </c>
    </row>
    <row r="2386" spans="4:6" x14ac:dyDescent="0.2">
      <c r="D2386" s="18">
        <f t="shared" ca="1" si="75"/>
        <v>44.922655715263517</v>
      </c>
      <c r="E2386" s="33">
        <f t="shared" ca="1" si="76"/>
        <v>58393</v>
      </c>
      <c r="F2386" s="47">
        <v>2.6392614353353503</v>
      </c>
    </row>
    <row r="2387" spans="4:6" x14ac:dyDescent="0.2">
      <c r="D2387" s="18">
        <f t="shared" ca="1" si="75"/>
        <v>44.941820670773446</v>
      </c>
      <c r="E2387" s="33">
        <f t="shared" ca="1" si="76"/>
        <v>58400</v>
      </c>
      <c r="F2387" s="47">
        <v>2.6392486472539614</v>
      </c>
    </row>
    <row r="2388" spans="4:6" x14ac:dyDescent="0.2">
      <c r="D2388" s="18">
        <f t="shared" ca="1" si="75"/>
        <v>44.960985626283367</v>
      </c>
      <c r="E2388" s="33">
        <f t="shared" ca="1" si="76"/>
        <v>58407</v>
      </c>
      <c r="F2388" s="47">
        <v>2.6392364007376572</v>
      </c>
    </row>
    <row r="2389" spans="4:6" x14ac:dyDescent="0.2">
      <c r="D2389" s="18">
        <f t="shared" ca="1" si="75"/>
        <v>44.980150581793289</v>
      </c>
      <c r="E2389" s="33">
        <f t="shared" ca="1" si="76"/>
        <v>58414</v>
      </c>
      <c r="F2389" s="47">
        <v>2.6392246947904199</v>
      </c>
    </row>
    <row r="2390" spans="4:6" x14ac:dyDescent="0.2">
      <c r="D2390" s="18">
        <f t="shared" ca="1" si="75"/>
        <v>44.999315537303218</v>
      </c>
      <c r="E2390" s="33">
        <f t="shared" ca="1" si="76"/>
        <v>58421</v>
      </c>
      <c r="F2390" s="47">
        <v>2.6392135283843841</v>
      </c>
    </row>
    <row r="2391" spans="4:6" x14ac:dyDescent="0.2">
      <c r="D2391" s="18">
        <f t="shared" ca="1" si="75"/>
        <v>45.01848049281314</v>
      </c>
      <c r="E2391" s="33">
        <f t="shared" ca="1" si="76"/>
        <v>58428</v>
      </c>
      <c r="F2391" s="47">
        <v>2.6392029004599378</v>
      </c>
    </row>
    <row r="2392" spans="4:6" x14ac:dyDescent="0.2">
      <c r="D2392" s="18">
        <f t="shared" ca="1" si="75"/>
        <v>45.037645448323069</v>
      </c>
      <c r="E2392" s="33">
        <f t="shared" ca="1" si="76"/>
        <v>58435</v>
      </c>
      <c r="F2392" s="47">
        <v>2.6391928099258184</v>
      </c>
    </row>
    <row r="2393" spans="4:6" x14ac:dyDescent="0.2">
      <c r="D2393" s="18">
        <f t="shared" ca="1" si="75"/>
        <v>45.056810403832991</v>
      </c>
      <c r="E2393" s="33">
        <f t="shared" ca="1" si="76"/>
        <v>58442</v>
      </c>
      <c r="F2393" s="47">
        <v>2.6391832556592294</v>
      </c>
    </row>
    <row r="2394" spans="4:6" x14ac:dyDescent="0.2">
      <c r="D2394" s="18">
        <f t="shared" ca="1" si="75"/>
        <v>45.075975359342912</v>
      </c>
      <c r="E2394" s="33">
        <f t="shared" ca="1" si="76"/>
        <v>58449</v>
      </c>
      <c r="F2394" s="47">
        <v>2.6391742365059452</v>
      </c>
    </row>
    <row r="2395" spans="4:6" x14ac:dyDescent="0.2">
      <c r="D2395" s="18">
        <f t="shared" ca="1" si="75"/>
        <v>45.095140314852841</v>
      </c>
      <c r="E2395" s="33">
        <f t="shared" ca="1" si="76"/>
        <v>58456</v>
      </c>
      <c r="F2395" s="47">
        <v>2.6391657512804332</v>
      </c>
    </row>
    <row r="2396" spans="4:6" x14ac:dyDescent="0.2">
      <c r="D2396" s="18">
        <f t="shared" ca="1" si="75"/>
        <v>45.114305270362763</v>
      </c>
      <c r="E2396" s="33">
        <f t="shared" ca="1" si="76"/>
        <v>58463</v>
      </c>
      <c r="F2396" s="47">
        <v>2.6391577987659698</v>
      </c>
    </row>
    <row r="2397" spans="4:6" x14ac:dyDescent="0.2">
      <c r="D2397" s="18">
        <f t="shared" ca="1" si="75"/>
        <v>45.133470225872692</v>
      </c>
      <c r="E2397" s="33">
        <f t="shared" ca="1" si="76"/>
        <v>58470</v>
      </c>
      <c r="F2397" s="47">
        <v>2.6391503777147745</v>
      </c>
    </row>
    <row r="2398" spans="4:6" x14ac:dyDescent="0.2">
      <c r="D2398" s="18">
        <f t="shared" ca="1" si="75"/>
        <v>45.152635181382614</v>
      </c>
      <c r="E2398" s="33">
        <f t="shared" ca="1" si="76"/>
        <v>58477</v>
      </c>
      <c r="F2398" s="47">
        <v>2.6391434868481292</v>
      </c>
    </row>
    <row r="2399" spans="4:6" x14ac:dyDescent="0.2">
      <c r="D2399" s="18">
        <f t="shared" ca="1" si="75"/>
        <v>45.171800136892543</v>
      </c>
      <c r="E2399" s="33">
        <f t="shared" ca="1" si="76"/>
        <v>58484</v>
      </c>
      <c r="F2399" s="47">
        <v>2.6391371248565232</v>
      </c>
    </row>
    <row r="2400" spans="4:6" x14ac:dyDescent="0.2">
      <c r="D2400" s="18">
        <f t="shared" ca="1" si="75"/>
        <v>45.190965092402465</v>
      </c>
      <c r="E2400" s="33">
        <f t="shared" ca="1" si="76"/>
        <v>58491</v>
      </c>
      <c r="F2400" s="47">
        <v>2.6391312903997872</v>
      </c>
    </row>
    <row r="2401" spans="4:6" x14ac:dyDescent="0.2">
      <c r="D2401" s="18">
        <f t="shared" ca="1" si="75"/>
        <v>45.210130047912386</v>
      </c>
      <c r="E2401" s="33">
        <f t="shared" ca="1" si="76"/>
        <v>58498</v>
      </c>
      <c r="F2401" s="47">
        <v>2.6391259821072421</v>
      </c>
    </row>
    <row r="2402" spans="4:6" x14ac:dyDescent="0.2">
      <c r="D2402" s="18">
        <f t="shared" ca="1" si="75"/>
        <v>45.229295003422315</v>
      </c>
      <c r="E2402" s="33">
        <f t="shared" ca="1" si="76"/>
        <v>58505</v>
      </c>
      <c r="F2402" s="47">
        <v>2.6391211985778367</v>
      </c>
    </row>
    <row r="2403" spans="4:6" x14ac:dyDescent="0.2">
      <c r="D2403" s="18">
        <f t="shared" ca="1" si="75"/>
        <v>45.248459958932237</v>
      </c>
      <c r="E2403" s="33">
        <f t="shared" ca="1" si="76"/>
        <v>58512</v>
      </c>
      <c r="F2403" s="47">
        <v>2.6391169383803157</v>
      </c>
    </row>
    <row r="2404" spans="4:6" x14ac:dyDescent="0.2">
      <c r="D2404" s="18">
        <f t="shared" ca="1" si="75"/>
        <v>45.267624914442166</v>
      </c>
      <c r="E2404" s="33">
        <f t="shared" ca="1" si="76"/>
        <v>58519</v>
      </c>
      <c r="F2404" s="47">
        <v>2.6391132000533641</v>
      </c>
    </row>
    <row r="2405" spans="4:6" x14ac:dyDescent="0.2">
      <c r="D2405" s="18">
        <f t="shared" ca="1" si="75"/>
        <v>45.286789869952088</v>
      </c>
      <c r="E2405" s="33">
        <f t="shared" ca="1" si="76"/>
        <v>58526</v>
      </c>
      <c r="F2405" s="47">
        <v>2.6391099821057731</v>
      </c>
    </row>
    <row r="2406" spans="4:6" x14ac:dyDescent="0.2">
      <c r="D2406" s="18">
        <f t="shared" ca="1" si="75"/>
        <v>45.30595482546201</v>
      </c>
      <c r="E2406" s="33">
        <f t="shared" ca="1" si="76"/>
        <v>58533</v>
      </c>
      <c r="F2406" s="47">
        <v>2.6391072830166067</v>
      </c>
    </row>
    <row r="2407" spans="4:6" x14ac:dyDescent="0.2">
      <c r="D2407" s="18">
        <f t="shared" ca="1" si="75"/>
        <v>45.325119780971939</v>
      </c>
      <c r="E2407" s="33">
        <f t="shared" ca="1" si="76"/>
        <v>58540</v>
      </c>
      <c r="F2407" s="47">
        <v>2.6391051012353701</v>
      </c>
    </row>
    <row r="2408" spans="4:6" x14ac:dyDescent="0.2">
      <c r="D2408" s="18">
        <f t="shared" ca="1" si="75"/>
        <v>45.34428473648186</v>
      </c>
      <c r="E2408" s="33">
        <f t="shared" ca="1" si="76"/>
        <v>58547</v>
      </c>
      <c r="F2408" s="47">
        <v>2.6391034351821845</v>
      </c>
    </row>
    <row r="2409" spans="4:6" x14ac:dyDescent="0.2">
      <c r="D2409" s="18">
        <f t="shared" ca="1" si="75"/>
        <v>45.363449691991789</v>
      </c>
      <c r="E2409" s="33">
        <f t="shared" ca="1" si="76"/>
        <v>58554</v>
      </c>
      <c r="F2409" s="47">
        <v>2.6391022832479631</v>
      </c>
    </row>
    <row r="2410" spans="4:6" x14ac:dyDescent="0.2">
      <c r="D2410" s="18">
        <f t="shared" ref="D2410:D2473" ca="1" si="77">(E2410-$E$42)/365.25</f>
        <v>45.382614647501711</v>
      </c>
      <c r="E2410" s="33">
        <f t="shared" ca="1" si="76"/>
        <v>58561</v>
      </c>
      <c r="F2410" s="47">
        <v>2.6391016437945947</v>
      </c>
    </row>
    <row r="2411" spans="4:6" x14ac:dyDescent="0.2">
      <c r="D2411" s="18">
        <f t="shared" ca="1" si="77"/>
        <v>45.401779603011633</v>
      </c>
      <c r="E2411" s="33">
        <f t="shared" ref="E2411:E2474" ca="1" si="78">E2410+7</f>
        <v>58568</v>
      </c>
      <c r="F2411" s="47">
        <v>2.6391015151551338</v>
      </c>
    </row>
    <row r="2412" spans="4:6" x14ac:dyDescent="0.2">
      <c r="D2412" s="18">
        <f t="shared" ca="1" si="77"/>
        <v>45.420944558521562</v>
      </c>
      <c r="E2412" s="33">
        <f t="shared" ca="1" si="78"/>
        <v>58575</v>
      </c>
      <c r="F2412" s="47">
        <v>2.6391018956339822</v>
      </c>
    </row>
    <row r="2413" spans="4:6" x14ac:dyDescent="0.2">
      <c r="D2413" s="18">
        <f t="shared" ca="1" si="77"/>
        <v>45.440109514031484</v>
      </c>
      <c r="E2413" s="33">
        <f t="shared" ca="1" si="78"/>
        <v>58582</v>
      </c>
      <c r="F2413" s="47">
        <v>2.6391027835070919</v>
      </c>
    </row>
    <row r="2414" spans="4:6" x14ac:dyDescent="0.2">
      <c r="D2414" s="18">
        <f t="shared" ca="1" si="77"/>
        <v>45.459274469541413</v>
      </c>
      <c r="E2414" s="33">
        <f t="shared" ca="1" si="78"/>
        <v>58589</v>
      </c>
      <c r="F2414" s="47">
        <v>2.6391041770221588</v>
      </c>
    </row>
    <row r="2415" spans="4:6" x14ac:dyDescent="0.2">
      <c r="D2415" s="18">
        <f t="shared" ca="1" si="77"/>
        <v>45.478439425051334</v>
      </c>
      <c r="E2415" s="33">
        <f t="shared" ca="1" si="78"/>
        <v>58596</v>
      </c>
      <c r="F2415" s="47">
        <v>2.6391060743988253</v>
      </c>
    </row>
    <row r="2416" spans="4:6" x14ac:dyDescent="0.2">
      <c r="D2416" s="18">
        <f t="shared" ca="1" si="77"/>
        <v>45.497604380561256</v>
      </c>
      <c r="E2416" s="33">
        <f t="shared" ca="1" si="78"/>
        <v>58603</v>
      </c>
      <c r="F2416" s="47">
        <v>2.639108473828887</v>
      </c>
    </row>
    <row r="2417" spans="4:6" x14ac:dyDescent="0.2">
      <c r="D2417" s="18">
        <f t="shared" ca="1" si="77"/>
        <v>45.516769336071185</v>
      </c>
      <c r="E2417" s="33">
        <f t="shared" ca="1" si="78"/>
        <v>58610</v>
      </c>
      <c r="F2417" s="47">
        <v>2.6391113734765028</v>
      </c>
    </row>
    <row r="2418" spans="4:6" x14ac:dyDescent="0.2">
      <c r="D2418" s="18">
        <f t="shared" ca="1" si="77"/>
        <v>45.535934291581107</v>
      </c>
      <c r="E2418" s="33">
        <f t="shared" ca="1" si="78"/>
        <v>58617</v>
      </c>
      <c r="F2418" s="47">
        <v>2.6391147714784053</v>
      </c>
    </row>
    <row r="2419" spans="4:6" x14ac:dyDescent="0.2">
      <c r="D2419" s="18">
        <f t="shared" ca="1" si="77"/>
        <v>45.555099247091036</v>
      </c>
      <c r="E2419" s="33">
        <f t="shared" ca="1" si="78"/>
        <v>58624</v>
      </c>
      <c r="F2419" s="47">
        <v>2.6391186659441224</v>
      </c>
    </row>
    <row r="2420" spans="4:6" x14ac:dyDescent="0.2">
      <c r="D2420" s="18">
        <f t="shared" ca="1" si="77"/>
        <v>45.574264202600958</v>
      </c>
      <c r="E2420" s="33">
        <f t="shared" ca="1" si="78"/>
        <v>58631</v>
      </c>
      <c r="F2420" s="47">
        <v>2.639123054956197</v>
      </c>
    </row>
    <row r="2421" spans="4:6" x14ac:dyDescent="0.2">
      <c r="D2421" s="18">
        <f t="shared" ca="1" si="77"/>
        <v>45.593429158110879</v>
      </c>
      <c r="E2421" s="33">
        <f t="shared" ca="1" si="78"/>
        <v>58638</v>
      </c>
      <c r="F2421" s="47">
        <v>2.639127936570409</v>
      </c>
    </row>
    <row r="2422" spans="4:6" x14ac:dyDescent="0.2">
      <c r="D2422" s="18">
        <f t="shared" ca="1" si="77"/>
        <v>45.612594113620808</v>
      </c>
      <c r="E2422" s="33">
        <f t="shared" ca="1" si="78"/>
        <v>58645</v>
      </c>
      <c r="F2422" s="47">
        <v>2.6391333088160023</v>
      </c>
    </row>
    <row r="2423" spans="4:6" x14ac:dyDescent="0.2">
      <c r="D2423" s="18">
        <f t="shared" ca="1" si="77"/>
        <v>45.63175906913073</v>
      </c>
      <c r="E2423" s="33">
        <f t="shared" ca="1" si="78"/>
        <v>58652</v>
      </c>
      <c r="F2423" s="47">
        <v>2.6391391696959232</v>
      </c>
    </row>
    <row r="2424" spans="4:6" x14ac:dyDescent="0.2">
      <c r="D2424" s="18">
        <f t="shared" ca="1" si="77"/>
        <v>45.650924024640659</v>
      </c>
      <c r="E2424" s="33">
        <f t="shared" ca="1" si="78"/>
        <v>58659</v>
      </c>
      <c r="F2424" s="47">
        <v>2.6391455171870479</v>
      </c>
    </row>
    <row r="2425" spans="4:6" x14ac:dyDescent="0.2">
      <c r="D2425" s="18">
        <f t="shared" ca="1" si="77"/>
        <v>45.670088980150581</v>
      </c>
      <c r="E2425" s="33">
        <f t="shared" ca="1" si="78"/>
        <v>58666</v>
      </c>
      <c r="F2425" s="47">
        <v>2.6391523492404212</v>
      </c>
    </row>
    <row r="2426" spans="4:6" x14ac:dyDescent="0.2">
      <c r="D2426" s="18">
        <f t="shared" ca="1" si="77"/>
        <v>45.68925393566051</v>
      </c>
      <c r="E2426" s="33">
        <f t="shared" ca="1" si="78"/>
        <v>58673</v>
      </c>
      <c r="F2426" s="47">
        <v>2.6391596637815051</v>
      </c>
    </row>
    <row r="2427" spans="4:6" x14ac:dyDescent="0.2">
      <c r="D2427" s="18">
        <f t="shared" ca="1" si="77"/>
        <v>45.708418891170432</v>
      </c>
      <c r="E2427" s="33">
        <f t="shared" ca="1" si="78"/>
        <v>58680</v>
      </c>
      <c r="F2427" s="47">
        <v>2.6391674587104141</v>
      </c>
    </row>
    <row r="2428" spans="4:6" x14ac:dyDescent="0.2">
      <c r="D2428" s="18">
        <f t="shared" ca="1" si="77"/>
        <v>45.727583846680353</v>
      </c>
      <c r="E2428" s="33">
        <f t="shared" ca="1" si="78"/>
        <v>58687</v>
      </c>
      <c r="F2428" s="47">
        <v>2.6391757319021676</v>
      </c>
    </row>
    <row r="2429" spans="4:6" x14ac:dyDescent="0.2">
      <c r="D2429" s="18">
        <f t="shared" ca="1" si="77"/>
        <v>45.746748802190282</v>
      </c>
      <c r="E2429" s="33">
        <f t="shared" ca="1" si="78"/>
        <v>58694</v>
      </c>
      <c r="F2429" s="47">
        <v>2.6391844812069443</v>
      </c>
    </row>
    <row r="2430" spans="4:6" x14ac:dyDescent="0.2">
      <c r="D2430" s="18">
        <f t="shared" ca="1" si="77"/>
        <v>45.765913757700204</v>
      </c>
      <c r="E2430" s="33">
        <f t="shared" ca="1" si="78"/>
        <v>58701</v>
      </c>
      <c r="F2430" s="47">
        <v>2.6391937044503315</v>
      </c>
    </row>
    <row r="2431" spans="4:6" x14ac:dyDescent="0.2">
      <c r="D2431" s="18">
        <f t="shared" ca="1" si="77"/>
        <v>45.785078713210133</v>
      </c>
      <c r="E2431" s="33">
        <f t="shared" ca="1" si="78"/>
        <v>58708</v>
      </c>
      <c r="F2431" s="47">
        <v>2.639203399433582</v>
      </c>
    </row>
    <row r="2432" spans="4:6" x14ac:dyDescent="0.2">
      <c r="D2432" s="18">
        <f t="shared" ca="1" si="77"/>
        <v>45.804243668720055</v>
      </c>
      <c r="E2432" s="33">
        <f t="shared" ca="1" si="78"/>
        <v>58715</v>
      </c>
      <c r="F2432" s="47">
        <v>2.6392135639338763</v>
      </c>
    </row>
    <row r="2433" spans="4:6" x14ac:dyDescent="0.2">
      <c r="D2433" s="18">
        <f t="shared" ca="1" si="77"/>
        <v>45.823408624229977</v>
      </c>
      <c r="E2433" s="33">
        <f t="shared" ca="1" si="78"/>
        <v>58722</v>
      </c>
      <c r="F2433" s="47">
        <v>2.6392241957045881</v>
      </c>
    </row>
    <row r="2434" spans="4:6" x14ac:dyDescent="0.2">
      <c r="D2434" s="18">
        <f t="shared" ca="1" si="77"/>
        <v>45.842573579739906</v>
      </c>
      <c r="E2434" s="33">
        <f t="shared" ca="1" si="78"/>
        <v>58729</v>
      </c>
      <c r="F2434" s="47">
        <v>2.6392352924755444</v>
      </c>
    </row>
    <row r="2435" spans="4:6" x14ac:dyDescent="0.2">
      <c r="D2435" s="18">
        <f t="shared" ca="1" si="77"/>
        <v>45.861738535249827</v>
      </c>
      <c r="E2435" s="33">
        <f t="shared" ca="1" si="78"/>
        <v>58736</v>
      </c>
      <c r="F2435" s="47">
        <v>2.6392468519532977</v>
      </c>
    </row>
    <row r="2436" spans="4:6" x14ac:dyDescent="0.2">
      <c r="D2436" s="18">
        <f t="shared" ca="1" si="77"/>
        <v>45.880903490759756</v>
      </c>
      <c r="E2436" s="33">
        <f t="shared" ca="1" si="78"/>
        <v>58743</v>
      </c>
      <c r="F2436" s="47">
        <v>2.6392588718213985</v>
      </c>
    </row>
    <row r="2437" spans="4:6" x14ac:dyDescent="0.2">
      <c r="D2437" s="18">
        <f t="shared" ca="1" si="77"/>
        <v>45.900068446269678</v>
      </c>
      <c r="E2437" s="33">
        <f t="shared" ca="1" si="78"/>
        <v>58750</v>
      </c>
      <c r="F2437" s="47">
        <v>2.6392713497406657</v>
      </c>
    </row>
    <row r="2438" spans="4:6" x14ac:dyDescent="0.2">
      <c r="D2438" s="18">
        <f t="shared" ca="1" si="77"/>
        <v>45.9192334017796</v>
      </c>
      <c r="E2438" s="33">
        <f t="shared" ca="1" si="78"/>
        <v>58757</v>
      </c>
      <c r="F2438" s="47">
        <v>2.6392842833494656</v>
      </c>
    </row>
    <row r="2439" spans="4:6" x14ac:dyDescent="0.2">
      <c r="D2439" s="18">
        <f t="shared" ca="1" si="77"/>
        <v>45.938398357289529</v>
      </c>
      <c r="E2439" s="33">
        <f t="shared" ca="1" si="78"/>
        <v>58764</v>
      </c>
      <c r="F2439" s="47">
        <v>2.6392976702639919</v>
      </c>
    </row>
    <row r="2440" spans="4:6" x14ac:dyDescent="0.2">
      <c r="D2440" s="18">
        <f t="shared" ca="1" si="77"/>
        <v>45.957563312799451</v>
      </c>
      <c r="E2440" s="33">
        <f t="shared" ca="1" si="78"/>
        <v>58771</v>
      </c>
      <c r="F2440" s="47">
        <v>2.6393115080785448</v>
      </c>
    </row>
    <row r="2441" spans="4:6" x14ac:dyDescent="0.2">
      <c r="D2441" s="18">
        <f t="shared" ca="1" si="77"/>
        <v>45.97672826830938</v>
      </c>
      <c r="E2441" s="33">
        <f t="shared" ca="1" si="78"/>
        <v>58778</v>
      </c>
      <c r="F2441" s="47">
        <v>2.6393257943658157</v>
      </c>
    </row>
    <row r="2442" spans="4:6" x14ac:dyDescent="0.2">
      <c r="D2442" s="18">
        <f t="shared" ca="1" si="77"/>
        <v>45.995893223819301</v>
      </c>
      <c r="E2442" s="33">
        <f t="shared" ca="1" si="78"/>
        <v>58785</v>
      </c>
      <c r="F2442" s="47">
        <v>2.6393405266771737</v>
      </c>
    </row>
    <row r="2443" spans="4:6" x14ac:dyDescent="0.2">
      <c r="D2443" s="18">
        <f t="shared" ca="1" si="77"/>
        <v>46.015058179329223</v>
      </c>
      <c r="E2443" s="33">
        <f t="shared" ca="1" si="78"/>
        <v>58792</v>
      </c>
      <c r="F2443" s="47">
        <v>2.6393557025429568</v>
      </c>
    </row>
    <row r="2444" spans="4:6" x14ac:dyDescent="0.2">
      <c r="D2444" s="18">
        <f t="shared" ca="1" si="77"/>
        <v>46.034223134839152</v>
      </c>
      <c r="E2444" s="33">
        <f t="shared" ca="1" si="78"/>
        <v>58799</v>
      </c>
      <c r="F2444" s="47">
        <v>2.6393713194727577</v>
      </c>
    </row>
    <row r="2445" spans="4:6" x14ac:dyDescent="0.2">
      <c r="D2445" s="18">
        <f t="shared" ca="1" si="77"/>
        <v>46.053388090349074</v>
      </c>
      <c r="E2445" s="33">
        <f t="shared" ca="1" si="78"/>
        <v>58806</v>
      </c>
      <c r="F2445" s="47">
        <v>2.6393873749557204</v>
      </c>
    </row>
    <row r="2446" spans="4:6" x14ac:dyDescent="0.2">
      <c r="D2446" s="18">
        <f t="shared" ca="1" si="77"/>
        <v>46.072553045859003</v>
      </c>
      <c r="E2446" s="33">
        <f t="shared" ca="1" si="78"/>
        <v>58813</v>
      </c>
      <c r="F2446" s="47">
        <v>2.6394038664608321</v>
      </c>
    </row>
    <row r="2447" spans="4:6" x14ac:dyDescent="0.2">
      <c r="D2447" s="18">
        <f t="shared" ca="1" si="77"/>
        <v>46.091718001368925</v>
      </c>
      <c r="E2447" s="33">
        <f t="shared" ca="1" si="78"/>
        <v>58820</v>
      </c>
      <c r="F2447" s="47">
        <v>2.6394207914372259</v>
      </c>
    </row>
    <row r="2448" spans="4:6" x14ac:dyDescent="0.2">
      <c r="D2448" s="18">
        <f t="shared" ca="1" si="77"/>
        <v>46.110882956878854</v>
      </c>
      <c r="E2448" s="33">
        <f t="shared" ca="1" si="78"/>
        <v>58827</v>
      </c>
      <c r="F2448" s="47">
        <v>2.639438147314471</v>
      </c>
    </row>
    <row r="2449" spans="4:6" x14ac:dyDescent="0.2">
      <c r="D2449" s="18">
        <f t="shared" ca="1" si="77"/>
        <v>46.130047912388775</v>
      </c>
      <c r="E2449" s="33">
        <f t="shared" ca="1" si="78"/>
        <v>58834</v>
      </c>
      <c r="F2449" s="47">
        <v>2.639455931502884</v>
      </c>
    </row>
    <row r="2450" spans="4:6" x14ac:dyDescent="0.2">
      <c r="D2450" s="18">
        <f t="shared" ca="1" si="77"/>
        <v>46.149212867898697</v>
      </c>
      <c r="E2450" s="33">
        <f t="shared" ca="1" si="78"/>
        <v>58841</v>
      </c>
      <c r="F2450" s="47">
        <v>2.6394741413938192</v>
      </c>
    </row>
    <row r="2451" spans="4:6" x14ac:dyDescent="0.2">
      <c r="D2451" s="18">
        <f t="shared" ca="1" si="77"/>
        <v>46.168377823408626</v>
      </c>
      <c r="E2451" s="33">
        <f t="shared" ca="1" si="78"/>
        <v>58848</v>
      </c>
      <c r="F2451" s="47">
        <v>2.6394927743599848</v>
      </c>
    </row>
    <row r="2452" spans="4:6" x14ac:dyDescent="0.2">
      <c r="D2452" s="18">
        <f t="shared" ca="1" si="77"/>
        <v>46.187542778918548</v>
      </c>
      <c r="E2452" s="33">
        <f t="shared" ca="1" si="78"/>
        <v>58855</v>
      </c>
      <c r="F2452" s="47">
        <v>2.6395118277557383</v>
      </c>
    </row>
    <row r="2453" spans="4:6" x14ac:dyDescent="0.2">
      <c r="D2453" s="18">
        <f t="shared" ca="1" si="77"/>
        <v>46.206707734428477</v>
      </c>
      <c r="E2453" s="33">
        <f t="shared" ca="1" si="78"/>
        <v>58862</v>
      </c>
      <c r="F2453" s="47">
        <v>2.6395312989174036</v>
      </c>
    </row>
    <row r="2454" spans="4:6" x14ac:dyDescent="0.2">
      <c r="D2454" s="18">
        <f t="shared" ca="1" si="77"/>
        <v>46.225872689938399</v>
      </c>
      <c r="E2454" s="33">
        <f t="shared" ca="1" si="78"/>
        <v>58869</v>
      </c>
      <c r="F2454" s="47">
        <v>2.6395511851635716</v>
      </c>
    </row>
    <row r="2455" spans="4:6" x14ac:dyDescent="0.2">
      <c r="D2455" s="18">
        <f t="shared" ca="1" si="77"/>
        <v>46.245037645448321</v>
      </c>
      <c r="E2455" s="33">
        <f t="shared" ca="1" si="78"/>
        <v>58876</v>
      </c>
      <c r="F2455" s="47">
        <v>2.6395714837954176</v>
      </c>
    </row>
    <row r="2456" spans="4:6" x14ac:dyDescent="0.2">
      <c r="D2456" s="18">
        <f t="shared" ca="1" si="77"/>
        <v>46.264202600958249</v>
      </c>
      <c r="E2456" s="33">
        <f t="shared" ca="1" si="78"/>
        <v>58883</v>
      </c>
      <c r="F2456" s="47">
        <v>2.6395921920970067</v>
      </c>
    </row>
    <row r="2457" spans="4:6" x14ac:dyDescent="0.2">
      <c r="D2457" s="18">
        <f t="shared" ca="1" si="77"/>
        <v>46.283367556468171</v>
      </c>
      <c r="E2457" s="33">
        <f t="shared" ca="1" si="78"/>
        <v>58890</v>
      </c>
      <c r="F2457" s="47">
        <v>2.6396133073356136</v>
      </c>
    </row>
    <row r="2458" spans="4:6" x14ac:dyDescent="0.2">
      <c r="D2458" s="18">
        <f t="shared" ca="1" si="77"/>
        <v>46.3025325119781</v>
      </c>
      <c r="E2458" s="33">
        <f t="shared" ca="1" si="78"/>
        <v>58897</v>
      </c>
      <c r="F2458" s="47">
        <v>2.6396348267620304</v>
      </c>
    </row>
    <row r="2459" spans="4:6" x14ac:dyDescent="0.2">
      <c r="D2459" s="18">
        <f t="shared" ca="1" si="77"/>
        <v>46.321697467488022</v>
      </c>
      <c r="E2459" s="33">
        <f t="shared" ca="1" si="78"/>
        <v>58904</v>
      </c>
      <c r="F2459" s="47">
        <v>2.639656747610887</v>
      </c>
    </row>
    <row r="2460" spans="4:6" x14ac:dyDescent="0.2">
      <c r="D2460" s="18">
        <f t="shared" ca="1" si="77"/>
        <v>46.340862422997944</v>
      </c>
      <c r="E2460" s="33">
        <f t="shared" ca="1" si="78"/>
        <v>58911</v>
      </c>
      <c r="F2460" s="47">
        <v>2.6396790671009658</v>
      </c>
    </row>
    <row r="2461" spans="4:6" x14ac:dyDescent="0.2">
      <c r="D2461" s="18">
        <f t="shared" ca="1" si="77"/>
        <v>46.360027378507873</v>
      </c>
      <c r="E2461" s="33">
        <f t="shared" ca="1" si="78"/>
        <v>58918</v>
      </c>
      <c r="F2461" s="47">
        <v>2.63970178243552</v>
      </c>
    </row>
    <row r="2462" spans="4:6" x14ac:dyDescent="0.2">
      <c r="D2462" s="18">
        <f t="shared" ca="1" si="77"/>
        <v>46.379192334017795</v>
      </c>
      <c r="E2462" s="33">
        <f t="shared" ca="1" si="78"/>
        <v>58925</v>
      </c>
      <c r="F2462" s="47">
        <v>2.639724890802591</v>
      </c>
    </row>
    <row r="2463" spans="4:6" x14ac:dyDescent="0.2">
      <c r="D2463" s="18">
        <f t="shared" ca="1" si="77"/>
        <v>46.398357289527723</v>
      </c>
      <c r="E2463" s="33">
        <f t="shared" ca="1" si="78"/>
        <v>58932</v>
      </c>
      <c r="F2463" s="47">
        <v>2.6397483893753297</v>
      </c>
    </row>
    <row r="2464" spans="4:6" x14ac:dyDescent="0.2">
      <c r="D2464" s="18">
        <f t="shared" ca="1" si="77"/>
        <v>46.417522245037645</v>
      </c>
      <c r="E2464" s="33">
        <f t="shared" ca="1" si="78"/>
        <v>58939</v>
      </c>
      <c r="F2464" s="47">
        <v>2.6397722753123172</v>
      </c>
    </row>
    <row r="2465" spans="4:6" x14ac:dyDescent="0.2">
      <c r="D2465" s="18">
        <f t="shared" ca="1" si="77"/>
        <v>46.436687200547567</v>
      </c>
      <c r="E2465" s="33">
        <f t="shared" ca="1" si="78"/>
        <v>58946</v>
      </c>
      <c r="F2465" s="47">
        <v>2.6397965457578825</v>
      </c>
    </row>
    <row r="2466" spans="4:6" x14ac:dyDescent="0.2">
      <c r="D2466" s="18">
        <f t="shared" ca="1" si="77"/>
        <v>46.455852156057496</v>
      </c>
      <c r="E2466" s="33">
        <f t="shared" ca="1" si="78"/>
        <v>58953</v>
      </c>
      <c r="F2466" s="47">
        <v>2.6398211978424286</v>
      </c>
    </row>
    <row r="2467" spans="4:6" x14ac:dyDescent="0.2">
      <c r="D2467" s="18">
        <f t="shared" ca="1" si="77"/>
        <v>46.475017111567418</v>
      </c>
      <c r="E2467" s="33">
        <f t="shared" ca="1" si="78"/>
        <v>58960</v>
      </c>
      <c r="F2467" s="47">
        <v>2.6398462286827513</v>
      </c>
    </row>
    <row r="2468" spans="4:6" x14ac:dyDescent="0.2">
      <c r="D2468" s="18">
        <f t="shared" ca="1" si="77"/>
        <v>46.494182067077347</v>
      </c>
      <c r="E2468" s="33">
        <f t="shared" ca="1" si="78"/>
        <v>58967</v>
      </c>
      <c r="F2468" s="47">
        <v>2.6398716353823675</v>
      </c>
    </row>
    <row r="2469" spans="4:6" x14ac:dyDescent="0.2">
      <c r="D2469" s="18">
        <f t="shared" ca="1" si="77"/>
        <v>46.513347022587268</v>
      </c>
      <c r="E2469" s="33">
        <f t="shared" ca="1" si="78"/>
        <v>58974</v>
      </c>
      <c r="F2469" s="47">
        <v>2.6398974150318324</v>
      </c>
    </row>
    <row r="2470" spans="4:6" x14ac:dyDescent="0.2">
      <c r="D2470" s="18">
        <f t="shared" ca="1" si="77"/>
        <v>46.53251197809719</v>
      </c>
      <c r="E2470" s="33">
        <f t="shared" ca="1" si="78"/>
        <v>58981</v>
      </c>
      <c r="F2470" s="47">
        <v>2.6399235647090684</v>
      </c>
    </row>
    <row r="2471" spans="4:6" x14ac:dyDescent="0.2">
      <c r="D2471" s="18">
        <f t="shared" ca="1" si="77"/>
        <v>46.551676933607119</v>
      </c>
      <c r="E2471" s="33">
        <f t="shared" ca="1" si="78"/>
        <v>58988</v>
      </c>
      <c r="F2471" s="47">
        <v>2.6399500814796841</v>
      </c>
    </row>
    <row r="2472" spans="4:6" x14ac:dyDescent="0.2">
      <c r="D2472" s="18">
        <f t="shared" ca="1" si="77"/>
        <v>46.570841889117041</v>
      </c>
      <c r="E2472" s="33">
        <f t="shared" ca="1" si="78"/>
        <v>58995</v>
      </c>
      <c r="F2472" s="47">
        <v>2.6399769623973088</v>
      </c>
    </row>
    <row r="2473" spans="4:6" x14ac:dyDescent="0.2">
      <c r="D2473" s="18">
        <f t="shared" ca="1" si="77"/>
        <v>46.59000684462697</v>
      </c>
      <c r="E2473" s="33">
        <f t="shared" ca="1" si="78"/>
        <v>59002</v>
      </c>
      <c r="F2473" s="47">
        <v>2.6400042045039038</v>
      </c>
    </row>
    <row r="2474" spans="4:6" x14ac:dyDescent="0.2">
      <c r="D2474" s="18">
        <f t="shared" ref="D2474:D2537" ca="1" si="79">(E2474-$E$42)/365.25</f>
        <v>46.609171800136892</v>
      </c>
      <c r="E2474" s="33">
        <f t="shared" ca="1" si="78"/>
        <v>59009</v>
      </c>
      <c r="F2474" s="47">
        <v>2.6400318048300999</v>
      </c>
    </row>
    <row r="2475" spans="4:6" x14ac:dyDescent="0.2">
      <c r="D2475" s="18">
        <f t="shared" ca="1" si="79"/>
        <v>46.628336755646821</v>
      </c>
      <c r="E2475" s="33">
        <f t="shared" ref="E2475:E2538" ca="1" si="80">E2474+7</f>
        <v>59016</v>
      </c>
      <c r="F2475" s="47">
        <v>2.6400597603955136</v>
      </c>
    </row>
    <row r="2476" spans="4:6" x14ac:dyDescent="0.2">
      <c r="D2476" s="18">
        <f t="shared" ca="1" si="79"/>
        <v>46.647501711156742</v>
      </c>
      <c r="E2476" s="33">
        <f t="shared" ca="1" si="80"/>
        <v>59023</v>
      </c>
      <c r="F2476" s="47">
        <v>2.6400880682090784</v>
      </c>
    </row>
    <row r="2477" spans="4:6" x14ac:dyDescent="0.2">
      <c r="D2477" s="18">
        <f t="shared" ca="1" si="79"/>
        <v>46.666666666666664</v>
      </c>
      <c r="E2477" s="33">
        <f t="shared" ca="1" si="80"/>
        <v>59030</v>
      </c>
      <c r="F2477" s="47">
        <v>2.6401167252693658</v>
      </c>
    </row>
    <row r="2478" spans="4:6" x14ac:dyDescent="0.2">
      <c r="D2478" s="18">
        <f t="shared" ca="1" si="79"/>
        <v>46.685831622176593</v>
      </c>
      <c r="E2478" s="33">
        <f t="shared" ca="1" si="80"/>
        <v>59037</v>
      </c>
      <c r="F2478" s="47">
        <v>2.6401457285649119</v>
      </c>
    </row>
    <row r="2479" spans="4:6" x14ac:dyDescent="0.2">
      <c r="D2479" s="18">
        <f t="shared" ca="1" si="79"/>
        <v>46.704996577686515</v>
      </c>
      <c r="E2479" s="33">
        <f t="shared" ca="1" si="80"/>
        <v>59044</v>
      </c>
      <c r="F2479" s="47">
        <v>2.6401750750745445</v>
      </c>
    </row>
    <row r="2480" spans="4:6" x14ac:dyDescent="0.2">
      <c r="D2480" s="18">
        <f t="shared" ca="1" si="79"/>
        <v>46.724161533196444</v>
      </c>
      <c r="E2480" s="33">
        <f t="shared" ca="1" si="80"/>
        <v>59051</v>
      </c>
      <c r="F2480" s="47">
        <v>2.6402047617677025</v>
      </c>
    </row>
    <row r="2481" spans="4:6" x14ac:dyDescent="0.2">
      <c r="D2481" s="18">
        <f t="shared" ca="1" si="79"/>
        <v>46.743326488706366</v>
      </c>
      <c r="E2481" s="33">
        <f t="shared" ca="1" si="80"/>
        <v>59058</v>
      </c>
      <c r="F2481" s="47">
        <v>2.6402347856047643</v>
      </c>
    </row>
    <row r="2482" spans="4:6" x14ac:dyDescent="0.2">
      <c r="D2482" s="18">
        <f t="shared" ca="1" si="79"/>
        <v>46.762491444216288</v>
      </c>
      <c r="E2482" s="33">
        <f t="shared" ca="1" si="80"/>
        <v>59065</v>
      </c>
      <c r="F2482" s="47">
        <v>2.6402651435373712</v>
      </c>
    </row>
    <row r="2483" spans="4:6" x14ac:dyDescent="0.2">
      <c r="D2483" s="18">
        <f t="shared" ca="1" si="79"/>
        <v>46.781656399726216</v>
      </c>
      <c r="E2483" s="33">
        <f t="shared" ca="1" si="80"/>
        <v>59072</v>
      </c>
      <c r="F2483" s="47">
        <v>2.6402958325087509</v>
      </c>
    </row>
    <row r="2484" spans="4:6" x14ac:dyDescent="0.2">
      <c r="D2484" s="18">
        <f t="shared" ca="1" si="79"/>
        <v>46.800821355236138</v>
      </c>
      <c r="E2484" s="33">
        <f t="shared" ca="1" si="80"/>
        <v>59079</v>
      </c>
      <c r="F2484" s="47">
        <v>2.6403268494540373</v>
      </c>
    </row>
    <row r="2485" spans="4:6" x14ac:dyDescent="0.2">
      <c r="D2485" s="18">
        <f t="shared" ca="1" si="79"/>
        <v>46.819986310746067</v>
      </c>
      <c r="E2485" s="33">
        <f t="shared" ca="1" si="80"/>
        <v>59086</v>
      </c>
      <c r="F2485" s="47">
        <v>2.6403581913006011</v>
      </c>
    </row>
    <row r="2486" spans="4:6" x14ac:dyDescent="0.2">
      <c r="D2486" s="18">
        <f t="shared" ca="1" si="79"/>
        <v>46.839151266255989</v>
      </c>
      <c r="E2486" s="33">
        <f t="shared" ca="1" si="80"/>
        <v>59093</v>
      </c>
      <c r="F2486" s="47">
        <v>2.6403898549683618</v>
      </c>
    </row>
    <row r="2487" spans="4:6" x14ac:dyDescent="0.2">
      <c r="D2487" s="18">
        <f t="shared" ca="1" si="79"/>
        <v>46.858316221765911</v>
      </c>
      <c r="E2487" s="33">
        <f t="shared" ca="1" si="80"/>
        <v>59100</v>
      </c>
      <c r="F2487" s="47">
        <v>2.6404218373701172</v>
      </c>
    </row>
    <row r="2488" spans="4:6" x14ac:dyDescent="0.2">
      <c r="D2488" s="18">
        <f t="shared" ca="1" si="79"/>
        <v>46.87748117727584</v>
      </c>
      <c r="E2488" s="33">
        <f t="shared" ca="1" si="80"/>
        <v>59107</v>
      </c>
      <c r="F2488" s="47">
        <v>2.6404541354118582</v>
      </c>
    </row>
    <row r="2489" spans="4:6" x14ac:dyDescent="0.2">
      <c r="D2489" s="18">
        <f t="shared" ca="1" si="79"/>
        <v>46.896646132785762</v>
      </c>
      <c r="E2489" s="33">
        <f t="shared" ca="1" si="80"/>
        <v>59114</v>
      </c>
      <c r="F2489" s="47">
        <v>2.6404867459930936</v>
      </c>
    </row>
    <row r="2490" spans="4:6" x14ac:dyDescent="0.2">
      <c r="D2490" s="18">
        <f t="shared" ca="1" si="79"/>
        <v>46.91581108829569</v>
      </c>
      <c r="E2490" s="33">
        <f t="shared" ca="1" si="80"/>
        <v>59121</v>
      </c>
      <c r="F2490" s="47">
        <v>2.6405196660071653</v>
      </c>
    </row>
    <row r="2491" spans="4:6" x14ac:dyDescent="0.2">
      <c r="D2491" s="18">
        <f t="shared" ca="1" si="79"/>
        <v>46.934976043805612</v>
      </c>
      <c r="E2491" s="33">
        <f t="shared" ca="1" si="80"/>
        <v>59128</v>
      </c>
      <c r="F2491" s="47">
        <v>2.6405528923415686</v>
      </c>
    </row>
    <row r="2492" spans="4:6" x14ac:dyDescent="0.2">
      <c r="D2492" s="18">
        <f t="shared" ca="1" si="79"/>
        <v>46.954140999315534</v>
      </c>
      <c r="E2492" s="33">
        <f t="shared" ca="1" si="80"/>
        <v>59135</v>
      </c>
      <c r="F2492" s="47">
        <v>2.6405864218782669</v>
      </c>
    </row>
    <row r="2493" spans="4:6" x14ac:dyDescent="0.2">
      <c r="D2493" s="18">
        <f t="shared" ca="1" si="79"/>
        <v>46.973305954825463</v>
      </c>
      <c r="E2493" s="33">
        <f t="shared" ca="1" si="80"/>
        <v>59142</v>
      </c>
      <c r="F2493" s="47">
        <v>2.6406202514940125</v>
      </c>
    </row>
    <row r="2494" spans="4:6" x14ac:dyDescent="0.2">
      <c r="D2494" s="18">
        <f t="shared" ca="1" si="79"/>
        <v>46.992470910335385</v>
      </c>
      <c r="E2494" s="33">
        <f t="shared" ca="1" si="80"/>
        <v>59149</v>
      </c>
      <c r="F2494" s="47">
        <v>2.6406543780606566</v>
      </c>
    </row>
    <row r="2495" spans="4:6" x14ac:dyDescent="0.2">
      <c r="D2495" s="18">
        <f t="shared" ca="1" si="79"/>
        <v>47.011635865845314</v>
      </c>
      <c r="E2495" s="33">
        <f t="shared" ca="1" si="80"/>
        <v>59156</v>
      </c>
      <c r="F2495" s="47">
        <v>2.6406887984454657</v>
      </c>
    </row>
    <row r="2496" spans="4:6" x14ac:dyDescent="0.2">
      <c r="D2496" s="18">
        <f t="shared" ca="1" si="79"/>
        <v>47.030800821355236</v>
      </c>
      <c r="E2496" s="33">
        <f t="shared" ca="1" si="80"/>
        <v>59163</v>
      </c>
      <c r="F2496" s="47">
        <v>2.6407235095114365</v>
      </c>
    </row>
    <row r="2497" spans="4:6" x14ac:dyDescent="0.2">
      <c r="D2497" s="18">
        <f t="shared" ca="1" si="79"/>
        <v>47.049965776865157</v>
      </c>
      <c r="E2497" s="33">
        <f t="shared" ca="1" si="80"/>
        <v>59170</v>
      </c>
      <c r="F2497" s="47">
        <v>2.6407585081176022</v>
      </c>
    </row>
    <row r="2498" spans="4:6" x14ac:dyDescent="0.2">
      <c r="D2498" s="18">
        <f t="shared" ca="1" si="79"/>
        <v>47.069130732375086</v>
      </c>
      <c r="E2498" s="33">
        <f t="shared" ca="1" si="80"/>
        <v>59177</v>
      </c>
      <c r="F2498" s="47">
        <v>2.6407937911193482</v>
      </c>
    </row>
    <row r="2499" spans="4:6" x14ac:dyDescent="0.2">
      <c r="D2499" s="18">
        <f t="shared" ca="1" si="79"/>
        <v>47.088295687885008</v>
      </c>
      <c r="E2499" s="33">
        <f t="shared" ca="1" si="80"/>
        <v>59184</v>
      </c>
      <c r="F2499" s="47">
        <v>2.640829355368719</v>
      </c>
    </row>
    <row r="2500" spans="4:6" x14ac:dyDescent="0.2">
      <c r="D2500" s="18">
        <f t="shared" ca="1" si="79"/>
        <v>47.107460643394937</v>
      </c>
      <c r="E2500" s="33">
        <f t="shared" ca="1" si="80"/>
        <v>59191</v>
      </c>
      <c r="F2500" s="47">
        <v>2.6408651977147244</v>
      </c>
    </row>
    <row r="2501" spans="4:6" x14ac:dyDescent="0.2">
      <c r="D2501" s="18">
        <f t="shared" ca="1" si="79"/>
        <v>47.126625598904859</v>
      </c>
      <c r="E2501" s="33">
        <f t="shared" ca="1" si="80"/>
        <v>59198</v>
      </c>
      <c r="F2501" s="47">
        <v>2.6409013150036502</v>
      </c>
    </row>
    <row r="2502" spans="4:6" x14ac:dyDescent="0.2">
      <c r="D2502" s="18">
        <f t="shared" ca="1" si="79"/>
        <v>47.145790554414788</v>
      </c>
      <c r="E2502" s="33">
        <f t="shared" ca="1" si="80"/>
        <v>59205</v>
      </c>
      <c r="F2502" s="47">
        <v>2.6409377040793562</v>
      </c>
    </row>
    <row r="2503" spans="4:6" x14ac:dyDescent="0.2">
      <c r="D2503" s="18">
        <f t="shared" ca="1" si="79"/>
        <v>47.16495550992471</v>
      </c>
      <c r="E2503" s="33">
        <f t="shared" ca="1" si="80"/>
        <v>59212</v>
      </c>
      <c r="F2503" s="47">
        <v>2.640974361783587</v>
      </c>
    </row>
    <row r="2504" spans="4:6" x14ac:dyDescent="0.2">
      <c r="D2504" s="18">
        <f t="shared" ca="1" si="79"/>
        <v>47.184120465434631</v>
      </c>
      <c r="E2504" s="33">
        <f t="shared" ca="1" si="80"/>
        <v>59219</v>
      </c>
      <c r="F2504" s="47">
        <v>2.6410112849562672</v>
      </c>
    </row>
    <row r="2505" spans="4:6" x14ac:dyDescent="0.2">
      <c r="D2505" s="18">
        <f t="shared" ca="1" si="79"/>
        <v>47.20328542094456</v>
      </c>
      <c r="E2505" s="33">
        <f t="shared" ca="1" si="80"/>
        <v>59226</v>
      </c>
      <c r="F2505" s="47">
        <v>2.6410484704358073</v>
      </c>
    </row>
    <row r="2506" spans="4:6" x14ac:dyDescent="0.2">
      <c r="D2506" s="18">
        <f t="shared" ca="1" si="79"/>
        <v>47.222450376454482</v>
      </c>
      <c r="E2506" s="33">
        <f t="shared" ca="1" si="80"/>
        <v>59233</v>
      </c>
      <c r="F2506" s="47">
        <v>2.6410859150593957</v>
      </c>
    </row>
    <row r="2507" spans="4:6" x14ac:dyDescent="0.2">
      <c r="D2507" s="18">
        <f t="shared" ca="1" si="79"/>
        <v>47.241615331964411</v>
      </c>
      <c r="E2507" s="33">
        <f t="shared" ca="1" si="80"/>
        <v>59240</v>
      </c>
      <c r="F2507" s="47">
        <v>2.6411236156633024</v>
      </c>
    </row>
    <row r="2508" spans="4:6" x14ac:dyDescent="0.2">
      <c r="D2508" s="18">
        <f t="shared" ca="1" si="79"/>
        <v>47.260780287474333</v>
      </c>
      <c r="E2508" s="33">
        <f t="shared" ca="1" si="80"/>
        <v>59247</v>
      </c>
      <c r="F2508" s="47">
        <v>2.6411615690831685</v>
      </c>
    </row>
    <row r="2509" spans="4:6" x14ac:dyDescent="0.2">
      <c r="D2509" s="18">
        <f t="shared" ca="1" si="79"/>
        <v>47.279945242984255</v>
      </c>
      <c r="E2509" s="33">
        <f t="shared" ca="1" si="80"/>
        <v>59254</v>
      </c>
      <c r="F2509" s="47">
        <v>2.6411997721543021</v>
      </c>
    </row>
    <row r="2510" spans="4:6" x14ac:dyDescent="0.2">
      <c r="D2510" s="18">
        <f t="shared" ca="1" si="79"/>
        <v>47.299110198494184</v>
      </c>
      <c r="E2510" s="33">
        <f t="shared" ca="1" si="80"/>
        <v>59261</v>
      </c>
      <c r="F2510" s="47">
        <v>2.641238221711967</v>
      </c>
    </row>
    <row r="2511" spans="4:6" x14ac:dyDescent="0.2">
      <c r="D2511" s="18">
        <f t="shared" ca="1" si="79"/>
        <v>47.318275154004105</v>
      </c>
      <c r="E2511" s="33">
        <f t="shared" ca="1" si="80"/>
        <v>59268</v>
      </c>
      <c r="F2511" s="47">
        <v>2.6412769145916801</v>
      </c>
    </row>
    <row r="2512" spans="4:6" x14ac:dyDescent="0.2">
      <c r="D2512" s="18">
        <f t="shared" ca="1" si="79"/>
        <v>47.337440109514034</v>
      </c>
      <c r="E2512" s="33">
        <f t="shared" ca="1" si="80"/>
        <v>59275</v>
      </c>
      <c r="F2512" s="47">
        <v>2.6413158476294853</v>
      </c>
    </row>
    <row r="2513" spans="4:6" x14ac:dyDescent="0.2">
      <c r="D2513" s="18">
        <f t="shared" ca="1" si="79"/>
        <v>47.356605065023956</v>
      </c>
      <c r="E2513" s="33">
        <f t="shared" ca="1" si="80"/>
        <v>59282</v>
      </c>
      <c r="F2513" s="47">
        <v>2.6413550176622516</v>
      </c>
    </row>
    <row r="2514" spans="4:6" x14ac:dyDescent="0.2">
      <c r="D2514" s="18">
        <f t="shared" ca="1" si="79"/>
        <v>47.375770020533878</v>
      </c>
      <c r="E2514" s="33">
        <f t="shared" ca="1" si="80"/>
        <v>59289</v>
      </c>
      <c r="F2514" s="47">
        <v>2.6413944215279503</v>
      </c>
    </row>
    <row r="2515" spans="4:6" x14ac:dyDescent="0.2">
      <c r="D2515" s="18">
        <f t="shared" ca="1" si="79"/>
        <v>47.394934976043807</v>
      </c>
      <c r="E2515" s="33">
        <f t="shared" ca="1" si="80"/>
        <v>59296</v>
      </c>
      <c r="F2515" s="47">
        <v>2.6414340560659397</v>
      </c>
    </row>
    <row r="2516" spans="4:6" x14ac:dyDescent="0.2">
      <c r="D2516" s="18">
        <f t="shared" ca="1" si="79"/>
        <v>47.414099931553729</v>
      </c>
      <c r="E2516" s="33">
        <f t="shared" ca="1" si="80"/>
        <v>59303</v>
      </c>
      <c r="F2516" s="47">
        <v>2.6414739181172404</v>
      </c>
    </row>
    <row r="2517" spans="4:6" x14ac:dyDescent="0.2">
      <c r="D2517" s="18">
        <f t="shared" ca="1" si="79"/>
        <v>47.433264887063658</v>
      </c>
      <c r="E2517" s="33">
        <f t="shared" ca="1" si="80"/>
        <v>59310</v>
      </c>
      <c r="F2517" s="47">
        <v>2.6415140045248173</v>
      </c>
    </row>
    <row r="2518" spans="4:6" x14ac:dyDescent="0.2">
      <c r="D2518" s="18">
        <f t="shared" ca="1" si="79"/>
        <v>47.452429842573579</v>
      </c>
      <c r="E2518" s="33">
        <f t="shared" ca="1" si="80"/>
        <v>59317</v>
      </c>
      <c r="F2518" s="47">
        <v>2.6415543121338536</v>
      </c>
    </row>
    <row r="2519" spans="4:6" x14ac:dyDescent="0.2">
      <c r="D2519" s="18">
        <f t="shared" ca="1" si="79"/>
        <v>47.471594798083501</v>
      </c>
      <c r="E2519" s="33">
        <f t="shared" ca="1" si="80"/>
        <v>59324</v>
      </c>
      <c r="F2519" s="47">
        <v>2.6415948377920198</v>
      </c>
    </row>
    <row r="2520" spans="4:6" x14ac:dyDescent="0.2">
      <c r="D2520" s="18">
        <f t="shared" ca="1" si="79"/>
        <v>47.49075975359343</v>
      </c>
      <c r="E2520" s="33">
        <f t="shared" ca="1" si="80"/>
        <v>59331</v>
      </c>
      <c r="F2520" s="47">
        <v>2.6416355783497503</v>
      </c>
    </row>
    <row r="2521" spans="4:6" x14ac:dyDescent="0.2">
      <c r="D2521" s="18">
        <f t="shared" ca="1" si="79"/>
        <v>47.509924709103352</v>
      </c>
      <c r="E2521" s="33">
        <f t="shared" ca="1" si="80"/>
        <v>59338</v>
      </c>
      <c r="F2521" s="47">
        <v>2.6416765306605083</v>
      </c>
    </row>
    <row r="2522" spans="4:6" x14ac:dyDescent="0.2">
      <c r="D2522" s="18">
        <f t="shared" ca="1" si="79"/>
        <v>47.529089664613281</v>
      </c>
      <c r="E2522" s="33">
        <f t="shared" ca="1" si="80"/>
        <v>59345</v>
      </c>
      <c r="F2522" s="47">
        <v>2.6417176915810541</v>
      </c>
    </row>
    <row r="2523" spans="4:6" x14ac:dyDescent="0.2">
      <c r="D2523" s="18">
        <f t="shared" ca="1" si="79"/>
        <v>47.548254620123203</v>
      </c>
      <c r="E2523" s="33">
        <f t="shared" ca="1" si="80"/>
        <v>59352</v>
      </c>
      <c r="F2523" s="47">
        <v>2.6417590579717074</v>
      </c>
    </row>
    <row r="2524" spans="4:6" x14ac:dyDescent="0.2">
      <c r="D2524" s="18">
        <f t="shared" ca="1" si="79"/>
        <v>47.567419575633132</v>
      </c>
      <c r="E2524" s="33">
        <f t="shared" ca="1" si="80"/>
        <v>59359</v>
      </c>
      <c r="F2524" s="47">
        <v>2.6418006266966105</v>
      </c>
    </row>
    <row r="2525" spans="4:6" x14ac:dyDescent="0.2">
      <c r="D2525" s="18">
        <f t="shared" ca="1" si="79"/>
        <v>47.586584531143053</v>
      </c>
      <c r="E2525" s="33">
        <f t="shared" ca="1" si="80"/>
        <v>59366</v>
      </c>
      <c r="F2525" s="47">
        <v>2.6418423946239851</v>
      </c>
    </row>
    <row r="2526" spans="4:6" x14ac:dyDescent="0.2">
      <c r="D2526" s="18">
        <f t="shared" ca="1" si="79"/>
        <v>47.605749486652975</v>
      </c>
      <c r="E2526" s="33">
        <f t="shared" ca="1" si="80"/>
        <v>59373</v>
      </c>
      <c r="F2526" s="47">
        <v>2.6418843586263918</v>
      </c>
    </row>
    <row r="2527" spans="4:6" x14ac:dyDescent="0.2">
      <c r="D2527" s="18">
        <f t="shared" ca="1" si="79"/>
        <v>47.624914442162904</v>
      </c>
      <c r="E2527" s="33">
        <f t="shared" ca="1" si="80"/>
        <v>59380</v>
      </c>
      <c r="F2527" s="47">
        <v>2.6419265155809826</v>
      </c>
    </row>
    <row r="2528" spans="4:6" x14ac:dyDescent="0.2">
      <c r="D2528" s="18">
        <f t="shared" ca="1" si="79"/>
        <v>47.644079397672826</v>
      </c>
      <c r="E2528" s="33">
        <f t="shared" ca="1" si="80"/>
        <v>59387</v>
      </c>
      <c r="F2528" s="47">
        <v>2.6419688623697555</v>
      </c>
    </row>
    <row r="2529" spans="4:6" x14ac:dyDescent="0.2">
      <c r="D2529" s="18">
        <f t="shared" ca="1" si="79"/>
        <v>47.663244353182755</v>
      </c>
      <c r="E2529" s="33">
        <f t="shared" ca="1" si="80"/>
        <v>59394</v>
      </c>
      <c r="F2529" s="47">
        <v>2.6420113958797997</v>
      </c>
    </row>
    <row r="2530" spans="4:6" x14ac:dyDescent="0.2">
      <c r="D2530" s="18">
        <f t="shared" ca="1" si="79"/>
        <v>47.682409308692677</v>
      </c>
      <c r="E2530" s="33">
        <f t="shared" ca="1" si="80"/>
        <v>59401</v>
      </c>
      <c r="F2530" s="47">
        <v>2.642054113003546</v>
      </c>
    </row>
    <row r="2531" spans="4:6" x14ac:dyDescent="0.2">
      <c r="D2531" s="18">
        <f t="shared" ca="1" si="79"/>
        <v>47.701574264202598</v>
      </c>
      <c r="E2531" s="33">
        <f t="shared" ca="1" si="80"/>
        <v>59408</v>
      </c>
      <c r="F2531" s="47">
        <v>2.642097010639008</v>
      </c>
    </row>
    <row r="2532" spans="4:6" x14ac:dyDescent="0.2">
      <c r="D2532" s="18">
        <f t="shared" ca="1" si="79"/>
        <v>47.720739219712527</v>
      </c>
      <c r="E2532" s="33">
        <f t="shared" ca="1" si="80"/>
        <v>59415</v>
      </c>
      <c r="F2532" s="47">
        <v>2.6421400856900297</v>
      </c>
    </row>
    <row r="2533" spans="4:6" x14ac:dyDescent="0.2">
      <c r="D2533" s="18">
        <f t="shared" ca="1" si="79"/>
        <v>47.739904175222449</v>
      </c>
      <c r="E2533" s="33">
        <f t="shared" ca="1" si="80"/>
        <v>59422</v>
      </c>
      <c r="F2533" s="47">
        <v>2.6421833350665187</v>
      </c>
    </row>
    <row r="2534" spans="4:6" x14ac:dyDescent="0.2">
      <c r="D2534" s="18">
        <f t="shared" ca="1" si="79"/>
        <v>47.759069130732378</v>
      </c>
      <c r="E2534" s="33">
        <f t="shared" ca="1" si="80"/>
        <v>59429</v>
      </c>
      <c r="F2534" s="47">
        <v>2.6422267556846841</v>
      </c>
    </row>
    <row r="2535" spans="4:6" x14ac:dyDescent="0.2">
      <c r="D2535" s="18">
        <f t="shared" ca="1" si="79"/>
        <v>47.7782340862423</v>
      </c>
      <c r="E2535" s="33">
        <f t="shared" ca="1" si="80"/>
        <v>59436</v>
      </c>
      <c r="F2535" s="47">
        <v>2.6422703444672728</v>
      </c>
    </row>
    <row r="2536" spans="4:6" x14ac:dyDescent="0.2">
      <c r="D2536" s="18">
        <f t="shared" ca="1" si="79"/>
        <v>47.797399041752222</v>
      </c>
      <c r="E2536" s="33">
        <f t="shared" ca="1" si="80"/>
        <v>59443</v>
      </c>
      <c r="F2536" s="47">
        <v>2.6423140983438</v>
      </c>
    </row>
    <row r="2537" spans="4:6" x14ac:dyDescent="0.2">
      <c r="D2537" s="18">
        <f t="shared" ca="1" si="79"/>
        <v>47.816563997262151</v>
      </c>
      <c r="E2537" s="33">
        <f t="shared" ca="1" si="80"/>
        <v>59450</v>
      </c>
      <c r="F2537" s="47">
        <v>2.6423580142507772</v>
      </c>
    </row>
    <row r="2538" spans="4:6" x14ac:dyDescent="0.2">
      <c r="D2538" s="18">
        <f t="shared" ref="D2538:D2601" ca="1" si="81">(E2538-$E$42)/365.25</f>
        <v>47.835728952772072</v>
      </c>
      <c r="E2538" s="33">
        <f t="shared" ca="1" si="80"/>
        <v>59457</v>
      </c>
      <c r="F2538" s="47">
        <v>2.6424020891319362</v>
      </c>
    </row>
    <row r="2539" spans="4:6" x14ac:dyDescent="0.2">
      <c r="D2539" s="18">
        <f t="shared" ca="1" si="81"/>
        <v>47.854893908282001</v>
      </c>
      <c r="E2539" s="33">
        <f t="shared" ref="E2539:E2602" ca="1" si="82">E2538+7</f>
        <v>59464</v>
      </c>
      <c r="F2539" s="47">
        <v>2.6424463199384562</v>
      </c>
    </row>
    <row r="2540" spans="4:6" x14ac:dyDescent="0.2">
      <c r="D2540" s="18">
        <f t="shared" ca="1" si="81"/>
        <v>47.874058863791923</v>
      </c>
      <c r="E2540" s="33">
        <f t="shared" ca="1" si="82"/>
        <v>59471</v>
      </c>
      <c r="F2540" s="47">
        <v>2.6424907036291843</v>
      </c>
    </row>
    <row r="2541" spans="4:6" x14ac:dyDescent="0.2">
      <c r="D2541" s="18">
        <f t="shared" ca="1" si="81"/>
        <v>47.893223819301845</v>
      </c>
      <c r="E2541" s="33">
        <f t="shared" ca="1" si="82"/>
        <v>59478</v>
      </c>
      <c r="F2541" s="47">
        <v>2.6425352371708484</v>
      </c>
    </row>
    <row r="2542" spans="4:6" x14ac:dyDescent="0.2">
      <c r="D2542" s="18">
        <f t="shared" ca="1" si="81"/>
        <v>47.912388774811774</v>
      </c>
      <c r="E2542" s="33">
        <f t="shared" ca="1" si="82"/>
        <v>59485</v>
      </c>
      <c r="F2542" s="47">
        <v>2.6425799175382765</v>
      </c>
    </row>
    <row r="2543" spans="4:6" x14ac:dyDescent="0.2">
      <c r="D2543" s="18">
        <f t="shared" ca="1" si="81"/>
        <v>47.931553730321696</v>
      </c>
      <c r="E2543" s="33">
        <f t="shared" ca="1" si="82"/>
        <v>59492</v>
      </c>
      <c r="F2543" s="47">
        <v>2.6426247417146116</v>
      </c>
    </row>
    <row r="2544" spans="4:6" x14ac:dyDescent="0.2">
      <c r="D2544" s="18">
        <f t="shared" ca="1" si="81"/>
        <v>47.950718685831625</v>
      </c>
      <c r="E2544" s="33">
        <f t="shared" ca="1" si="82"/>
        <v>59499</v>
      </c>
      <c r="F2544" s="47">
        <v>2.6426697066915126</v>
      </c>
    </row>
    <row r="2545" spans="4:6" x14ac:dyDescent="0.2">
      <c r="D2545" s="18">
        <f t="shared" ca="1" si="81"/>
        <v>47.969883641341546</v>
      </c>
      <c r="E2545" s="33">
        <f t="shared" ca="1" si="82"/>
        <v>59506</v>
      </c>
      <c r="F2545" s="47">
        <v>2.6427148094693687</v>
      </c>
    </row>
    <row r="2546" spans="4:6" x14ac:dyDescent="0.2">
      <c r="D2546" s="18">
        <f t="shared" ca="1" si="81"/>
        <v>47.989048596851468</v>
      </c>
      <c r="E2546" s="33">
        <f t="shared" ca="1" si="82"/>
        <v>59513</v>
      </c>
      <c r="F2546" s="47">
        <v>2.6427600470575006</v>
      </c>
    </row>
    <row r="2547" spans="4:6" x14ac:dyDescent="0.2">
      <c r="D2547" s="18">
        <f t="shared" ca="1" si="81"/>
        <v>48.008213552361397</v>
      </c>
      <c r="E2547" s="33">
        <f t="shared" ca="1" si="82"/>
        <v>59520</v>
      </c>
      <c r="F2547" s="47">
        <v>2.6428054164743613</v>
      </c>
    </row>
    <row r="2548" spans="4:6" x14ac:dyDescent="0.2">
      <c r="D2548" s="18">
        <f t="shared" ca="1" si="81"/>
        <v>48.027378507871319</v>
      </c>
      <c r="E2548" s="33">
        <f t="shared" ca="1" si="82"/>
        <v>59527</v>
      </c>
      <c r="F2548" s="47">
        <v>2.642850914747735</v>
      </c>
    </row>
    <row r="2549" spans="4:6" x14ac:dyDescent="0.2">
      <c r="D2549" s="18">
        <f t="shared" ca="1" si="81"/>
        <v>48.046543463381248</v>
      </c>
      <c r="E2549" s="33">
        <f t="shared" ca="1" si="82"/>
        <v>59534</v>
      </c>
      <c r="F2549" s="47">
        <v>2.6428965389149326</v>
      </c>
    </row>
    <row r="2550" spans="4:6" x14ac:dyDescent="0.2">
      <c r="D2550" s="18">
        <f t="shared" ca="1" si="81"/>
        <v>48.06570841889117</v>
      </c>
      <c r="E2550" s="33">
        <f t="shared" ca="1" si="82"/>
        <v>59541</v>
      </c>
      <c r="F2550" s="47">
        <v>2.6429422860229819</v>
      </c>
    </row>
    <row r="2551" spans="4:6" x14ac:dyDescent="0.2">
      <c r="D2551" s="18">
        <f t="shared" ca="1" si="81"/>
        <v>48.084873374401099</v>
      </c>
      <c r="E2551" s="33">
        <f t="shared" ca="1" si="82"/>
        <v>59548</v>
      </c>
      <c r="F2551" s="47">
        <v>2.6429881531288237</v>
      </c>
    </row>
    <row r="2552" spans="4:6" x14ac:dyDescent="0.2">
      <c r="D2552" s="18">
        <f t="shared" ca="1" si="81"/>
        <v>48.10403832991102</v>
      </c>
      <c r="E2552" s="33">
        <f t="shared" ca="1" si="82"/>
        <v>59555</v>
      </c>
      <c r="F2552" s="47">
        <v>2.6430341372994905</v>
      </c>
    </row>
    <row r="2553" spans="4:6" x14ac:dyDescent="0.2">
      <c r="D2553" s="18">
        <f t="shared" ca="1" si="81"/>
        <v>48.123203285420942</v>
      </c>
      <c r="E2553" s="33">
        <f t="shared" ca="1" si="82"/>
        <v>59562</v>
      </c>
      <c r="F2553" s="47">
        <v>2.6430802356122953</v>
      </c>
    </row>
    <row r="2554" spans="4:6" x14ac:dyDescent="0.2">
      <c r="D2554" s="18">
        <f t="shared" ca="1" si="81"/>
        <v>48.142368240930871</v>
      </c>
      <c r="E2554" s="33">
        <f t="shared" ca="1" si="82"/>
        <v>59569</v>
      </c>
      <c r="F2554" s="47">
        <v>2.643126445155012</v>
      </c>
    </row>
    <row r="2555" spans="4:6" x14ac:dyDescent="0.2">
      <c r="D2555" s="18">
        <f t="shared" ca="1" si="81"/>
        <v>48.161533196440793</v>
      </c>
      <c r="E2555" s="33">
        <f t="shared" ca="1" si="82"/>
        <v>59576</v>
      </c>
      <c r="F2555" s="47">
        <v>2.6431727630260551</v>
      </c>
    </row>
    <row r="2556" spans="4:6" x14ac:dyDescent="0.2">
      <c r="D2556" s="18">
        <f t="shared" ca="1" si="81"/>
        <v>48.180698151950722</v>
      </c>
      <c r="E2556" s="33">
        <f t="shared" ca="1" si="82"/>
        <v>59583</v>
      </c>
      <c r="F2556" s="47">
        <v>2.6432191863346519</v>
      </c>
    </row>
    <row r="2557" spans="4:6" x14ac:dyDescent="0.2">
      <c r="D2557" s="18">
        <f t="shared" ca="1" si="81"/>
        <v>48.199863107460644</v>
      </c>
      <c r="E2557" s="33">
        <f t="shared" ca="1" si="82"/>
        <v>59590</v>
      </c>
      <c r="F2557" s="47">
        <v>2.6432657122010164</v>
      </c>
    </row>
    <row r="2558" spans="4:6" x14ac:dyDescent="0.2">
      <c r="D2558" s="18">
        <f t="shared" ca="1" si="81"/>
        <v>48.219028062970565</v>
      </c>
      <c r="E2558" s="33">
        <f t="shared" ca="1" si="82"/>
        <v>59597</v>
      </c>
      <c r="F2558" s="47">
        <v>2.6433123377565177</v>
      </c>
    </row>
    <row r="2559" spans="4:6" x14ac:dyDescent="0.2">
      <c r="D2559" s="18">
        <f t="shared" ca="1" si="81"/>
        <v>48.238193018480494</v>
      </c>
      <c r="E2559" s="33">
        <f t="shared" ca="1" si="82"/>
        <v>59604</v>
      </c>
      <c r="F2559" s="47">
        <v>2.6433590601438532</v>
      </c>
    </row>
    <row r="2560" spans="4:6" x14ac:dyDescent="0.2">
      <c r="D2560" s="18">
        <f t="shared" ca="1" si="81"/>
        <v>48.257357973990416</v>
      </c>
      <c r="E2560" s="33">
        <f t="shared" ca="1" si="82"/>
        <v>59611</v>
      </c>
      <c r="F2560" s="47">
        <v>2.6434058765171997</v>
      </c>
    </row>
    <row r="2561" spans="4:6" x14ac:dyDescent="0.2">
      <c r="D2561" s="18">
        <f t="shared" ca="1" si="81"/>
        <v>48.276522929500345</v>
      </c>
      <c r="E2561" s="33">
        <f t="shared" ca="1" si="82"/>
        <v>59618</v>
      </c>
      <c r="F2561" s="47">
        <v>2.6434527840423905</v>
      </c>
    </row>
    <row r="2562" spans="4:6" x14ac:dyDescent="0.2">
      <c r="D2562" s="18">
        <f t="shared" ca="1" si="81"/>
        <v>48.295687885010267</v>
      </c>
      <c r="E2562" s="33">
        <f t="shared" ca="1" si="82"/>
        <v>59625</v>
      </c>
      <c r="F2562" s="47">
        <v>2.6434997798970579</v>
      </c>
    </row>
    <row r="2563" spans="4:6" x14ac:dyDescent="0.2">
      <c r="D2563" s="18">
        <f t="shared" ca="1" si="81"/>
        <v>48.314852840520189</v>
      </c>
      <c r="E2563" s="33">
        <f t="shared" ca="1" si="82"/>
        <v>59632</v>
      </c>
      <c r="F2563" s="47">
        <v>2.6435468612707984</v>
      </c>
    </row>
    <row r="2564" spans="4:6" x14ac:dyDescent="0.2">
      <c r="D2564" s="18">
        <f t="shared" ca="1" si="81"/>
        <v>48.334017796030118</v>
      </c>
      <c r="E2564" s="33">
        <f t="shared" ca="1" si="82"/>
        <v>59639</v>
      </c>
      <c r="F2564" s="47">
        <v>2.6435940253653194</v>
      </c>
    </row>
    <row r="2565" spans="4:6" x14ac:dyDescent="0.2">
      <c r="D2565" s="18">
        <f t="shared" ca="1" si="81"/>
        <v>48.353182751540039</v>
      </c>
      <c r="E2565" s="33">
        <f t="shared" ca="1" si="82"/>
        <v>59646</v>
      </c>
      <c r="F2565" s="47">
        <v>2.6436412693945952</v>
      </c>
    </row>
    <row r="2566" spans="4:6" x14ac:dyDescent="0.2">
      <c r="D2566" s="18">
        <f t="shared" ca="1" si="81"/>
        <v>48.372347707049968</v>
      </c>
      <c r="E2566" s="33">
        <f t="shared" ca="1" si="82"/>
        <v>59653</v>
      </c>
      <c r="F2566" s="47">
        <v>2.6436885905850067</v>
      </c>
    </row>
    <row r="2567" spans="4:6" x14ac:dyDescent="0.2">
      <c r="D2567" s="18">
        <f t="shared" ca="1" si="81"/>
        <v>48.39151266255989</v>
      </c>
      <c r="E2567" s="33">
        <f t="shared" ca="1" si="82"/>
        <v>59660</v>
      </c>
      <c r="F2567" s="47">
        <v>2.6437359861754874</v>
      </c>
    </row>
    <row r="2568" spans="4:6" x14ac:dyDescent="0.2">
      <c r="D2568" s="18">
        <f t="shared" ca="1" si="81"/>
        <v>48.410677618069812</v>
      </c>
      <c r="E2568" s="33">
        <f t="shared" ca="1" si="82"/>
        <v>59667</v>
      </c>
      <c r="F2568" s="47">
        <v>2.6437834534176652</v>
      </c>
    </row>
    <row r="2569" spans="4:6" x14ac:dyDescent="0.2">
      <c r="D2569" s="18">
        <f t="shared" ca="1" si="81"/>
        <v>48.429842573579741</v>
      </c>
      <c r="E2569" s="33">
        <f t="shared" ca="1" si="82"/>
        <v>59674</v>
      </c>
      <c r="F2569" s="47">
        <v>2.6438309895759979</v>
      </c>
    </row>
    <row r="2570" spans="4:6" x14ac:dyDescent="0.2">
      <c r="D2570" s="18">
        <f t="shared" ca="1" si="81"/>
        <v>48.449007529089663</v>
      </c>
      <c r="E2570" s="33">
        <f t="shared" ca="1" si="82"/>
        <v>59681</v>
      </c>
      <c r="F2570" s="47">
        <v>2.6438785919279137</v>
      </c>
    </row>
    <row r="2571" spans="4:6" x14ac:dyDescent="0.2">
      <c r="D2571" s="18">
        <f t="shared" ca="1" si="81"/>
        <v>48.468172484599592</v>
      </c>
      <c r="E2571" s="33">
        <f t="shared" ca="1" si="82"/>
        <v>59688</v>
      </c>
      <c r="F2571" s="47">
        <v>2.6439262577639355</v>
      </c>
    </row>
    <row r="2572" spans="4:6" x14ac:dyDescent="0.2">
      <c r="D2572" s="18">
        <f t="shared" ca="1" si="81"/>
        <v>48.487337440109513</v>
      </c>
      <c r="E2572" s="33">
        <f t="shared" ca="1" si="82"/>
        <v>59695</v>
      </c>
      <c r="F2572" s="47">
        <v>2.6439739843878134</v>
      </c>
    </row>
    <row r="2573" spans="4:6" x14ac:dyDescent="0.2">
      <c r="D2573" s="18">
        <f t="shared" ca="1" si="81"/>
        <v>48.506502395619435</v>
      </c>
      <c r="E2573" s="33">
        <f t="shared" ca="1" si="82"/>
        <v>59702</v>
      </c>
      <c r="F2573" s="47">
        <v>2.6440217691166574</v>
      </c>
    </row>
    <row r="2574" spans="4:6" x14ac:dyDescent="0.2">
      <c r="D2574" s="18">
        <f t="shared" ca="1" si="81"/>
        <v>48.525667351129364</v>
      </c>
      <c r="E2574" s="33">
        <f t="shared" ca="1" si="82"/>
        <v>59709</v>
      </c>
      <c r="F2574" s="47">
        <v>2.6440696092810492</v>
      </c>
    </row>
    <row r="2575" spans="4:6" x14ac:dyDescent="0.2">
      <c r="D2575" s="18">
        <f t="shared" ca="1" si="81"/>
        <v>48.544832306639286</v>
      </c>
      <c r="E2575" s="33">
        <f t="shared" ca="1" si="82"/>
        <v>59716</v>
      </c>
      <c r="F2575" s="47">
        <v>2.6441175022251726</v>
      </c>
    </row>
    <row r="2576" spans="4:6" x14ac:dyDescent="0.2">
      <c r="D2576" s="18">
        <f t="shared" ca="1" si="81"/>
        <v>48.563997262149215</v>
      </c>
      <c r="E2576" s="33">
        <f t="shared" ca="1" si="82"/>
        <v>59723</v>
      </c>
      <c r="F2576" s="47">
        <v>2.6441654453069274</v>
      </c>
    </row>
    <row r="2577" spans="4:6" x14ac:dyDescent="0.2">
      <c r="D2577" s="18">
        <f t="shared" ca="1" si="81"/>
        <v>48.583162217659137</v>
      </c>
      <c r="E2577" s="33">
        <f t="shared" ca="1" si="82"/>
        <v>59730</v>
      </c>
      <c r="F2577" s="47">
        <v>2.6442134358980449</v>
      </c>
    </row>
    <row r="2578" spans="4:6" x14ac:dyDescent="0.2">
      <c r="D2578" s="18">
        <f t="shared" ca="1" si="81"/>
        <v>48.602327173169066</v>
      </c>
      <c r="E2578" s="33">
        <f t="shared" ca="1" si="82"/>
        <v>59737</v>
      </c>
      <c r="F2578" s="47">
        <v>2.6442614713842016</v>
      </c>
    </row>
    <row r="2579" spans="4:6" x14ac:dyDescent="0.2">
      <c r="D2579" s="18">
        <f t="shared" ca="1" si="81"/>
        <v>48.621492128678987</v>
      </c>
      <c r="E2579" s="33">
        <f t="shared" ca="1" si="82"/>
        <v>59744</v>
      </c>
      <c r="F2579" s="47">
        <v>2.6443095491651278</v>
      </c>
    </row>
    <row r="2580" spans="4:6" x14ac:dyDescent="0.2">
      <c r="D2580" s="18">
        <f t="shared" ca="1" si="81"/>
        <v>48.640657084188909</v>
      </c>
      <c r="E2580" s="33">
        <f t="shared" ca="1" si="82"/>
        <v>59751</v>
      </c>
      <c r="F2580" s="47">
        <v>2.6443576666547117</v>
      </c>
    </row>
    <row r="2581" spans="4:6" x14ac:dyDescent="0.2">
      <c r="D2581" s="18">
        <f t="shared" ca="1" si="81"/>
        <v>48.659822039698838</v>
      </c>
      <c r="E2581" s="33">
        <f t="shared" ca="1" si="82"/>
        <v>59758</v>
      </c>
      <c r="F2581" s="47">
        <v>2.6444058212811092</v>
      </c>
    </row>
    <row r="2582" spans="4:6" x14ac:dyDescent="0.2">
      <c r="D2582" s="18">
        <f t="shared" ca="1" si="81"/>
        <v>48.67898699520876</v>
      </c>
      <c r="E2582" s="33">
        <f t="shared" ca="1" si="82"/>
        <v>59765</v>
      </c>
      <c r="F2582" s="47">
        <v>2.6444540104868421</v>
      </c>
    </row>
    <row r="2583" spans="4:6" x14ac:dyDescent="0.2">
      <c r="D2583" s="18">
        <f t="shared" ca="1" si="81"/>
        <v>48.698151950718689</v>
      </c>
      <c r="E2583" s="33">
        <f t="shared" ca="1" si="82"/>
        <v>59772</v>
      </c>
      <c r="F2583" s="47">
        <v>2.6445022317288931</v>
      </c>
    </row>
    <row r="2584" spans="4:6" x14ac:dyDescent="0.2">
      <c r="D2584" s="18">
        <f t="shared" ca="1" si="81"/>
        <v>48.717316906228611</v>
      </c>
      <c r="E2584" s="33">
        <f t="shared" ca="1" si="82"/>
        <v>59779</v>
      </c>
      <c r="F2584" s="47">
        <v>2.6445504824788095</v>
      </c>
    </row>
    <row r="2585" spans="4:6" x14ac:dyDescent="0.2">
      <c r="D2585" s="18">
        <f t="shared" ca="1" si="81"/>
        <v>48.736481861738532</v>
      </c>
      <c r="E2585" s="33">
        <f t="shared" ca="1" si="82"/>
        <v>59786</v>
      </c>
      <c r="F2585" s="47">
        <v>2.6445987602227889</v>
      </c>
    </row>
    <row r="2586" spans="4:6" x14ac:dyDescent="0.2">
      <c r="D2586" s="18">
        <f t="shared" ca="1" si="81"/>
        <v>48.755646817248461</v>
      </c>
      <c r="E2586" s="33">
        <f t="shared" ca="1" si="82"/>
        <v>59793</v>
      </c>
      <c r="F2586" s="47">
        <v>2.6446470624617739</v>
      </c>
    </row>
    <row r="2587" spans="4:6" x14ac:dyDescent="0.2">
      <c r="D2587" s="18">
        <f t="shared" ca="1" si="81"/>
        <v>48.774811772758383</v>
      </c>
      <c r="E2587" s="33">
        <f t="shared" ca="1" si="82"/>
        <v>59800</v>
      </c>
      <c r="F2587" s="47">
        <v>2.6446953867115379</v>
      </c>
    </row>
    <row r="2588" spans="4:6" x14ac:dyDescent="0.2">
      <c r="D2588" s="18">
        <f t="shared" ca="1" si="81"/>
        <v>48.793976728268312</v>
      </c>
      <c r="E2588" s="33">
        <f t="shared" ca="1" si="82"/>
        <v>59807</v>
      </c>
      <c r="F2588" s="47">
        <v>2.6447437305027712</v>
      </c>
    </row>
    <row r="2589" spans="4:6" x14ac:dyDescent="0.2">
      <c r="D2589" s="18">
        <f t="shared" ca="1" si="81"/>
        <v>48.813141683778234</v>
      </c>
      <c r="E2589" s="33">
        <f t="shared" ca="1" si="82"/>
        <v>59814</v>
      </c>
      <c r="F2589" s="47">
        <v>2.6447920913811611</v>
      </c>
    </row>
    <row r="2590" spans="4:6" x14ac:dyDescent="0.2">
      <c r="D2590" s="18">
        <f t="shared" ca="1" si="81"/>
        <v>48.832306639288156</v>
      </c>
      <c r="E2590" s="33">
        <f t="shared" ca="1" si="82"/>
        <v>59821</v>
      </c>
      <c r="F2590" s="47">
        <v>2.6448404669074774</v>
      </c>
    </row>
    <row r="2591" spans="4:6" x14ac:dyDescent="0.2">
      <c r="D2591" s="18">
        <f t="shared" ca="1" si="81"/>
        <v>48.851471594798085</v>
      </c>
      <c r="E2591" s="33">
        <f t="shared" ca="1" si="82"/>
        <v>59828</v>
      </c>
      <c r="F2591" s="47">
        <v>2.6448888546576415</v>
      </c>
    </row>
    <row r="2592" spans="4:6" x14ac:dyDescent="0.2">
      <c r="D2592" s="18">
        <f t="shared" ca="1" si="81"/>
        <v>48.870636550308006</v>
      </c>
      <c r="E2592" s="33">
        <f t="shared" ca="1" si="82"/>
        <v>59835</v>
      </c>
      <c r="F2592" s="47">
        <v>2.644937252222805</v>
      </c>
    </row>
    <row r="2593" spans="4:6" x14ac:dyDescent="0.2">
      <c r="D2593" s="18">
        <f t="shared" ca="1" si="81"/>
        <v>48.889801505817935</v>
      </c>
      <c r="E2593" s="33">
        <f t="shared" ca="1" si="82"/>
        <v>59842</v>
      </c>
      <c r="F2593" s="47">
        <v>2.6449856572094252</v>
      </c>
    </row>
    <row r="2594" spans="4:6" x14ac:dyDescent="0.2">
      <c r="D2594" s="18">
        <f t="shared" ca="1" si="81"/>
        <v>48.908966461327857</v>
      </c>
      <c r="E2594" s="33">
        <f t="shared" ca="1" si="82"/>
        <v>59849</v>
      </c>
      <c r="F2594" s="47">
        <v>2.6450340672393282</v>
      </c>
    </row>
    <row r="2595" spans="4:6" x14ac:dyDescent="0.2">
      <c r="D2595" s="18">
        <f t="shared" ca="1" si="81"/>
        <v>48.928131416837779</v>
      </c>
      <c r="E2595" s="33">
        <f t="shared" ca="1" si="82"/>
        <v>59856</v>
      </c>
      <c r="F2595" s="47">
        <v>2.6450824799497767</v>
      </c>
    </row>
    <row r="2596" spans="4:6" x14ac:dyDescent="0.2">
      <c r="D2596" s="18">
        <f t="shared" ca="1" si="81"/>
        <v>48.947296372347708</v>
      </c>
      <c r="E2596" s="33">
        <f t="shared" ca="1" si="82"/>
        <v>59863</v>
      </c>
      <c r="F2596" s="47">
        <v>2.6451308929935395</v>
      </c>
    </row>
    <row r="2597" spans="4:6" x14ac:dyDescent="0.2">
      <c r="D2597" s="18">
        <f t="shared" ca="1" si="81"/>
        <v>48.96646132785763</v>
      </c>
      <c r="E2597" s="33">
        <f t="shared" ca="1" si="82"/>
        <v>59870</v>
      </c>
      <c r="F2597" s="47">
        <v>2.6451793040389457</v>
      </c>
    </row>
    <row r="2598" spans="4:6" x14ac:dyDescent="0.2">
      <c r="D2598" s="18">
        <f t="shared" ca="1" si="81"/>
        <v>48.985626283367559</v>
      </c>
      <c r="E2598" s="33">
        <f t="shared" ca="1" si="82"/>
        <v>59877</v>
      </c>
      <c r="F2598" s="47">
        <v>2.6452277107699516</v>
      </c>
    </row>
    <row r="2599" spans="4:6" x14ac:dyDescent="0.2">
      <c r="D2599" s="18">
        <f t="shared" ca="1" si="81"/>
        <v>49.00479123887748</v>
      </c>
      <c r="E2599" s="33">
        <f t="shared" ca="1" si="82"/>
        <v>59884</v>
      </c>
      <c r="F2599" s="47">
        <v>2.6452761108861895</v>
      </c>
    </row>
    <row r="2600" spans="4:6" x14ac:dyDescent="0.2">
      <c r="D2600" s="18">
        <f t="shared" ca="1" si="81"/>
        <v>49.023956194387409</v>
      </c>
      <c r="E2600" s="33">
        <f t="shared" ca="1" si="82"/>
        <v>59891</v>
      </c>
      <c r="F2600" s="47">
        <v>2.6453245021030298</v>
      </c>
    </row>
    <row r="2601" spans="4:6" x14ac:dyDescent="0.2">
      <c r="D2601" s="18">
        <f t="shared" ca="1" si="81"/>
        <v>49.043121149897331</v>
      </c>
      <c r="E2601" s="33">
        <f t="shared" ca="1" si="82"/>
        <v>59898</v>
      </c>
      <c r="F2601" s="47">
        <v>2.6453728821516256</v>
      </c>
    </row>
    <row r="2602" spans="4:6" x14ac:dyDescent="0.2">
      <c r="D2602" s="18">
        <f t="shared" ref="D2602:D2651" ca="1" si="83">(E2602-$E$42)/365.25</f>
        <v>49.062286105407253</v>
      </c>
      <c r="E2602" s="33">
        <f t="shared" ca="1" si="82"/>
        <v>59905</v>
      </c>
      <c r="F2602" s="47">
        <v>2.6454212487789692</v>
      </c>
    </row>
    <row r="2603" spans="4:6" x14ac:dyDescent="0.2">
      <c r="D2603" s="18">
        <f t="shared" ca="1" si="83"/>
        <v>49.081451060917182</v>
      </c>
      <c r="E2603" s="33">
        <f t="shared" ref="E2603:E2651" ca="1" si="84">E2602+7</f>
        <v>59912</v>
      </c>
      <c r="F2603" s="47">
        <v>2.6454695997479329</v>
      </c>
    </row>
    <row r="2604" spans="4:6" x14ac:dyDescent="0.2">
      <c r="D2604" s="18">
        <f t="shared" ca="1" si="83"/>
        <v>49.100616016427104</v>
      </c>
      <c r="E2604" s="33">
        <f t="shared" ca="1" si="84"/>
        <v>59919</v>
      </c>
      <c r="F2604" s="47">
        <v>2.6455179328373162</v>
      </c>
    </row>
    <row r="2605" spans="4:6" x14ac:dyDescent="0.2">
      <c r="D2605" s="18">
        <f t="shared" ca="1" si="83"/>
        <v>49.119780971937033</v>
      </c>
      <c r="E2605" s="33">
        <f t="shared" ca="1" si="84"/>
        <v>59926</v>
      </c>
      <c r="F2605" s="47">
        <v>2.6455662458418909</v>
      </c>
    </row>
    <row r="2606" spans="4:6" x14ac:dyDescent="0.2">
      <c r="D2606" s="18">
        <f t="shared" ca="1" si="83"/>
        <v>49.138945927446954</v>
      </c>
      <c r="E2606" s="33">
        <f t="shared" ca="1" si="84"/>
        <v>59933</v>
      </c>
      <c r="F2606" s="47">
        <v>2.6456145365724337</v>
      </c>
    </row>
    <row r="2607" spans="4:6" x14ac:dyDescent="0.2">
      <c r="D2607" s="18">
        <f t="shared" ca="1" si="83"/>
        <v>49.158110882956876</v>
      </c>
      <c r="E2607" s="33">
        <f t="shared" ca="1" si="84"/>
        <v>59940</v>
      </c>
      <c r="F2607" s="47">
        <v>2.645662802855774</v>
      </c>
    </row>
    <row r="2608" spans="4:6" x14ac:dyDescent="0.2">
      <c r="D2608" s="18">
        <f t="shared" ca="1" si="83"/>
        <v>49.177275838466805</v>
      </c>
      <c r="E2608" s="33">
        <f t="shared" ca="1" si="84"/>
        <v>59947</v>
      </c>
      <c r="F2608" s="47">
        <v>2.6457110425348183</v>
      </c>
    </row>
    <row r="2609" spans="4:6" x14ac:dyDescent="0.2">
      <c r="D2609" s="18">
        <f t="shared" ca="1" si="83"/>
        <v>49.196440793976727</v>
      </c>
      <c r="E2609" s="33">
        <f t="shared" ca="1" si="84"/>
        <v>59954</v>
      </c>
      <c r="F2609" s="47">
        <v>2.645759253468591</v>
      </c>
    </row>
    <row r="2610" spans="4:6" x14ac:dyDescent="0.2">
      <c r="D2610" s="18">
        <f t="shared" ca="1" si="83"/>
        <v>49.215605749486656</v>
      </c>
      <c r="E2610" s="33">
        <f t="shared" ca="1" si="84"/>
        <v>59961</v>
      </c>
      <c r="F2610" s="47">
        <v>2.6458074335322626</v>
      </c>
    </row>
    <row r="2611" spans="4:6" x14ac:dyDescent="0.2">
      <c r="D2611" s="18">
        <f t="shared" ca="1" si="83"/>
        <v>49.234770704996578</v>
      </c>
      <c r="E2611" s="33">
        <f t="shared" ca="1" si="84"/>
        <v>59968</v>
      </c>
      <c r="F2611" s="47">
        <v>2.6458555806171784</v>
      </c>
    </row>
    <row r="2612" spans="4:6" x14ac:dyDescent="0.2">
      <c r="D2612" s="18">
        <f t="shared" ca="1" si="83"/>
        <v>49.2539356605065</v>
      </c>
      <c r="E2612" s="33">
        <f t="shared" ca="1" si="84"/>
        <v>59975</v>
      </c>
      <c r="F2612" s="47">
        <v>2.6459036926308834</v>
      </c>
    </row>
    <row r="2613" spans="4:6" x14ac:dyDescent="0.2">
      <c r="D2613" s="18">
        <f t="shared" ca="1" si="83"/>
        <v>49.273100616016428</v>
      </c>
      <c r="E2613" s="33">
        <f t="shared" ca="1" si="84"/>
        <v>59982</v>
      </c>
      <c r="F2613" s="47">
        <v>2.6459517674971509</v>
      </c>
    </row>
    <row r="2614" spans="4:6" x14ac:dyDescent="0.2">
      <c r="D2614" s="18">
        <f t="shared" ca="1" si="83"/>
        <v>49.29226557152635</v>
      </c>
      <c r="E2614" s="33">
        <f t="shared" ca="1" si="84"/>
        <v>59989</v>
      </c>
      <c r="F2614" s="47">
        <v>2.6459998031559979</v>
      </c>
    </row>
    <row r="2615" spans="4:6" x14ac:dyDescent="0.2">
      <c r="D2615" s="18">
        <f t="shared" ca="1" si="83"/>
        <v>49.311430527036279</v>
      </c>
      <c r="E2615" s="33">
        <f t="shared" ca="1" si="84"/>
        <v>59996</v>
      </c>
      <c r="F2615" s="47">
        <v>2.64604779756371</v>
      </c>
    </row>
    <row r="2616" spans="4:6" x14ac:dyDescent="0.2">
      <c r="D2616" s="18">
        <f t="shared" ca="1" si="83"/>
        <v>49.330595482546201</v>
      </c>
      <c r="E2616" s="33">
        <f t="shared" ca="1" si="84"/>
        <v>60003</v>
      </c>
      <c r="F2616" s="47">
        <v>2.6460957486928582</v>
      </c>
    </row>
    <row r="2617" spans="4:6" x14ac:dyDescent="0.2">
      <c r="D2617" s="18">
        <f t="shared" ca="1" si="83"/>
        <v>49.349760438056123</v>
      </c>
      <c r="E2617" s="33">
        <f t="shared" ca="1" si="84"/>
        <v>60010</v>
      </c>
      <c r="F2617" s="47">
        <v>2.6461436545323123</v>
      </c>
    </row>
    <row r="2618" spans="4:6" x14ac:dyDescent="0.2">
      <c r="D2618" s="18">
        <f t="shared" ca="1" si="83"/>
        <v>49.368925393566052</v>
      </c>
      <c r="E2618" s="33">
        <f t="shared" ca="1" si="84"/>
        <v>60017</v>
      </c>
      <c r="F2618" s="47">
        <v>2.6461915130872562</v>
      </c>
    </row>
    <row r="2619" spans="4:6" x14ac:dyDescent="0.2">
      <c r="D2619" s="18">
        <f t="shared" ca="1" si="83"/>
        <v>49.388090349075974</v>
      </c>
      <c r="E2619" s="33">
        <f t="shared" ca="1" si="84"/>
        <v>60024</v>
      </c>
      <c r="F2619" s="47">
        <v>2.6462393223792016</v>
      </c>
    </row>
    <row r="2620" spans="4:6" x14ac:dyDescent="0.2">
      <c r="D2620" s="18">
        <f t="shared" ca="1" si="83"/>
        <v>49.407255304585902</v>
      </c>
      <c r="E2620" s="33">
        <f t="shared" ca="1" si="84"/>
        <v>60031</v>
      </c>
      <c r="F2620" s="47">
        <v>2.6462870804459921</v>
      </c>
    </row>
    <row r="2621" spans="4:6" x14ac:dyDescent="0.2">
      <c r="D2621" s="18">
        <f t="shared" ca="1" si="83"/>
        <v>49.426420260095824</v>
      </c>
      <c r="E2621" s="33">
        <f t="shared" ca="1" si="84"/>
        <v>60038</v>
      </c>
      <c r="F2621" s="47">
        <v>2.6463347853418151</v>
      </c>
    </row>
    <row r="2622" spans="4:6" x14ac:dyDescent="0.2">
      <c r="D2622" s="18">
        <f t="shared" ca="1" si="83"/>
        <v>49.445585215605746</v>
      </c>
      <c r="E2622" s="33">
        <f t="shared" ca="1" si="84"/>
        <v>60045</v>
      </c>
      <c r="F2622" s="47">
        <v>2.6463824351372072</v>
      </c>
    </row>
    <row r="2623" spans="4:6" x14ac:dyDescent="0.2">
      <c r="D2623" s="18">
        <f t="shared" ca="1" si="83"/>
        <v>49.464750171115675</v>
      </c>
      <c r="E2623" s="33">
        <f t="shared" ca="1" si="84"/>
        <v>60052</v>
      </c>
      <c r="F2623" s="47">
        <v>2.6464300279190525</v>
      </c>
    </row>
    <row r="2624" spans="4:6" x14ac:dyDescent="0.2">
      <c r="D2624" s="18">
        <f t="shared" ca="1" si="83"/>
        <v>49.483915126625597</v>
      </c>
      <c r="E2624" s="33">
        <f t="shared" ca="1" si="84"/>
        <v>60059</v>
      </c>
      <c r="F2624" s="47">
        <v>2.6464775617905922</v>
      </c>
    </row>
    <row r="2625" spans="4:6" x14ac:dyDescent="0.2">
      <c r="D2625" s="18">
        <f t="shared" ca="1" si="83"/>
        <v>49.503080082135526</v>
      </c>
      <c r="E2625" s="33">
        <f t="shared" ca="1" si="84"/>
        <v>60066</v>
      </c>
      <c r="F2625" s="47">
        <v>2.6465250348714169</v>
      </c>
    </row>
    <row r="2626" spans="4:6" x14ac:dyDescent="0.2">
      <c r="D2626" s="18">
        <f t="shared" ca="1" si="83"/>
        <v>49.522245037645447</v>
      </c>
      <c r="E2626" s="33">
        <f t="shared" ca="1" si="84"/>
        <v>60073</v>
      </c>
      <c r="F2626" s="47">
        <v>2.6465724452974713</v>
      </c>
    </row>
    <row r="2627" spans="4:6" x14ac:dyDescent="0.2">
      <c r="D2627" s="18">
        <f t="shared" ca="1" si="83"/>
        <v>49.541409993155376</v>
      </c>
      <c r="E2627" s="33">
        <f t="shared" ca="1" si="84"/>
        <v>60080</v>
      </c>
      <c r="F2627" s="47">
        <v>2.6466197912210423</v>
      </c>
    </row>
    <row r="2628" spans="4:6" x14ac:dyDescent="0.2">
      <c r="D2628" s="18">
        <f t="shared" ca="1" si="83"/>
        <v>49.560574948665298</v>
      </c>
      <c r="E2628" s="33">
        <f t="shared" ca="1" si="84"/>
        <v>60087</v>
      </c>
      <c r="F2628" s="47">
        <v>2.646667070810762</v>
      </c>
    </row>
    <row r="2629" spans="4:6" x14ac:dyDescent="0.2">
      <c r="D2629" s="18">
        <f t="shared" ca="1" si="83"/>
        <v>49.57973990417522</v>
      </c>
      <c r="E2629" s="33">
        <f t="shared" ca="1" si="84"/>
        <v>60094</v>
      </c>
      <c r="F2629" s="47">
        <v>2.6467142822515908</v>
      </c>
    </row>
    <row r="2630" spans="4:6" x14ac:dyDescent="0.2">
      <c r="D2630" s="18">
        <f t="shared" ca="1" si="83"/>
        <v>49.598904859685149</v>
      </c>
      <c r="E2630" s="33">
        <f t="shared" ca="1" si="84"/>
        <v>60101</v>
      </c>
      <c r="F2630" s="47">
        <v>2.6467614237448154</v>
      </c>
    </row>
    <row r="2631" spans="4:6" x14ac:dyDescent="0.2">
      <c r="D2631" s="18">
        <f t="shared" ca="1" si="83"/>
        <v>49.618069815195071</v>
      </c>
      <c r="E2631" s="33">
        <f t="shared" ca="1" si="84"/>
        <v>60108</v>
      </c>
      <c r="F2631" s="47">
        <v>2.646808493508034</v>
      </c>
    </row>
    <row r="2632" spans="4:6" x14ac:dyDescent="0.2">
      <c r="D2632" s="18">
        <f t="shared" ca="1" si="83"/>
        <v>49.637234770705</v>
      </c>
      <c r="E2632" s="33">
        <f t="shared" ca="1" si="84"/>
        <v>60115</v>
      </c>
      <c r="F2632" s="47">
        <v>2.6468554897751431</v>
      </c>
    </row>
    <row r="2633" spans="4:6" x14ac:dyDescent="0.2">
      <c r="D2633" s="18">
        <f t="shared" ca="1" si="83"/>
        <v>49.656399726214921</v>
      </c>
      <c r="E2633" s="33">
        <f t="shared" ca="1" si="84"/>
        <v>60122</v>
      </c>
      <c r="F2633" s="47">
        <v>2.6469024107963253</v>
      </c>
    </row>
    <row r="2634" spans="4:6" x14ac:dyDescent="0.2">
      <c r="D2634" s="18">
        <f t="shared" ca="1" si="83"/>
        <v>49.675564681724843</v>
      </c>
      <c r="E2634" s="33">
        <f t="shared" ca="1" si="84"/>
        <v>60129</v>
      </c>
      <c r="F2634" s="47">
        <v>2.6469492548380287</v>
      </c>
    </row>
    <row r="2635" spans="4:6" x14ac:dyDescent="0.2">
      <c r="D2635" s="18">
        <f t="shared" ca="1" si="83"/>
        <v>49.694729637234772</v>
      </c>
      <c r="E2635" s="33">
        <f t="shared" ca="1" si="84"/>
        <v>60136</v>
      </c>
      <c r="F2635" s="47">
        <v>2.6469960201829545</v>
      </c>
    </row>
    <row r="2636" spans="4:6" x14ac:dyDescent="0.2">
      <c r="D2636" s="18">
        <f t="shared" ca="1" si="83"/>
        <v>49.713894592744694</v>
      </c>
      <c r="E2636" s="33">
        <f t="shared" ca="1" si="84"/>
        <v>60143</v>
      </c>
      <c r="F2636" s="47">
        <v>2.6470427051300298</v>
      </c>
    </row>
    <row r="2637" spans="4:6" x14ac:dyDescent="0.2">
      <c r="D2637" s="18">
        <f t="shared" ca="1" si="83"/>
        <v>49.733059548254623</v>
      </c>
      <c r="E2637" s="33">
        <f t="shared" ca="1" si="84"/>
        <v>60150</v>
      </c>
      <c r="F2637" s="47">
        <v>2.647089307994396</v>
      </c>
    </row>
    <row r="2638" spans="4:6" x14ac:dyDescent="0.2">
      <c r="D2638" s="18">
        <f t="shared" ca="1" si="83"/>
        <v>49.752224503764545</v>
      </c>
      <c r="E2638" s="33">
        <f t="shared" ca="1" si="84"/>
        <v>60157</v>
      </c>
      <c r="F2638" s="47">
        <v>2.6471358271073755</v>
      </c>
    </row>
    <row r="2639" spans="4:6" x14ac:dyDescent="0.2">
      <c r="D2639" s="18">
        <f t="shared" ca="1" si="83"/>
        <v>49.771389459274467</v>
      </c>
      <c r="E2639" s="33">
        <f t="shared" ca="1" si="84"/>
        <v>60164</v>
      </c>
      <c r="F2639" s="47">
        <v>2.6471822608164555</v>
      </c>
    </row>
    <row r="2640" spans="4:6" x14ac:dyDescent="0.2">
      <c r="D2640" s="18">
        <f t="shared" ca="1" si="83"/>
        <v>49.790554414784395</v>
      </c>
      <c r="E2640" s="33">
        <f t="shared" ca="1" si="84"/>
        <v>60171</v>
      </c>
      <c r="F2640" s="47">
        <v>2.6472286074852587</v>
      </c>
    </row>
    <row r="2641" spans="4:6" x14ac:dyDescent="0.2">
      <c r="D2641" s="18">
        <f t="shared" ca="1" si="83"/>
        <v>49.809719370294317</v>
      </c>
      <c r="E2641" s="33">
        <f t="shared" ca="1" si="84"/>
        <v>60178</v>
      </c>
      <c r="F2641" s="47">
        <v>2.6472748654935137</v>
      </c>
    </row>
    <row r="2642" spans="4:6" x14ac:dyDescent="0.2">
      <c r="D2642" s="18">
        <f t="shared" ca="1" si="83"/>
        <v>49.828884325804246</v>
      </c>
      <c r="E2642" s="33">
        <f t="shared" ca="1" si="84"/>
        <v>60185</v>
      </c>
      <c r="F2642" s="47">
        <v>2.6473210332370267</v>
      </c>
    </row>
    <row r="2643" spans="4:6" x14ac:dyDescent="0.2">
      <c r="D2643" s="18">
        <f t="shared" ca="1" si="83"/>
        <v>49.848049281314168</v>
      </c>
      <c r="E2643" s="33">
        <f t="shared" ca="1" si="84"/>
        <v>60192</v>
      </c>
      <c r="F2643" s="47">
        <v>2.6473671091276572</v>
      </c>
    </row>
    <row r="2644" spans="4:6" x14ac:dyDescent="0.2">
      <c r="D2644" s="18">
        <f t="shared" ca="1" si="83"/>
        <v>49.86721423682409</v>
      </c>
      <c r="E2644" s="33">
        <f t="shared" ca="1" si="84"/>
        <v>60199</v>
      </c>
      <c r="F2644" s="47">
        <v>2.6474130915932768</v>
      </c>
    </row>
    <row r="2645" spans="4:6" x14ac:dyDescent="0.2">
      <c r="D2645" s="18">
        <f t="shared" ca="1" si="83"/>
        <v>49.886379192334019</v>
      </c>
      <c r="E2645" s="33">
        <f t="shared" ca="1" si="84"/>
        <v>60206</v>
      </c>
      <c r="F2645" s="47">
        <v>2.6474589790777414</v>
      </c>
    </row>
    <row r="2646" spans="4:6" x14ac:dyDescent="0.2">
      <c r="D2646" s="18">
        <f t="shared" ca="1" si="83"/>
        <v>49.905544147843941</v>
      </c>
      <c r="E2646" s="33">
        <f t="shared" ca="1" si="84"/>
        <v>60213</v>
      </c>
      <c r="F2646" s="47">
        <v>2.6475047700408556</v>
      </c>
    </row>
    <row r="2647" spans="4:6" x14ac:dyDescent="0.2">
      <c r="D2647" s="18">
        <f t="shared" ca="1" si="83"/>
        <v>49.924709103353869</v>
      </c>
      <c r="E2647" s="33">
        <f t="shared" ca="1" si="84"/>
        <v>60220</v>
      </c>
      <c r="F2647" s="47">
        <v>2.6475504629583351</v>
      </c>
    </row>
    <row r="2648" spans="4:6" x14ac:dyDescent="0.2">
      <c r="D2648" s="18">
        <f t="shared" ca="1" si="83"/>
        <v>49.943874058863791</v>
      </c>
      <c r="E2648" s="33">
        <f t="shared" ca="1" si="84"/>
        <v>60227</v>
      </c>
      <c r="F2648" s="47">
        <v>2.6475960563217695</v>
      </c>
    </row>
    <row r="2649" spans="4:6" x14ac:dyDescent="0.2">
      <c r="D2649" s="18">
        <f t="shared" ca="1" si="83"/>
        <v>49.963039014373713</v>
      </c>
      <c r="E2649" s="33">
        <f t="shared" ca="1" si="84"/>
        <v>60234</v>
      </c>
      <c r="F2649" s="47">
        <v>2.6476415486385854</v>
      </c>
    </row>
    <row r="2650" spans="4:6" x14ac:dyDescent="0.2">
      <c r="D2650" s="18">
        <f t="shared" ca="1" si="83"/>
        <v>49.982203969883642</v>
      </c>
      <c r="E2650" s="33">
        <f t="shared" ca="1" si="84"/>
        <v>60241</v>
      </c>
      <c r="F2650" s="47">
        <v>2.6476869384320043</v>
      </c>
    </row>
    <row r="2651" spans="4:6" x14ac:dyDescent="0.2">
      <c r="D2651" s="19">
        <f t="shared" ca="1" si="83"/>
        <v>50.001368925393564</v>
      </c>
      <c r="E2651" s="34">
        <f t="shared" ca="1" si="84"/>
        <v>60248</v>
      </c>
      <c r="F2651" s="45">
        <v>2.6477322251481219</v>
      </c>
    </row>
  </sheetData>
  <mergeCells count="2">
    <mergeCell ref="D7:E7"/>
    <mergeCell ref="D40:F40"/>
  </mergeCells>
  <dataValidations count="1">
    <dataValidation type="list" allowBlank="1" showInputMessage="1" showErrorMessage="1" sqref="E37">
      <formula1>$AB$3:$AB$9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Fit">
                <anchor moveWithCells="1" sizeWithCells="1">
                  <from>
                    <xdr:col>17</xdr:col>
                    <xdr:colOff>533400</xdr:colOff>
                    <xdr:row>2</xdr:row>
                    <xdr:rowOff>0</xdr:rowOff>
                  </from>
                  <to>
                    <xdr:col>20</xdr:col>
                    <xdr:colOff>409575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Bonds!$N$2:$N$3</xm:f>
          </x14:formula1>
          <xm:sqref>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44"/>
  <sheetViews>
    <sheetView zoomScale="75" zoomScaleNormal="75" workbookViewId="0">
      <selection activeCell="M39" sqref="M39"/>
    </sheetView>
  </sheetViews>
  <sheetFormatPr defaultRowHeight="14.25" x14ac:dyDescent="0.2"/>
  <cols>
    <col min="1" max="1" width="3.85546875" style="71" customWidth="1"/>
    <col min="2" max="2" width="22.5703125" style="3" customWidth="1"/>
    <col min="3" max="3" width="25.28515625" style="25" bestFit="1" customWidth="1"/>
    <col min="4" max="4" width="7" style="3" bestFit="1" customWidth="1"/>
    <col min="5" max="5" width="9.28515625" style="3" bestFit="1" customWidth="1"/>
    <col min="6" max="6" width="9" style="3" customWidth="1"/>
    <col min="7" max="7" width="21" style="3" customWidth="1"/>
    <col min="8" max="8" width="19.85546875" style="3" bestFit="1" customWidth="1"/>
    <col min="9" max="10" width="21.85546875" style="3" bestFit="1" customWidth="1"/>
    <col min="11" max="11" width="28" style="3" customWidth="1"/>
    <col min="12" max="12" width="19.140625" style="3" bestFit="1" customWidth="1"/>
    <col min="13" max="13" width="22.7109375" style="3" bestFit="1" customWidth="1"/>
    <col min="14" max="14" width="21.85546875" style="3" bestFit="1" customWidth="1"/>
    <col min="15" max="15" width="23.7109375" style="3" bestFit="1" customWidth="1"/>
    <col min="16" max="16" width="40.28515625" style="3" bestFit="1" customWidth="1"/>
    <col min="17" max="17" width="9.42578125" style="3" bestFit="1" customWidth="1"/>
    <col min="18" max="16384" width="9.140625" style="3"/>
  </cols>
  <sheetData>
    <row r="2" spans="2:13" ht="15" x14ac:dyDescent="0.25">
      <c r="C2" s="78" t="s">
        <v>25</v>
      </c>
      <c r="G2" s="21" t="s">
        <v>29</v>
      </c>
      <c r="I2" s="24" t="s">
        <v>46</v>
      </c>
      <c r="J2" s="24" t="s">
        <v>45</v>
      </c>
      <c r="K2" s="3" t="s">
        <v>56</v>
      </c>
      <c r="L2" s="3" t="s">
        <v>55</v>
      </c>
      <c r="M2" s="24" t="s">
        <v>33</v>
      </c>
    </row>
    <row r="3" spans="2:13" x14ac:dyDescent="0.2">
      <c r="B3" s="77" t="s">
        <v>17</v>
      </c>
      <c r="C3" s="79">
        <f ca="1">_xll.QMABondCashFlows(B4)</f>
        <v>42162</v>
      </c>
      <c r="D3" s="3">
        <v>23750</v>
      </c>
      <c r="E3" s="3">
        <v>0</v>
      </c>
      <c r="G3" s="48" t="e">
        <f ca="1">QMABondDetails(B4)</f>
        <v>#NAME?</v>
      </c>
      <c r="H3" s="3">
        <v>0.49723757000000002</v>
      </c>
      <c r="I3" s="3" t="s">
        <v>38</v>
      </c>
      <c r="J3" s="3">
        <f>_xll.BDP($B$3,I3)</f>
        <v>0.10439560000000001</v>
      </c>
      <c r="K3" s="3" t="s">
        <v>57</v>
      </c>
      <c r="L3" s="3" t="e">
        <f ca="1">VLOOKUP(K3,$G$3:$H$39,2,FALSE)</f>
        <v>#N/A</v>
      </c>
      <c r="M3" s="3" t="e">
        <f ca="1">IF(ISNUMBER(L3),L3-J3,L3=J3)</f>
        <v>#N/A</v>
      </c>
    </row>
    <row r="4" spans="2:13" x14ac:dyDescent="0.2">
      <c r="B4" s="3" t="str">
        <f ca="1">VLOOKUP(B3,Bonds!B9:D48,3,FALSE)</f>
        <v>FittedEG872949 Corp#1</v>
      </c>
      <c r="C4" s="25">
        <v>42345</v>
      </c>
      <c r="D4" s="3">
        <v>23750</v>
      </c>
      <c r="E4" s="3">
        <v>0</v>
      </c>
      <c r="G4" s="3" t="s">
        <v>53</v>
      </c>
      <c r="H4" s="3">
        <v>27184141000</v>
      </c>
      <c r="I4" s="3" t="s">
        <v>7</v>
      </c>
      <c r="J4" s="3">
        <f>_xll.BDP($B$3,I4)</f>
        <v>31531504000</v>
      </c>
      <c r="K4" s="3" t="s">
        <v>53</v>
      </c>
      <c r="L4" s="3">
        <f t="shared" ref="L4:L39" ca="1" si="0">VLOOKUP(K4,$G$3:$H$39,2,FALSE)</f>
        <v>27184141000</v>
      </c>
      <c r="M4" s="3">
        <f t="shared" ref="M4:M39" ca="1" si="1">IF(ISNUMBER(L4),L4-J4,L4=J4)</f>
        <v>-4347363000</v>
      </c>
    </row>
    <row r="5" spans="2:13" x14ac:dyDescent="0.2">
      <c r="C5" s="25">
        <v>42528</v>
      </c>
      <c r="D5" s="3">
        <v>23750</v>
      </c>
      <c r="E5" s="3">
        <v>0</v>
      </c>
      <c r="G5" s="3" t="s">
        <v>49</v>
      </c>
      <c r="H5" s="3" t="b">
        <v>0</v>
      </c>
      <c r="L5" s="3" t="e">
        <f t="shared" ca="1" si="0"/>
        <v>#N/A</v>
      </c>
      <c r="M5" s="3" t="e">
        <f t="shared" ca="1" si="1"/>
        <v>#N/A</v>
      </c>
    </row>
    <row r="6" spans="2:13" x14ac:dyDescent="0.2">
      <c r="C6" s="25">
        <v>42711</v>
      </c>
      <c r="D6" s="3">
        <v>23750</v>
      </c>
      <c r="E6" s="3">
        <v>0</v>
      </c>
      <c r="G6" s="3" t="s">
        <v>9</v>
      </c>
      <c r="H6" s="3" t="b">
        <v>0</v>
      </c>
      <c r="L6" s="3" t="e">
        <f t="shared" ca="1" si="0"/>
        <v>#N/A</v>
      </c>
      <c r="M6" s="3" t="e">
        <f t="shared" ca="1" si="1"/>
        <v>#N/A</v>
      </c>
    </row>
    <row r="7" spans="2:13" x14ac:dyDescent="0.2">
      <c r="C7" s="25">
        <v>42893</v>
      </c>
      <c r="D7" s="3">
        <v>23750</v>
      </c>
      <c r="E7" s="3">
        <v>0</v>
      </c>
      <c r="G7" s="3" t="s">
        <v>58</v>
      </c>
      <c r="H7" s="3">
        <v>2.25</v>
      </c>
      <c r="I7" s="3" t="s">
        <v>39</v>
      </c>
      <c r="J7" s="3">
        <f>_xll.BDP($B$3,I7)</f>
        <v>4.75</v>
      </c>
      <c r="K7" s="3" t="s">
        <v>58</v>
      </c>
      <c r="L7" s="3">
        <f t="shared" ca="1" si="0"/>
        <v>2.25</v>
      </c>
      <c r="M7" s="3">
        <f t="shared" ca="1" si="1"/>
        <v>-2.5</v>
      </c>
    </row>
    <row r="8" spans="2:13" x14ac:dyDescent="0.2">
      <c r="C8" s="25">
        <v>43076</v>
      </c>
      <c r="D8" s="3">
        <v>23750</v>
      </c>
      <c r="E8" s="3">
        <v>0</v>
      </c>
      <c r="G8" s="3" t="s">
        <v>59</v>
      </c>
      <c r="H8" s="25">
        <v>1</v>
      </c>
      <c r="I8" s="3" t="s">
        <v>40</v>
      </c>
      <c r="J8" s="3">
        <f>_xll.BDP($B$3,I8)</f>
        <v>1</v>
      </c>
      <c r="K8" s="3" t="s">
        <v>59</v>
      </c>
      <c r="L8" s="3">
        <f t="shared" ca="1" si="0"/>
        <v>1</v>
      </c>
      <c r="M8" s="3">
        <f t="shared" ca="1" si="1"/>
        <v>0</v>
      </c>
    </row>
    <row r="9" spans="2:13" x14ac:dyDescent="0.2">
      <c r="C9" s="25">
        <v>43258</v>
      </c>
      <c r="D9" s="3">
        <v>23750</v>
      </c>
      <c r="E9" s="3">
        <v>0</v>
      </c>
      <c r="G9" s="3" t="s">
        <v>54</v>
      </c>
      <c r="H9" s="25">
        <v>41437</v>
      </c>
      <c r="I9" s="3" t="s">
        <v>8</v>
      </c>
      <c r="J9" s="3" t="str">
        <f>_xll.BDP($B$3,I9)</f>
        <v>03/10/2007</v>
      </c>
      <c r="K9" s="3" t="s">
        <v>54</v>
      </c>
      <c r="L9" s="3">
        <f t="shared" ca="1" si="0"/>
        <v>41437</v>
      </c>
      <c r="M9" s="3">
        <f t="shared" ca="1" si="1"/>
        <v>2079</v>
      </c>
    </row>
    <row r="10" spans="2:13" x14ac:dyDescent="0.2">
      <c r="C10" s="25">
        <v>43441</v>
      </c>
      <c r="D10" s="3">
        <v>23750</v>
      </c>
      <c r="E10" s="3">
        <v>0</v>
      </c>
      <c r="G10" s="3" t="s">
        <v>60</v>
      </c>
      <c r="H10" s="25">
        <v>45176</v>
      </c>
      <c r="I10" s="3" t="s">
        <v>41</v>
      </c>
      <c r="J10" s="3" t="str">
        <f>_xll.BDP($B$3,I10)</f>
        <v>07/12/2030</v>
      </c>
      <c r="K10" s="3" t="s">
        <v>60</v>
      </c>
      <c r="L10" s="3">
        <f t="shared" ca="1" si="0"/>
        <v>45176</v>
      </c>
      <c r="M10" s="3">
        <f t="shared" ca="1" si="1"/>
        <v>-2648</v>
      </c>
    </row>
    <row r="11" spans="2:13" x14ac:dyDescent="0.2">
      <c r="C11" s="25">
        <v>43623</v>
      </c>
      <c r="D11" s="3">
        <v>23750</v>
      </c>
      <c r="E11" s="3">
        <v>0</v>
      </c>
      <c r="G11" s="3" t="s">
        <v>106</v>
      </c>
      <c r="H11" s="3" t="s">
        <v>12</v>
      </c>
      <c r="L11" s="3" t="e">
        <f t="shared" ca="1" si="0"/>
        <v>#N/A</v>
      </c>
      <c r="M11" s="3" t="e">
        <f t="shared" ca="1" si="1"/>
        <v>#N/A</v>
      </c>
    </row>
    <row r="12" spans="2:13" x14ac:dyDescent="0.2">
      <c r="C12" s="25">
        <v>43806</v>
      </c>
      <c r="D12" s="3">
        <v>23750</v>
      </c>
      <c r="E12" s="3">
        <v>0</v>
      </c>
      <c r="G12" s="3" t="s">
        <v>61</v>
      </c>
      <c r="H12" s="25">
        <v>41969</v>
      </c>
      <c r="I12" s="3" t="s">
        <v>34</v>
      </c>
      <c r="J12" s="3" t="str">
        <f>_xll.BDP($B$3,I12)</f>
        <v>15/12/2014</v>
      </c>
      <c r="K12" s="3" t="s">
        <v>61</v>
      </c>
      <c r="L12" s="25">
        <f t="shared" ca="1" si="0"/>
        <v>41969</v>
      </c>
      <c r="M12" s="3">
        <f t="shared" ca="1" si="1"/>
        <v>-19</v>
      </c>
    </row>
    <row r="13" spans="2:13" x14ac:dyDescent="0.2">
      <c r="C13" s="25">
        <v>43989</v>
      </c>
      <c r="D13" s="3">
        <v>23750</v>
      </c>
      <c r="E13" s="3">
        <v>0</v>
      </c>
      <c r="G13" s="3" t="s">
        <v>62</v>
      </c>
      <c r="H13" s="3" t="s">
        <v>142</v>
      </c>
      <c r="I13" s="3" t="s">
        <v>42</v>
      </c>
      <c r="J13" s="3" t="str">
        <f>_xll.BDP($B$3,I13)</f>
        <v>UKT 4 3/4 12/07/30</v>
      </c>
      <c r="K13" s="3" t="s">
        <v>62</v>
      </c>
      <c r="L13" s="3" t="str">
        <f t="shared" ca="1" si="0"/>
        <v>UKT 2 1/4 09/07/23</v>
      </c>
      <c r="M13" s="3" t="b">
        <f t="shared" ca="1" si="1"/>
        <v>0</v>
      </c>
    </row>
    <row r="14" spans="2:13" x14ac:dyDescent="0.2">
      <c r="C14" s="25">
        <v>44172</v>
      </c>
      <c r="D14" s="3">
        <v>23750</v>
      </c>
      <c r="E14" s="3">
        <v>0</v>
      </c>
      <c r="G14" s="3" t="s">
        <v>63</v>
      </c>
      <c r="H14" s="3" t="s">
        <v>107</v>
      </c>
      <c r="I14" s="3" t="s">
        <v>43</v>
      </c>
      <c r="J14" s="3" t="str">
        <f>_xll.BDP($B$3,I14)</f>
        <v>UKT</v>
      </c>
      <c r="K14" s="3" t="s">
        <v>63</v>
      </c>
      <c r="L14" s="3" t="str">
        <f t="shared" ca="1" si="0"/>
        <v>UKT</v>
      </c>
      <c r="M14" s="3" t="b">
        <f t="shared" ca="1" si="1"/>
        <v>1</v>
      </c>
    </row>
    <row r="15" spans="2:13" x14ac:dyDescent="0.2">
      <c r="C15" s="25">
        <v>44354</v>
      </c>
      <c r="D15" s="3">
        <v>23750</v>
      </c>
      <c r="E15" s="3">
        <v>0</v>
      </c>
      <c r="G15" s="3" t="s">
        <v>64</v>
      </c>
      <c r="H15" s="3" t="s">
        <v>143</v>
      </c>
      <c r="I15" s="3" t="s">
        <v>44</v>
      </c>
      <c r="J15" s="3" t="str">
        <f>_xll.BDP($B$3,I15)</f>
        <v>COEG8729493</v>
      </c>
      <c r="K15" s="3" t="s">
        <v>64</v>
      </c>
      <c r="L15" s="3" t="str">
        <f t="shared" ca="1" si="0"/>
        <v>COEJ7072188</v>
      </c>
      <c r="M15" s="3" t="b">
        <f t="shared" ca="1" si="1"/>
        <v>0</v>
      </c>
    </row>
    <row r="16" spans="2:13" x14ac:dyDescent="0.2">
      <c r="C16" s="25">
        <v>44537</v>
      </c>
      <c r="D16" s="3">
        <v>23750</v>
      </c>
      <c r="E16" s="3">
        <v>0</v>
      </c>
    </row>
    <row r="17" spans="3:15" x14ac:dyDescent="0.2">
      <c r="C17" s="25">
        <v>44719</v>
      </c>
      <c r="D17" s="3">
        <v>23750</v>
      </c>
      <c r="E17" s="3">
        <v>0</v>
      </c>
    </row>
    <row r="18" spans="3:15" x14ac:dyDescent="0.2">
      <c r="C18" s="25">
        <v>44902</v>
      </c>
      <c r="D18" s="3">
        <v>23750</v>
      </c>
      <c r="E18" s="3">
        <v>0</v>
      </c>
    </row>
    <row r="19" spans="3:15" ht="15" x14ac:dyDescent="0.25">
      <c r="C19" s="25">
        <v>45084</v>
      </c>
      <c r="D19" s="3">
        <v>23750</v>
      </c>
      <c r="E19" s="3">
        <v>0</v>
      </c>
      <c r="G19" s="21" t="s">
        <v>51</v>
      </c>
      <c r="I19" s="24" t="s">
        <v>46</v>
      </c>
      <c r="J19" s="24" t="s">
        <v>45</v>
      </c>
    </row>
    <row r="20" spans="3:15" x14ac:dyDescent="0.2">
      <c r="C20" s="25">
        <v>45267</v>
      </c>
      <c r="D20" s="3">
        <v>23750</v>
      </c>
      <c r="E20" s="3">
        <v>0</v>
      </c>
      <c r="G20" s="48" t="e">
        <f ca="1">QMABondCalculationDetails(B4)</f>
        <v>#NAME?</v>
      </c>
      <c r="H20" s="25">
        <v>41968</v>
      </c>
      <c r="I20" s="3" t="s">
        <v>31</v>
      </c>
      <c r="J20" s="3">
        <f>_xll.BDP($B$3,I20)</f>
        <v>134.41</v>
      </c>
      <c r="K20" s="3" t="s">
        <v>47</v>
      </c>
      <c r="L20" s="3">
        <f t="shared" ca="1" si="0"/>
        <v>102.935</v>
      </c>
      <c r="M20" s="3">
        <f t="shared" ca="1" si="1"/>
        <v>-31.474999999999994</v>
      </c>
      <c r="O20" s="3" t="str">
        <f ca="1">"PX_DISC_ASK="&amp;VLOOKUP("Ask",G20:H39,2,FALSE)</f>
        <v>PX_DISC_ASK=102.935</v>
      </c>
    </row>
    <row r="21" spans="3:15" x14ac:dyDescent="0.2">
      <c r="C21" s="25">
        <v>45450</v>
      </c>
      <c r="D21" s="3">
        <v>23750</v>
      </c>
      <c r="E21" s="3">
        <v>0</v>
      </c>
      <c r="G21" s="3" t="s">
        <v>47</v>
      </c>
      <c r="H21" s="3">
        <v>102.935</v>
      </c>
      <c r="I21" s="3" t="s">
        <v>32</v>
      </c>
      <c r="J21" s="3">
        <f>_xll.BDP($B$3,I21)</f>
        <v>134.37</v>
      </c>
      <c r="K21" s="3" t="s">
        <v>48</v>
      </c>
      <c r="L21" s="3">
        <f t="shared" ca="1" si="0"/>
        <v>102.925</v>
      </c>
      <c r="M21" s="3">
        <f t="shared" ca="1" si="1"/>
        <v>-31.445000000000007</v>
      </c>
      <c r="O21" s="3" t="str">
        <f ca="1">"PX_DISC_BID="&amp;VLOOKUP("Bid",G20:H39,2,FALSE)</f>
        <v>PX_DISC_BID=102.925</v>
      </c>
    </row>
    <row r="22" spans="3:15" x14ac:dyDescent="0.2">
      <c r="C22" s="25">
        <v>45633</v>
      </c>
      <c r="D22" s="3">
        <v>23750</v>
      </c>
      <c r="E22" s="3">
        <v>0</v>
      </c>
      <c r="G22" s="3" t="s">
        <v>120</v>
      </c>
      <c r="H22" s="3">
        <v>0</v>
      </c>
      <c r="I22" s="3" t="s">
        <v>35</v>
      </c>
      <c r="J22" s="3">
        <f ca="1">_xll.BDP(B3,I22,O20,O22)</f>
        <v>4.4905309615958107</v>
      </c>
      <c r="K22" s="3" t="s">
        <v>65</v>
      </c>
      <c r="L22" s="3">
        <f t="shared" ref="L22:L27" ca="1" si="2">VLOOKUP(K22,$G$3:$H$43,2,FALSE)</f>
        <v>1.8855152787656873</v>
      </c>
      <c r="M22" s="3">
        <f t="shared" ca="1" si="1"/>
        <v>-2.6050156828301234</v>
      </c>
      <c r="N22" s="3">
        <f ca="1">M22-M25</f>
        <v>-2.3038665073993831</v>
      </c>
      <c r="O22" s="25" t="str">
        <f>"SETTLE_DT="&amp;RIGHT(J12,4)&amp;MID(J12,4,2)&amp;LEFT(J12,2)</f>
        <v>SETTLE_DT=20141215</v>
      </c>
    </row>
    <row r="23" spans="3:15" x14ac:dyDescent="0.2">
      <c r="C23" s="25">
        <v>45815</v>
      </c>
      <c r="D23" s="3">
        <v>23750</v>
      </c>
      <c r="E23" s="3">
        <v>0</v>
      </c>
      <c r="G23" s="3" t="s">
        <v>48</v>
      </c>
      <c r="H23" s="3">
        <v>102.925</v>
      </c>
      <c r="I23" s="3" t="s">
        <v>36</v>
      </c>
      <c r="J23" s="3">
        <f ca="1">_xll.BDP(B3,I23,O21,O22)</f>
        <v>4.491398635765055</v>
      </c>
      <c r="K23" s="3" t="s">
        <v>66</v>
      </c>
      <c r="L23" s="3">
        <f t="shared" ca="1" si="2"/>
        <v>1.8867366169715565</v>
      </c>
      <c r="M23" s="3">
        <f t="shared" ca="1" si="1"/>
        <v>-2.6046620187934986</v>
      </c>
      <c r="N23" s="3">
        <f t="shared" ref="N23:N24" ca="1" si="3">M23-M26</f>
        <v>-2.3022448934371229</v>
      </c>
    </row>
    <row r="24" spans="3:15" x14ac:dyDescent="0.2">
      <c r="C24" s="25">
        <v>45998</v>
      </c>
      <c r="D24" s="3">
        <v>23750</v>
      </c>
      <c r="E24" s="3">
        <v>0</v>
      </c>
      <c r="G24" s="3" t="s">
        <v>103</v>
      </c>
      <c r="H24" s="3">
        <v>-1.0000000000005116E-2</v>
      </c>
      <c r="I24" s="3" t="s">
        <v>37</v>
      </c>
      <c r="J24" s="3">
        <f ca="1">_xll.BDP(B3,I24,O20,O21,O22)</f>
        <v>4.4909647853037331</v>
      </c>
      <c r="K24" s="3" t="s">
        <v>67</v>
      </c>
      <c r="L24" s="3">
        <f t="shared" ca="1" si="2"/>
        <v>1.8861259312510148</v>
      </c>
      <c r="M24" s="3">
        <f t="shared" ca="1" si="1"/>
        <v>-2.6048388540527183</v>
      </c>
      <c r="N24" s="3">
        <f t="shared" ca="1" si="3"/>
        <v>-2.3030558004653789</v>
      </c>
    </row>
    <row r="25" spans="3:15" x14ac:dyDescent="0.2">
      <c r="C25" s="25">
        <v>46180</v>
      </c>
      <c r="D25" s="3">
        <v>23750</v>
      </c>
      <c r="E25" s="3">
        <v>0</v>
      </c>
      <c r="G25" s="3" t="s">
        <v>121</v>
      </c>
      <c r="H25" s="3">
        <v>0</v>
      </c>
      <c r="I25" s="26" t="s">
        <v>35</v>
      </c>
      <c r="J25" s="26">
        <f>_xll.BDP($B$3,I25)</f>
        <v>2.1866644541964275</v>
      </c>
      <c r="K25" s="3" t="s">
        <v>65</v>
      </c>
      <c r="L25" s="3">
        <f t="shared" ca="1" si="2"/>
        <v>1.8855152787656873</v>
      </c>
      <c r="M25" s="3">
        <f t="shared" ca="1" si="1"/>
        <v>-0.30114917543074027</v>
      </c>
    </row>
    <row r="26" spans="3:15" x14ac:dyDescent="0.2">
      <c r="C26" s="25">
        <v>46363</v>
      </c>
      <c r="D26" s="3">
        <v>23750</v>
      </c>
      <c r="E26" s="3">
        <v>0</v>
      </c>
      <c r="G26" s="3" t="s">
        <v>122</v>
      </c>
      <c r="H26" s="3">
        <v>0</v>
      </c>
      <c r="I26" s="26" t="s">
        <v>36</v>
      </c>
      <c r="J26" s="26">
        <f>_xll.BDP($B$3,I26)</f>
        <v>2.1891537423279321</v>
      </c>
      <c r="K26" s="3" t="s">
        <v>66</v>
      </c>
      <c r="L26" s="3">
        <f t="shared" ca="1" si="2"/>
        <v>1.8867366169715565</v>
      </c>
      <c r="M26" s="3">
        <f t="shared" ca="1" si="1"/>
        <v>-0.30241712535637566</v>
      </c>
    </row>
    <row r="27" spans="3:15" x14ac:dyDescent="0.2">
      <c r="C27" s="25">
        <v>46545</v>
      </c>
      <c r="D27" s="3">
        <v>23750</v>
      </c>
      <c r="E27" s="3">
        <v>0</v>
      </c>
      <c r="G27" s="3" t="s">
        <v>108</v>
      </c>
      <c r="H27" s="3">
        <v>103.43223757</v>
      </c>
      <c r="I27" s="26" t="s">
        <v>37</v>
      </c>
      <c r="J27" s="26">
        <f>_xll.BDP($B$3,I27)</f>
        <v>2.1879089848383542</v>
      </c>
      <c r="K27" s="3" t="s">
        <v>67</v>
      </c>
      <c r="L27" s="3">
        <f t="shared" ca="1" si="2"/>
        <v>1.8861259312510148</v>
      </c>
      <c r="M27" s="3">
        <f t="shared" ca="1" si="1"/>
        <v>-0.30178305358733937</v>
      </c>
    </row>
    <row r="28" spans="3:15" x14ac:dyDescent="0.2">
      <c r="C28" s="25">
        <v>46728</v>
      </c>
      <c r="D28" s="3">
        <v>23750</v>
      </c>
      <c r="E28" s="3">
        <v>0</v>
      </c>
      <c r="G28" s="3" t="s">
        <v>109</v>
      </c>
      <c r="H28" s="3">
        <v>103.42223756999999</v>
      </c>
      <c r="L28" s="3" t="e">
        <f t="shared" ca="1" si="0"/>
        <v>#N/A</v>
      </c>
      <c r="M28" s="3" t="e">
        <f t="shared" ca="1" si="1"/>
        <v>#N/A</v>
      </c>
    </row>
    <row r="29" spans="3:15" x14ac:dyDescent="0.2">
      <c r="C29" s="25">
        <v>46911</v>
      </c>
      <c r="D29" s="3">
        <v>23750</v>
      </c>
      <c r="E29" s="3">
        <v>0</v>
      </c>
      <c r="G29" s="3" t="s">
        <v>110</v>
      </c>
      <c r="H29" s="3">
        <v>103.42723756999999</v>
      </c>
      <c r="L29" s="3" t="e">
        <f t="shared" ca="1" si="0"/>
        <v>#N/A</v>
      </c>
      <c r="M29" s="3" t="e">
        <f t="shared" ca="1" si="1"/>
        <v>#N/A</v>
      </c>
    </row>
    <row r="30" spans="3:15" x14ac:dyDescent="0.2">
      <c r="C30" s="25">
        <v>47094</v>
      </c>
      <c r="D30" s="3">
        <v>23750</v>
      </c>
      <c r="E30" s="3">
        <v>0</v>
      </c>
      <c r="G30" s="3" t="s">
        <v>111</v>
      </c>
      <c r="H30" s="3">
        <v>-2.7378507871321013E-3</v>
      </c>
      <c r="L30" s="3" t="e">
        <f t="shared" ca="1" si="0"/>
        <v>#N/A</v>
      </c>
      <c r="M30" s="3" t="e">
        <f t="shared" ca="1" si="1"/>
        <v>#N/A</v>
      </c>
    </row>
    <row r="31" spans="3:15" x14ac:dyDescent="0.2">
      <c r="C31" s="25">
        <v>47276</v>
      </c>
      <c r="D31" s="3">
        <v>23750</v>
      </c>
      <c r="E31" s="3">
        <v>0</v>
      </c>
      <c r="G31" s="3" t="s">
        <v>112</v>
      </c>
      <c r="H31" s="3">
        <v>4.1259340654939933</v>
      </c>
      <c r="L31" s="3" t="e">
        <f t="shared" ca="1" si="0"/>
        <v>#N/A</v>
      </c>
      <c r="M31" s="3" t="e">
        <f t="shared" ca="1" si="1"/>
        <v>#N/A</v>
      </c>
    </row>
    <row r="32" spans="3:15" x14ac:dyDescent="0.2">
      <c r="C32" s="25">
        <v>47459</v>
      </c>
      <c r="D32" s="3">
        <v>23750</v>
      </c>
      <c r="E32" s="3">
        <v>0</v>
      </c>
      <c r="G32" s="3" t="s">
        <v>113</v>
      </c>
      <c r="H32" s="3">
        <v>-0.45216786661299313</v>
      </c>
      <c r="L32" s="3" t="e">
        <f t="shared" ca="1" si="0"/>
        <v>#N/A</v>
      </c>
      <c r="M32" s="3" t="e">
        <f t="shared" ca="1" si="1"/>
        <v>#N/A</v>
      </c>
    </row>
    <row r="33" spans="3:13" x14ac:dyDescent="0.2">
      <c r="C33" s="25">
        <v>47641</v>
      </c>
      <c r="D33" s="3">
        <v>23750</v>
      </c>
      <c r="E33" s="3">
        <v>0</v>
      </c>
      <c r="G33" s="3" t="s">
        <v>126</v>
      </c>
      <c r="H33" s="3">
        <v>8.7830253251197803</v>
      </c>
      <c r="L33" s="3" t="e">
        <f t="shared" ca="1" si="0"/>
        <v>#N/A</v>
      </c>
      <c r="M33" s="3" t="e">
        <f t="shared" ca="1" si="1"/>
        <v>#N/A</v>
      </c>
    </row>
    <row r="34" spans="3:13" x14ac:dyDescent="0.2">
      <c r="C34" s="25">
        <v>47824</v>
      </c>
      <c r="D34" s="3">
        <v>23750</v>
      </c>
      <c r="E34" s="3">
        <v>1000000</v>
      </c>
      <c r="G34" s="3" t="s">
        <v>114</v>
      </c>
      <c r="H34" s="3">
        <v>102.93</v>
      </c>
      <c r="L34" s="3" t="e">
        <f t="shared" ca="1" si="0"/>
        <v>#N/A</v>
      </c>
      <c r="M34" s="3" t="e">
        <f t="shared" ca="1" si="1"/>
        <v>#N/A</v>
      </c>
    </row>
    <row r="35" spans="3:13" x14ac:dyDescent="0.2">
      <c r="C35" s="25">
        <v>47824</v>
      </c>
      <c r="D35" s="3">
        <v>23750</v>
      </c>
      <c r="E35" s="3">
        <v>1000000</v>
      </c>
      <c r="G35" s="3" t="s">
        <v>115</v>
      </c>
      <c r="H35" s="3">
        <v>99.301303504505995</v>
      </c>
      <c r="L35" s="3" t="e">
        <f t="shared" ca="1" si="0"/>
        <v>#N/A</v>
      </c>
      <c r="M35" s="3" t="e">
        <f t="shared" ca="1" si="1"/>
        <v>#N/A</v>
      </c>
    </row>
    <row r="36" spans="3:13" x14ac:dyDescent="0.2">
      <c r="G36" s="3" t="s">
        <v>123</v>
      </c>
      <c r="H36" s="3">
        <v>0</v>
      </c>
      <c r="L36" s="3" t="e">
        <f t="shared" ca="1" si="0"/>
        <v>#N/A</v>
      </c>
      <c r="M36" s="3" t="e">
        <f t="shared" ca="1" si="1"/>
        <v>#N/A</v>
      </c>
    </row>
    <row r="37" spans="3:13" x14ac:dyDescent="0.2">
      <c r="G37" s="3" t="s">
        <v>116</v>
      </c>
      <c r="H37" s="3">
        <v>2.3382937978640079</v>
      </c>
      <c r="L37" s="3" t="e">
        <f t="shared" ca="1" si="0"/>
        <v>#N/A</v>
      </c>
      <c r="M37" s="3" t="e">
        <f t="shared" ca="1" si="1"/>
        <v>#N/A</v>
      </c>
    </row>
    <row r="38" spans="3:13" x14ac:dyDescent="0.2">
      <c r="G38" s="3" t="s">
        <v>124</v>
      </c>
      <c r="H38" s="3">
        <v>0</v>
      </c>
      <c r="L38" s="3" t="e">
        <f t="shared" ca="1" si="0"/>
        <v>#N/A</v>
      </c>
      <c r="M38" s="3" t="e">
        <f t="shared" ca="1" si="1"/>
        <v>#N/A</v>
      </c>
    </row>
    <row r="39" spans="3:13" x14ac:dyDescent="0.2">
      <c r="G39" s="3" t="s">
        <v>117</v>
      </c>
      <c r="H39" s="3">
        <v>17.023331912803791</v>
      </c>
      <c r="L39" s="3" t="e">
        <f t="shared" ca="1" si="0"/>
        <v>#N/A</v>
      </c>
      <c r="M39" s="3" t="e">
        <f t="shared" ca="1" si="1"/>
        <v>#N/A</v>
      </c>
    </row>
    <row r="40" spans="3:13" x14ac:dyDescent="0.2">
      <c r="G40" s="3" t="s">
        <v>118</v>
      </c>
      <c r="H40" s="3">
        <v>1</v>
      </c>
    </row>
    <row r="41" spans="3:13" x14ac:dyDescent="0.2">
      <c r="G41" s="3" t="s">
        <v>65</v>
      </c>
      <c r="H41" s="3">
        <v>1.8855152787656873</v>
      </c>
    </row>
    <row r="42" spans="3:13" x14ac:dyDescent="0.2">
      <c r="G42" s="3" t="s">
        <v>66</v>
      </c>
      <c r="H42" s="3">
        <v>1.8867366169715565</v>
      </c>
    </row>
    <row r="43" spans="3:13" x14ac:dyDescent="0.2">
      <c r="G43" s="3" t="s">
        <v>67</v>
      </c>
      <c r="H43" s="3">
        <v>1.8861259312510148</v>
      </c>
    </row>
    <row r="44" spans="3:13" x14ac:dyDescent="0.2">
      <c r="G44" s="3" t="s">
        <v>119</v>
      </c>
      <c r="H44" s="3">
        <v>0.20445577959734554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Bonds!$B$9:$B$48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38"/>
  <sheetViews>
    <sheetView zoomScale="75" zoomScaleNormal="75" workbookViewId="0"/>
  </sheetViews>
  <sheetFormatPr defaultRowHeight="14.25" x14ac:dyDescent="0.2"/>
  <cols>
    <col min="1" max="1" width="2.7109375" style="3" customWidth="1"/>
    <col min="2" max="2" width="30.42578125" style="4" bestFit="1" customWidth="1"/>
    <col min="3" max="3" width="6" style="4" bestFit="1" customWidth="1"/>
    <col min="4" max="4" width="45.85546875" style="3" bestFit="1" customWidth="1"/>
    <col min="5" max="5" width="28.5703125" style="3" bestFit="1" customWidth="1"/>
    <col min="6" max="16384" width="9.140625" style="3"/>
  </cols>
  <sheetData>
    <row r="2" spans="2:5" ht="15" x14ac:dyDescent="0.25">
      <c r="B2" s="5" t="s">
        <v>24</v>
      </c>
      <c r="C2" s="5"/>
    </row>
    <row r="3" spans="2:5" ht="15" x14ac:dyDescent="0.25">
      <c r="B3" s="23" t="s">
        <v>21</v>
      </c>
      <c r="D3" s="3" t="str">
        <f>_xll.QMAVersion()</f>
        <v>QMA Addin Version (ExcelDna) 0.0.5459.37286</v>
      </c>
    </row>
    <row r="4" spans="2:5" ht="15" x14ac:dyDescent="0.25">
      <c r="B4" s="23" t="s">
        <v>22</v>
      </c>
      <c r="D4" s="3">
        <f ca="1">_xll.QMAObjectManagerCount()</f>
        <v>128</v>
      </c>
    </row>
    <row r="5" spans="2:5" ht="15" x14ac:dyDescent="0.25">
      <c r="B5" s="23" t="s">
        <v>23</v>
      </c>
      <c r="D5" s="3" t="b">
        <f>_xll.QMABloombergStarted()</f>
        <v>1</v>
      </c>
    </row>
    <row r="6" spans="2:5" ht="15" x14ac:dyDescent="0.25">
      <c r="B6" s="23" t="s">
        <v>127</v>
      </c>
      <c r="D6" s="3" t="b">
        <f ca="1">_xll.QMALoggingStatus()</f>
        <v>1</v>
      </c>
    </row>
    <row r="7" spans="2:5" s="52" customFormat="1" x14ac:dyDescent="0.2">
      <c r="B7" s="4"/>
      <c r="C7" s="4"/>
    </row>
    <row r="8" spans="2:5" ht="15" x14ac:dyDescent="0.25">
      <c r="B8" s="5" t="s">
        <v>10</v>
      </c>
      <c r="C8" s="5"/>
    </row>
    <row r="10" spans="2:5" ht="15" x14ac:dyDescent="0.25">
      <c r="B10" s="13" t="s">
        <v>26</v>
      </c>
      <c r="C10" s="13" t="s">
        <v>28</v>
      </c>
      <c r="D10" s="14" t="s">
        <v>27</v>
      </c>
      <c r="E10" s="21" t="s">
        <v>30</v>
      </c>
    </row>
    <row r="11" spans="2:5" ht="15" x14ac:dyDescent="0.25">
      <c r="B11" s="3" t="str">
        <f>_xll.QMAObjectManagerCreate("Double",C11)</f>
        <v>Double#1</v>
      </c>
      <c r="C11" s="11">
        <v>3</v>
      </c>
      <c r="D11" s="3">
        <f>_xll.QMAObjectManagerRetrieve(B11)</f>
        <v>3</v>
      </c>
      <c r="E11" s="48" t="str">
        <f>_xll.QMAObjectManagerList()</f>
        <v>AutoFitObject#1</v>
      </c>
    </row>
    <row r="12" spans="2:5" x14ac:dyDescent="0.2">
      <c r="B12" s="3" t="str">
        <f>_xll.QMAObjectManagerCreate("String",C12)</f>
        <v>String#1</v>
      </c>
      <c r="C12" s="12" t="s">
        <v>11</v>
      </c>
      <c r="D12" s="53" t="str">
        <f>_xll.QMAObjectManagerRetrieve(B12)</f>
        <v>Hello</v>
      </c>
      <c r="E12" s="3" t="s">
        <v>300</v>
      </c>
    </row>
    <row r="13" spans="2:5" x14ac:dyDescent="0.2">
      <c r="B13" s="3" t="str">
        <f>_xll.QMAObjectManagerCreate("TestArray",C13:C24)</f>
        <v>TestArray#1</v>
      </c>
      <c r="C13" s="6">
        <v>1</v>
      </c>
      <c r="D13" s="53">
        <f>_xll.QMAObjectManagerRetrieve(B13)</f>
        <v>1</v>
      </c>
      <c r="E13" s="3" t="s">
        <v>298</v>
      </c>
    </row>
    <row r="14" spans="2:5" x14ac:dyDescent="0.2">
      <c r="C14" s="6">
        <v>2</v>
      </c>
      <c r="D14" s="3">
        <v>2</v>
      </c>
      <c r="E14" s="3" t="s">
        <v>270</v>
      </c>
    </row>
    <row r="15" spans="2:5" x14ac:dyDescent="0.2">
      <c r="C15" s="6">
        <v>4</v>
      </c>
      <c r="D15" s="3">
        <v>4</v>
      </c>
      <c r="E15" s="3" t="s">
        <v>258</v>
      </c>
    </row>
    <row r="16" spans="2:5" x14ac:dyDescent="0.2">
      <c r="C16" s="6">
        <v>4</v>
      </c>
      <c r="D16" s="3">
        <v>4</v>
      </c>
      <c r="E16" s="3" t="s">
        <v>259</v>
      </c>
    </row>
    <row r="17" spans="3:5" x14ac:dyDescent="0.2">
      <c r="C17" s="6">
        <v>5</v>
      </c>
      <c r="D17" s="3">
        <v>5</v>
      </c>
      <c r="E17" s="3" t="s">
        <v>260</v>
      </c>
    </row>
    <row r="18" spans="3:5" x14ac:dyDescent="0.2">
      <c r="C18" s="6">
        <v>2</v>
      </c>
      <c r="D18" s="3">
        <v>2</v>
      </c>
      <c r="E18" s="3" t="s">
        <v>261</v>
      </c>
    </row>
    <row r="19" spans="3:5" x14ac:dyDescent="0.2">
      <c r="C19" s="6">
        <v>7</v>
      </c>
      <c r="D19" s="3">
        <v>7</v>
      </c>
      <c r="E19" s="3" t="s">
        <v>262</v>
      </c>
    </row>
    <row r="20" spans="3:5" x14ac:dyDescent="0.2">
      <c r="C20" s="6">
        <v>8</v>
      </c>
      <c r="D20" s="3">
        <v>8</v>
      </c>
      <c r="E20" s="3" t="s">
        <v>149</v>
      </c>
    </row>
    <row r="21" spans="3:5" x14ac:dyDescent="0.2">
      <c r="C21" s="6">
        <v>9</v>
      </c>
      <c r="D21" s="3">
        <v>9</v>
      </c>
      <c r="E21" s="3" t="s">
        <v>179</v>
      </c>
    </row>
    <row r="22" spans="3:5" x14ac:dyDescent="0.2">
      <c r="C22" s="6">
        <v>10</v>
      </c>
      <c r="D22" s="3">
        <v>10</v>
      </c>
      <c r="E22" s="3" t="s">
        <v>302</v>
      </c>
    </row>
    <row r="23" spans="3:5" x14ac:dyDescent="0.2">
      <c r="C23" s="6">
        <v>0</v>
      </c>
      <c r="D23" s="3">
        <v>0</v>
      </c>
      <c r="E23" s="3" t="s">
        <v>263</v>
      </c>
    </row>
    <row r="24" spans="3:5" x14ac:dyDescent="0.2">
      <c r="C24" s="7">
        <v>0</v>
      </c>
      <c r="D24" s="3">
        <v>0</v>
      </c>
      <c r="E24" s="3" t="s">
        <v>264</v>
      </c>
    </row>
    <row r="25" spans="3:5" x14ac:dyDescent="0.2">
      <c r="E25" s="3" t="s">
        <v>265</v>
      </c>
    </row>
    <row r="26" spans="3:5" x14ac:dyDescent="0.2">
      <c r="E26" s="3" t="s">
        <v>271</v>
      </c>
    </row>
    <row r="27" spans="3:5" x14ac:dyDescent="0.2">
      <c r="E27" s="3" t="s">
        <v>266</v>
      </c>
    </row>
    <row r="28" spans="3:5" x14ac:dyDescent="0.2">
      <c r="E28" s="3" t="s">
        <v>150</v>
      </c>
    </row>
    <row r="29" spans="3:5" x14ac:dyDescent="0.2">
      <c r="E29" s="3" t="s">
        <v>180</v>
      </c>
    </row>
    <row r="30" spans="3:5" x14ac:dyDescent="0.2">
      <c r="E30" s="3" t="s">
        <v>267</v>
      </c>
    </row>
    <row r="31" spans="3:5" x14ac:dyDescent="0.2">
      <c r="E31" s="3" t="s">
        <v>268</v>
      </c>
    </row>
    <row r="32" spans="3:5" x14ac:dyDescent="0.2">
      <c r="E32" s="3" t="s">
        <v>269</v>
      </c>
    </row>
    <row r="33" spans="5:5" x14ac:dyDescent="0.2">
      <c r="E33" s="3" t="s">
        <v>181</v>
      </c>
    </row>
    <row r="34" spans="5:5" x14ac:dyDescent="0.2">
      <c r="E34" s="3" t="s">
        <v>151</v>
      </c>
    </row>
    <row r="35" spans="5:5" x14ac:dyDescent="0.2">
      <c r="E35" s="3" t="s">
        <v>182</v>
      </c>
    </row>
    <row r="36" spans="5:5" x14ac:dyDescent="0.2">
      <c r="E36" s="3" t="s">
        <v>152</v>
      </c>
    </row>
    <row r="37" spans="5:5" x14ac:dyDescent="0.2">
      <c r="E37" s="3" t="s">
        <v>183</v>
      </c>
    </row>
    <row r="38" spans="5:5" x14ac:dyDescent="0.2">
      <c r="E38" s="3" t="s">
        <v>144</v>
      </c>
    </row>
    <row r="39" spans="5:5" x14ac:dyDescent="0.2">
      <c r="E39" s="3" t="s">
        <v>184</v>
      </c>
    </row>
    <row r="40" spans="5:5" x14ac:dyDescent="0.2">
      <c r="E40" s="3" t="s">
        <v>303</v>
      </c>
    </row>
    <row r="41" spans="5:5" x14ac:dyDescent="0.2">
      <c r="E41" s="3" t="s">
        <v>185</v>
      </c>
    </row>
    <row r="42" spans="5:5" x14ac:dyDescent="0.2">
      <c r="E42" s="3" t="s">
        <v>153</v>
      </c>
    </row>
    <row r="43" spans="5:5" x14ac:dyDescent="0.2">
      <c r="E43" s="3" t="s">
        <v>186</v>
      </c>
    </row>
    <row r="44" spans="5:5" x14ac:dyDescent="0.2">
      <c r="E44" s="3" t="s">
        <v>308</v>
      </c>
    </row>
    <row r="45" spans="5:5" x14ac:dyDescent="0.2">
      <c r="E45" s="3" t="s">
        <v>187</v>
      </c>
    </row>
    <row r="46" spans="5:5" x14ac:dyDescent="0.2">
      <c r="E46" s="3" t="s">
        <v>154</v>
      </c>
    </row>
    <row r="47" spans="5:5" x14ac:dyDescent="0.2">
      <c r="E47" s="3" t="s">
        <v>188</v>
      </c>
    </row>
    <row r="48" spans="5:5" x14ac:dyDescent="0.2">
      <c r="E48" s="3" t="s">
        <v>145</v>
      </c>
    </row>
    <row r="49" spans="5:5" x14ac:dyDescent="0.2">
      <c r="E49" s="3" t="s">
        <v>189</v>
      </c>
    </row>
    <row r="50" spans="5:5" x14ac:dyDescent="0.2">
      <c r="E50" s="3" t="s">
        <v>304</v>
      </c>
    </row>
    <row r="51" spans="5:5" x14ac:dyDescent="0.2">
      <c r="E51" s="3" t="s">
        <v>190</v>
      </c>
    </row>
    <row r="52" spans="5:5" x14ac:dyDescent="0.2">
      <c r="E52" s="3" t="s">
        <v>155</v>
      </c>
    </row>
    <row r="53" spans="5:5" x14ac:dyDescent="0.2">
      <c r="E53" s="3" t="s">
        <v>191</v>
      </c>
    </row>
    <row r="54" spans="5:5" x14ac:dyDescent="0.2">
      <c r="E54" s="3" t="s">
        <v>156</v>
      </c>
    </row>
    <row r="55" spans="5:5" x14ac:dyDescent="0.2">
      <c r="E55" s="3" t="s">
        <v>192</v>
      </c>
    </row>
    <row r="56" spans="5:5" x14ac:dyDescent="0.2">
      <c r="E56" s="3" t="s">
        <v>157</v>
      </c>
    </row>
    <row r="57" spans="5:5" x14ac:dyDescent="0.2">
      <c r="E57" s="3" t="s">
        <v>193</v>
      </c>
    </row>
    <row r="58" spans="5:5" x14ac:dyDescent="0.2">
      <c r="E58" s="3" t="s">
        <v>309</v>
      </c>
    </row>
    <row r="59" spans="5:5" x14ac:dyDescent="0.2">
      <c r="E59" s="3" t="s">
        <v>194</v>
      </c>
    </row>
    <row r="60" spans="5:5" x14ac:dyDescent="0.2">
      <c r="E60" s="3" t="s">
        <v>158</v>
      </c>
    </row>
    <row r="61" spans="5:5" x14ac:dyDescent="0.2">
      <c r="E61" s="3" t="s">
        <v>195</v>
      </c>
    </row>
    <row r="62" spans="5:5" x14ac:dyDescent="0.2">
      <c r="E62" s="3" t="s">
        <v>159</v>
      </c>
    </row>
    <row r="63" spans="5:5" x14ac:dyDescent="0.2">
      <c r="E63" s="3" t="s">
        <v>196</v>
      </c>
    </row>
    <row r="64" spans="5:5" x14ac:dyDescent="0.2">
      <c r="E64" s="3" t="s">
        <v>160</v>
      </c>
    </row>
    <row r="65" spans="5:5" x14ac:dyDescent="0.2">
      <c r="E65" s="3" t="s">
        <v>197</v>
      </c>
    </row>
    <row r="66" spans="5:5" x14ac:dyDescent="0.2">
      <c r="E66" s="3" t="s">
        <v>161</v>
      </c>
    </row>
    <row r="67" spans="5:5" x14ac:dyDescent="0.2">
      <c r="E67" s="3" t="s">
        <v>198</v>
      </c>
    </row>
    <row r="68" spans="5:5" x14ac:dyDescent="0.2">
      <c r="E68" s="3" t="s">
        <v>162</v>
      </c>
    </row>
    <row r="69" spans="5:5" x14ac:dyDescent="0.2">
      <c r="E69" s="3" t="s">
        <v>199</v>
      </c>
    </row>
    <row r="70" spans="5:5" x14ac:dyDescent="0.2">
      <c r="E70" s="3" t="s">
        <v>163</v>
      </c>
    </row>
    <row r="71" spans="5:5" x14ac:dyDescent="0.2">
      <c r="E71" s="3" t="s">
        <v>200</v>
      </c>
    </row>
    <row r="72" spans="5:5" x14ac:dyDescent="0.2">
      <c r="E72" s="3" t="s">
        <v>164</v>
      </c>
    </row>
    <row r="73" spans="5:5" x14ac:dyDescent="0.2">
      <c r="E73" s="3" t="s">
        <v>201</v>
      </c>
    </row>
    <row r="74" spans="5:5" x14ac:dyDescent="0.2">
      <c r="E74" s="3" t="s">
        <v>165</v>
      </c>
    </row>
    <row r="75" spans="5:5" x14ac:dyDescent="0.2">
      <c r="E75" s="3" t="s">
        <v>202</v>
      </c>
    </row>
    <row r="76" spans="5:5" x14ac:dyDescent="0.2">
      <c r="E76" s="3" t="s">
        <v>146</v>
      </c>
    </row>
    <row r="77" spans="5:5" x14ac:dyDescent="0.2">
      <c r="E77" s="3" t="s">
        <v>203</v>
      </c>
    </row>
    <row r="78" spans="5:5" x14ac:dyDescent="0.2">
      <c r="E78" s="3" t="s">
        <v>166</v>
      </c>
    </row>
    <row r="79" spans="5:5" x14ac:dyDescent="0.2">
      <c r="E79" s="3" t="s">
        <v>204</v>
      </c>
    </row>
    <row r="80" spans="5:5" x14ac:dyDescent="0.2">
      <c r="E80" s="3" t="s">
        <v>167</v>
      </c>
    </row>
    <row r="81" spans="5:5" x14ac:dyDescent="0.2">
      <c r="E81" s="3" t="s">
        <v>205</v>
      </c>
    </row>
    <row r="82" spans="5:5" x14ac:dyDescent="0.2">
      <c r="E82" s="3" t="s">
        <v>310</v>
      </c>
    </row>
    <row r="83" spans="5:5" x14ac:dyDescent="0.2">
      <c r="E83" s="3" t="s">
        <v>206</v>
      </c>
    </row>
    <row r="84" spans="5:5" x14ac:dyDescent="0.2">
      <c r="E84" s="3" t="s">
        <v>168</v>
      </c>
    </row>
    <row r="85" spans="5:5" x14ac:dyDescent="0.2">
      <c r="E85" s="3" t="s">
        <v>207</v>
      </c>
    </row>
    <row r="86" spans="5:5" x14ac:dyDescent="0.2">
      <c r="E86" s="3" t="s">
        <v>148</v>
      </c>
    </row>
    <row r="87" spans="5:5" x14ac:dyDescent="0.2">
      <c r="E87" s="3" t="s">
        <v>208</v>
      </c>
    </row>
    <row r="88" spans="5:5" x14ac:dyDescent="0.2">
      <c r="E88" s="3" t="s">
        <v>209</v>
      </c>
    </row>
    <row r="89" spans="5:5" x14ac:dyDescent="0.2">
      <c r="E89" s="3" t="s">
        <v>210</v>
      </c>
    </row>
    <row r="90" spans="5:5" x14ac:dyDescent="0.2">
      <c r="E90" s="3" t="s">
        <v>211</v>
      </c>
    </row>
    <row r="91" spans="5:5" x14ac:dyDescent="0.2">
      <c r="E91" s="3" t="s">
        <v>212</v>
      </c>
    </row>
    <row r="92" spans="5:5" x14ac:dyDescent="0.2">
      <c r="E92" s="3" t="s">
        <v>213</v>
      </c>
    </row>
    <row r="93" spans="5:5" x14ac:dyDescent="0.2">
      <c r="E93" s="3" t="s">
        <v>214</v>
      </c>
    </row>
    <row r="94" spans="5:5" x14ac:dyDescent="0.2">
      <c r="E94" s="3" t="s">
        <v>215</v>
      </c>
    </row>
    <row r="95" spans="5:5" x14ac:dyDescent="0.2">
      <c r="E95" s="3" t="s">
        <v>216</v>
      </c>
    </row>
    <row r="96" spans="5:5" x14ac:dyDescent="0.2">
      <c r="E96" s="3" t="s">
        <v>217</v>
      </c>
    </row>
    <row r="97" spans="5:5" x14ac:dyDescent="0.2">
      <c r="E97" s="3" t="s">
        <v>218</v>
      </c>
    </row>
    <row r="98" spans="5:5" x14ac:dyDescent="0.2">
      <c r="E98" s="3" t="s">
        <v>219</v>
      </c>
    </row>
    <row r="99" spans="5:5" x14ac:dyDescent="0.2">
      <c r="E99" s="3" t="s">
        <v>220</v>
      </c>
    </row>
    <row r="100" spans="5:5" x14ac:dyDescent="0.2">
      <c r="E100" s="3" t="s">
        <v>221</v>
      </c>
    </row>
    <row r="101" spans="5:5" x14ac:dyDescent="0.2">
      <c r="E101" s="3" t="s">
        <v>222</v>
      </c>
    </row>
    <row r="102" spans="5:5" x14ac:dyDescent="0.2">
      <c r="E102" s="3" t="s">
        <v>223</v>
      </c>
    </row>
    <row r="103" spans="5:5" x14ac:dyDescent="0.2">
      <c r="E103" s="3" t="s">
        <v>224</v>
      </c>
    </row>
    <row r="104" spans="5:5" x14ac:dyDescent="0.2">
      <c r="E104" s="3" t="s">
        <v>225</v>
      </c>
    </row>
    <row r="105" spans="5:5" x14ac:dyDescent="0.2">
      <c r="E105" s="3" t="s">
        <v>226</v>
      </c>
    </row>
    <row r="106" spans="5:5" x14ac:dyDescent="0.2">
      <c r="E106" s="3" t="s">
        <v>227</v>
      </c>
    </row>
    <row r="107" spans="5:5" x14ac:dyDescent="0.2">
      <c r="E107" s="3" t="s">
        <v>228</v>
      </c>
    </row>
    <row r="108" spans="5:5" x14ac:dyDescent="0.2">
      <c r="E108" s="3" t="s">
        <v>229</v>
      </c>
    </row>
    <row r="109" spans="5:5" x14ac:dyDescent="0.2">
      <c r="E109" s="3" t="s">
        <v>230</v>
      </c>
    </row>
    <row r="110" spans="5:5" x14ac:dyDescent="0.2">
      <c r="E110" s="3" t="s">
        <v>231</v>
      </c>
    </row>
    <row r="111" spans="5:5" x14ac:dyDescent="0.2">
      <c r="E111" s="3" t="s">
        <v>232</v>
      </c>
    </row>
    <row r="112" spans="5:5" x14ac:dyDescent="0.2">
      <c r="E112" s="3" t="s">
        <v>233</v>
      </c>
    </row>
    <row r="113" spans="5:5" x14ac:dyDescent="0.2">
      <c r="E113" s="3" t="s">
        <v>234</v>
      </c>
    </row>
    <row r="114" spans="5:5" x14ac:dyDescent="0.2">
      <c r="E114" s="3" t="s">
        <v>235</v>
      </c>
    </row>
    <row r="115" spans="5:5" x14ac:dyDescent="0.2">
      <c r="E115" s="3" t="s">
        <v>236</v>
      </c>
    </row>
    <row r="116" spans="5:5" x14ac:dyDescent="0.2">
      <c r="E116" s="3" t="s">
        <v>237</v>
      </c>
    </row>
    <row r="117" spans="5:5" x14ac:dyDescent="0.2">
      <c r="E117" s="3" t="s">
        <v>238</v>
      </c>
    </row>
    <row r="118" spans="5:5" x14ac:dyDescent="0.2">
      <c r="E118" s="3" t="s">
        <v>239</v>
      </c>
    </row>
    <row r="119" spans="5:5" x14ac:dyDescent="0.2">
      <c r="E119" s="3" t="s">
        <v>240</v>
      </c>
    </row>
    <row r="120" spans="5:5" x14ac:dyDescent="0.2">
      <c r="E120" s="3" t="s">
        <v>241</v>
      </c>
    </row>
    <row r="121" spans="5:5" x14ac:dyDescent="0.2">
      <c r="E121" s="3" t="s">
        <v>242</v>
      </c>
    </row>
    <row r="122" spans="5:5" x14ac:dyDescent="0.2">
      <c r="E122" s="3" t="s">
        <v>243</v>
      </c>
    </row>
    <row r="123" spans="5:5" x14ac:dyDescent="0.2">
      <c r="E123" s="3" t="s">
        <v>244</v>
      </c>
    </row>
    <row r="124" spans="5:5" x14ac:dyDescent="0.2">
      <c r="E124" s="3" t="s">
        <v>245</v>
      </c>
    </row>
    <row r="125" spans="5:5" x14ac:dyDescent="0.2">
      <c r="E125" s="3" t="s">
        <v>246</v>
      </c>
    </row>
    <row r="126" spans="5:5" x14ac:dyDescent="0.2">
      <c r="E126" s="3" t="s">
        <v>247</v>
      </c>
    </row>
    <row r="127" spans="5:5" x14ac:dyDescent="0.2">
      <c r="E127" s="3" t="s">
        <v>248</v>
      </c>
    </row>
    <row r="128" spans="5:5" x14ac:dyDescent="0.2">
      <c r="E128" s="3" t="s">
        <v>305</v>
      </c>
    </row>
    <row r="129" spans="5:5" x14ac:dyDescent="0.2">
      <c r="E129" s="3" t="s">
        <v>249</v>
      </c>
    </row>
    <row r="130" spans="5:5" x14ac:dyDescent="0.2">
      <c r="E130" s="3" t="s">
        <v>169</v>
      </c>
    </row>
    <row r="131" spans="5:5" x14ac:dyDescent="0.2">
      <c r="E131" s="3" t="s">
        <v>250</v>
      </c>
    </row>
    <row r="132" spans="5:5" x14ac:dyDescent="0.2">
      <c r="E132" s="3" t="s">
        <v>170</v>
      </c>
    </row>
    <row r="133" spans="5:5" x14ac:dyDescent="0.2">
      <c r="E133" s="3" t="s">
        <v>251</v>
      </c>
    </row>
    <row r="134" spans="5:5" x14ac:dyDescent="0.2">
      <c r="E134" s="3" t="s">
        <v>147</v>
      </c>
    </row>
    <row r="135" spans="5:5" x14ac:dyDescent="0.2">
      <c r="E135" s="3" t="s">
        <v>252</v>
      </c>
    </row>
    <row r="136" spans="5:5" x14ac:dyDescent="0.2">
      <c r="E136" s="3" t="s">
        <v>140</v>
      </c>
    </row>
    <row r="137" spans="5:5" x14ac:dyDescent="0.2">
      <c r="E137" s="3" t="s">
        <v>141</v>
      </c>
    </row>
    <row r="138" spans="5:5" x14ac:dyDescent="0.2">
      <c r="E138" s="3" t="s">
        <v>319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09"/>
  <sheetViews>
    <sheetView zoomScale="90" zoomScaleNormal="90" workbookViewId="0">
      <selection activeCell="Q105" sqref="Q105"/>
    </sheetView>
  </sheetViews>
  <sheetFormatPr defaultRowHeight="14.25" x14ac:dyDescent="0.2"/>
  <cols>
    <col min="1" max="1" width="9.140625" style="82"/>
    <col min="2" max="2" width="14.85546875" style="82" bestFit="1" customWidth="1"/>
    <col min="3" max="16384" width="9.140625" style="82"/>
  </cols>
  <sheetData>
    <row r="2" spans="2:10" s="84" customFormat="1" x14ac:dyDescent="0.2">
      <c r="B2" s="84" t="s">
        <v>285</v>
      </c>
      <c r="G2" s="84" t="s">
        <v>286</v>
      </c>
    </row>
    <row r="3" spans="2:10" x14ac:dyDescent="0.2">
      <c r="B3" s="12">
        <v>1</v>
      </c>
      <c r="C3" s="12">
        <v>2</v>
      </c>
      <c r="D3" s="12">
        <v>3</v>
      </c>
      <c r="E3" s="12">
        <v>4</v>
      </c>
      <c r="G3" s="12">
        <f>B3+2</f>
        <v>3</v>
      </c>
      <c r="H3" s="12">
        <f t="shared" ref="H3:J3" si="0">C3+2</f>
        <v>4</v>
      </c>
      <c r="I3" s="12">
        <f t="shared" si="0"/>
        <v>5</v>
      </c>
      <c r="J3" s="12">
        <f t="shared" si="0"/>
        <v>6</v>
      </c>
    </row>
    <row r="4" spans="2:10" x14ac:dyDescent="0.2">
      <c r="B4" s="12">
        <v>5</v>
      </c>
      <c r="C4" s="12">
        <v>6</v>
      </c>
      <c r="D4" s="12">
        <v>7</v>
      </c>
      <c r="E4" s="12">
        <v>8</v>
      </c>
      <c r="G4" s="12">
        <f t="shared" ref="G4:G8" si="1">B4+2</f>
        <v>7</v>
      </c>
      <c r="H4" s="12">
        <f t="shared" ref="H4:H8" si="2">C4+2</f>
        <v>8</v>
      </c>
      <c r="I4" s="12">
        <f t="shared" ref="I4:I8" si="3">D4+2</f>
        <v>9</v>
      </c>
      <c r="J4" s="12">
        <f t="shared" ref="J4:J8" si="4">E4+2</f>
        <v>10</v>
      </c>
    </row>
    <row r="5" spans="2:10" x14ac:dyDescent="0.2">
      <c r="B5" s="12">
        <v>9</v>
      </c>
      <c r="C5" s="12">
        <v>10</v>
      </c>
      <c r="D5" s="12">
        <v>11</v>
      </c>
      <c r="E5" s="12">
        <v>12</v>
      </c>
      <c r="G5" s="12">
        <f t="shared" si="1"/>
        <v>11</v>
      </c>
      <c r="H5" s="12">
        <f t="shared" si="2"/>
        <v>12</v>
      </c>
      <c r="I5" s="12">
        <f t="shared" si="3"/>
        <v>13</v>
      </c>
      <c r="J5" s="12">
        <f t="shared" si="4"/>
        <v>14</v>
      </c>
    </row>
    <row r="6" spans="2:10" x14ac:dyDescent="0.2">
      <c r="B6" s="12">
        <v>13</v>
      </c>
      <c r="C6" s="12">
        <v>14</v>
      </c>
      <c r="D6" s="12">
        <v>15</v>
      </c>
      <c r="E6" s="12">
        <v>16</v>
      </c>
      <c r="G6" s="12">
        <f t="shared" si="1"/>
        <v>15</v>
      </c>
      <c r="H6" s="12">
        <f t="shared" si="2"/>
        <v>16</v>
      </c>
      <c r="I6" s="12">
        <f t="shared" si="3"/>
        <v>17</v>
      </c>
      <c r="J6" s="12">
        <f t="shared" si="4"/>
        <v>18</v>
      </c>
    </row>
    <row r="7" spans="2:10" x14ac:dyDescent="0.2">
      <c r="B7" s="12">
        <v>17</v>
      </c>
      <c r="C7" s="12">
        <v>18</v>
      </c>
      <c r="D7" s="12">
        <v>19</v>
      </c>
      <c r="E7" s="12">
        <v>20</v>
      </c>
      <c r="G7" s="12">
        <f t="shared" si="1"/>
        <v>19</v>
      </c>
      <c r="H7" s="12">
        <f t="shared" si="2"/>
        <v>20</v>
      </c>
      <c r="I7" s="12">
        <f t="shared" si="3"/>
        <v>21</v>
      </c>
      <c r="J7" s="12">
        <f t="shared" si="4"/>
        <v>22</v>
      </c>
    </row>
    <row r="8" spans="2:10" x14ac:dyDescent="0.2">
      <c r="B8" s="12">
        <v>21</v>
      </c>
      <c r="C8" s="12">
        <v>22</v>
      </c>
      <c r="D8" s="12">
        <v>23</v>
      </c>
      <c r="E8" s="12">
        <v>24</v>
      </c>
      <c r="G8" s="12">
        <f t="shared" si="1"/>
        <v>23</v>
      </c>
      <c r="H8" s="12">
        <f t="shared" si="2"/>
        <v>24</v>
      </c>
      <c r="I8" s="12">
        <f t="shared" si="3"/>
        <v>25</v>
      </c>
      <c r="J8" s="12">
        <f t="shared" si="4"/>
        <v>26</v>
      </c>
    </row>
    <row r="10" spans="2:10" x14ac:dyDescent="0.2">
      <c r="B10" s="83" t="s">
        <v>273</v>
      </c>
    </row>
    <row r="11" spans="2:10" x14ac:dyDescent="0.2">
      <c r="B11" s="12">
        <f t="array" ref="B11:E16">_xll.QMAResize(_xll.QMAMatrixAddMatrix(B3:E8,G3:J8))</f>
        <v>4</v>
      </c>
      <c r="C11" s="12">
        <v>6</v>
      </c>
      <c r="D11" s="12">
        <v>8</v>
      </c>
      <c r="E11" s="12">
        <v>10</v>
      </c>
    </row>
    <row r="12" spans="2:10" x14ac:dyDescent="0.2">
      <c r="B12" s="12">
        <v>12</v>
      </c>
      <c r="C12" s="12">
        <v>14</v>
      </c>
      <c r="D12" s="12">
        <v>16</v>
      </c>
      <c r="E12" s="12">
        <v>18</v>
      </c>
    </row>
    <row r="13" spans="2:10" x14ac:dyDescent="0.2">
      <c r="B13" s="12">
        <v>20</v>
      </c>
      <c r="C13" s="12">
        <v>22</v>
      </c>
      <c r="D13" s="12">
        <v>24</v>
      </c>
      <c r="E13" s="12">
        <v>26</v>
      </c>
    </row>
    <row r="14" spans="2:10" x14ac:dyDescent="0.2">
      <c r="B14" s="12">
        <v>28</v>
      </c>
      <c r="C14" s="12">
        <v>30</v>
      </c>
      <c r="D14" s="12">
        <v>32</v>
      </c>
      <c r="E14" s="12">
        <v>34</v>
      </c>
    </row>
    <row r="15" spans="2:10" x14ac:dyDescent="0.2">
      <c r="B15" s="12">
        <v>36</v>
      </c>
      <c r="C15" s="12">
        <v>38</v>
      </c>
      <c r="D15" s="12">
        <v>40</v>
      </c>
      <c r="E15" s="12">
        <v>42</v>
      </c>
    </row>
    <row r="16" spans="2:10" x14ac:dyDescent="0.2">
      <c r="B16" s="12">
        <v>44</v>
      </c>
      <c r="C16" s="12">
        <v>46</v>
      </c>
      <c r="D16" s="12">
        <v>48</v>
      </c>
      <c r="E16" s="12">
        <v>50</v>
      </c>
    </row>
    <row r="18" spans="2:6" x14ac:dyDescent="0.2">
      <c r="B18" s="83" t="s">
        <v>274</v>
      </c>
      <c r="D18" s="82">
        <v>2</v>
      </c>
    </row>
    <row r="19" spans="2:6" x14ac:dyDescent="0.2">
      <c r="B19" s="12">
        <f t="array" ref="B19:E24">_xll.QMAResize(_xll.QMAMatrixAddScalar(B3:E8,D18))</f>
        <v>3</v>
      </c>
      <c r="C19" s="12">
        <v>4</v>
      </c>
      <c r="D19" s="12">
        <v>5</v>
      </c>
      <c r="E19" s="12">
        <v>6</v>
      </c>
    </row>
    <row r="20" spans="2:6" x14ac:dyDescent="0.2">
      <c r="B20" s="12">
        <v>7</v>
      </c>
      <c r="C20" s="12">
        <v>8</v>
      </c>
      <c r="D20" s="12">
        <v>9</v>
      </c>
      <c r="E20" s="12">
        <v>10</v>
      </c>
    </row>
    <row r="21" spans="2:6" x14ac:dyDescent="0.2">
      <c r="B21" s="12">
        <v>11</v>
      </c>
      <c r="C21" s="12">
        <v>12</v>
      </c>
      <c r="D21" s="12">
        <v>13</v>
      </c>
      <c r="E21" s="12">
        <v>14</v>
      </c>
    </row>
    <row r="22" spans="2:6" x14ac:dyDescent="0.2">
      <c r="B22" s="12">
        <v>15</v>
      </c>
      <c r="C22" s="12">
        <v>16</v>
      </c>
      <c r="D22" s="12">
        <v>17</v>
      </c>
      <c r="E22" s="12">
        <v>18</v>
      </c>
    </row>
    <row r="23" spans="2:6" x14ac:dyDescent="0.2">
      <c r="B23" s="12">
        <v>19</v>
      </c>
      <c r="C23" s="12">
        <v>20</v>
      </c>
      <c r="D23" s="12">
        <v>21</v>
      </c>
      <c r="E23" s="12">
        <v>22</v>
      </c>
    </row>
    <row r="24" spans="2:6" x14ac:dyDescent="0.2">
      <c r="B24" s="12">
        <v>23</v>
      </c>
      <c r="C24" s="12">
        <v>24</v>
      </c>
      <c r="D24" s="12">
        <v>25</v>
      </c>
      <c r="E24" s="12">
        <v>26</v>
      </c>
    </row>
    <row r="26" spans="2:6" x14ac:dyDescent="0.2">
      <c r="B26" s="83" t="s">
        <v>275</v>
      </c>
    </row>
    <row r="27" spans="2:6" x14ac:dyDescent="0.2">
      <c r="B27" s="82">
        <f>_xll.QMAMatrixConditionNumber(B3:E8)</f>
        <v>5.8774624058563696E+16</v>
      </c>
    </row>
    <row r="29" spans="2:6" x14ac:dyDescent="0.2">
      <c r="B29" s="83" t="s">
        <v>276</v>
      </c>
      <c r="E29" s="12">
        <v>3</v>
      </c>
      <c r="F29" s="12">
        <v>8</v>
      </c>
    </row>
    <row r="30" spans="2:6" x14ac:dyDescent="0.2">
      <c r="B30" s="12">
        <f>_xll.QMAMatrixDeterminant(E29:F30)</f>
        <v>-14</v>
      </c>
      <c r="D30" s="82">
        <f>E29*F30-F29*E30</f>
        <v>-14</v>
      </c>
      <c r="E30" s="12">
        <v>4</v>
      </c>
      <c r="F30" s="12">
        <v>6</v>
      </c>
    </row>
    <row r="32" spans="2:6" x14ac:dyDescent="0.2">
      <c r="B32" s="83" t="s">
        <v>277</v>
      </c>
    </row>
    <row r="33" spans="2:3" x14ac:dyDescent="0.2">
      <c r="B33" s="12">
        <f t="array" ref="B33:C33">_xll.QMAResize(_xll.QMAMatrixEigenValues(E29:F30))</f>
        <v>-1.3523499553598128</v>
      </c>
      <c r="C33" s="12">
        <v>10.352349955359813</v>
      </c>
    </row>
    <row r="35" spans="2:3" x14ac:dyDescent="0.2">
      <c r="B35" s="83" t="s">
        <v>278</v>
      </c>
    </row>
    <row r="36" spans="2:3" x14ac:dyDescent="0.2">
      <c r="B36" s="12">
        <f t="array" ref="B36:C37">_xll.QMAResize(_xll.QMAMatrixEigenVectors(E29:F30))</f>
        <v>-0.87841602046357004</v>
      </c>
      <c r="C36" s="12">
        <v>-0.77808932242914897</v>
      </c>
    </row>
    <row r="37" spans="2:3" x14ac:dyDescent="0.2">
      <c r="B37" s="12">
        <v>0.47789674093149537</v>
      </c>
      <c r="C37" s="12">
        <v>-0.71509812437848763</v>
      </c>
    </row>
    <row r="39" spans="2:3" x14ac:dyDescent="0.2">
      <c r="B39" s="83" t="s">
        <v>279</v>
      </c>
    </row>
    <row r="40" spans="2:3" x14ac:dyDescent="0.2">
      <c r="B40" s="12">
        <f>_xll.QMAMatrixFrobeniusNorm(B3:E8)</f>
        <v>70</v>
      </c>
    </row>
    <row r="42" spans="2:3" x14ac:dyDescent="0.2">
      <c r="B42" s="83" t="s">
        <v>280</v>
      </c>
    </row>
    <row r="43" spans="2:3" x14ac:dyDescent="0.2">
      <c r="B43" s="12">
        <f>_xll.QMAMatrixInfinityNorm(B3:E8)</f>
        <v>90</v>
      </c>
    </row>
    <row r="45" spans="2:3" x14ac:dyDescent="0.2">
      <c r="B45" s="86" t="s">
        <v>281</v>
      </c>
    </row>
    <row r="46" spans="2:3" x14ac:dyDescent="0.2">
      <c r="B46" s="12">
        <f t="array" ref="B46:C47">_xll.QMAResize(_xll.QMAMatrixInvert(E29:F30))</f>
        <v>-0.42857142857142855</v>
      </c>
      <c r="C46" s="12">
        <v>0.5714285714285714</v>
      </c>
    </row>
    <row r="47" spans="2:3" x14ac:dyDescent="0.2">
      <c r="B47" s="12">
        <v>0.2857142857142857</v>
      </c>
      <c r="C47" s="12">
        <v>-0.21428571428571427</v>
      </c>
    </row>
    <row r="49" spans="2:5" x14ac:dyDescent="0.2">
      <c r="B49" s="83" t="s">
        <v>282</v>
      </c>
    </row>
    <row r="50" spans="2:5" x14ac:dyDescent="0.2">
      <c r="B50" s="12">
        <f t="array" ref="B50:E53">_xll.QMAResize(_xll.QMAMatrixKroneckerProduct(E29:F30,E29:F30))</f>
        <v>9</v>
      </c>
      <c r="C50" s="12">
        <v>24</v>
      </c>
      <c r="D50" s="12">
        <v>24</v>
      </c>
      <c r="E50" s="12">
        <v>64</v>
      </c>
    </row>
    <row r="51" spans="2:5" x14ac:dyDescent="0.2">
      <c r="B51" s="12">
        <v>12</v>
      </c>
      <c r="C51" s="12">
        <v>18</v>
      </c>
      <c r="D51" s="12">
        <v>32</v>
      </c>
      <c r="E51" s="12">
        <v>48</v>
      </c>
    </row>
    <row r="52" spans="2:5" x14ac:dyDescent="0.2">
      <c r="B52" s="12">
        <v>12</v>
      </c>
      <c r="C52" s="12">
        <v>32</v>
      </c>
      <c r="D52" s="12">
        <v>18</v>
      </c>
      <c r="E52" s="12">
        <v>48</v>
      </c>
    </row>
    <row r="53" spans="2:5" x14ac:dyDescent="0.2">
      <c r="B53" s="12">
        <v>16</v>
      </c>
      <c r="C53" s="12">
        <v>24</v>
      </c>
      <c r="D53" s="12">
        <v>24</v>
      </c>
      <c r="E53" s="12">
        <v>36</v>
      </c>
    </row>
    <row r="55" spans="2:5" x14ac:dyDescent="0.2">
      <c r="B55" s="83" t="s">
        <v>283</v>
      </c>
    </row>
    <row r="56" spans="2:5" x14ac:dyDescent="0.2">
      <c r="B56" s="12">
        <f>_xll.QMAMatrixL1Norm(E29:F30)</f>
        <v>14</v>
      </c>
    </row>
    <row r="58" spans="2:5" x14ac:dyDescent="0.2">
      <c r="B58" s="83" t="s">
        <v>284</v>
      </c>
    </row>
    <row r="59" spans="2:5" x14ac:dyDescent="0.2">
      <c r="B59" s="12">
        <f>_xll.QMAMatrixL2Norm(E29:F30)</f>
        <v>11.109087339324546</v>
      </c>
    </row>
    <row r="61" spans="2:5" x14ac:dyDescent="0.2">
      <c r="B61" s="83" t="s">
        <v>287</v>
      </c>
      <c r="D61" s="82">
        <v>2</v>
      </c>
    </row>
    <row r="62" spans="2:5" x14ac:dyDescent="0.2">
      <c r="B62" s="12">
        <f t="array" ref="B62:E67">_xll.QMAResize(_xll.QMAMatrixModulus(B3:E8,D61))</f>
        <v>1</v>
      </c>
      <c r="C62" s="12">
        <v>0</v>
      </c>
      <c r="D62" s="12">
        <v>1</v>
      </c>
      <c r="E62" s="12">
        <v>0</v>
      </c>
    </row>
    <row r="63" spans="2:5" x14ac:dyDescent="0.2">
      <c r="B63" s="12">
        <v>1</v>
      </c>
      <c r="C63" s="12">
        <v>0</v>
      </c>
      <c r="D63" s="12">
        <v>1</v>
      </c>
      <c r="E63" s="12">
        <v>0</v>
      </c>
    </row>
    <row r="64" spans="2:5" x14ac:dyDescent="0.2">
      <c r="B64" s="12">
        <v>1</v>
      </c>
      <c r="C64" s="12">
        <v>0</v>
      </c>
      <c r="D64" s="12">
        <v>1</v>
      </c>
      <c r="E64" s="12">
        <v>0</v>
      </c>
    </row>
    <row r="65" spans="2:5" x14ac:dyDescent="0.2">
      <c r="B65" s="12">
        <v>1</v>
      </c>
      <c r="C65" s="12">
        <v>0</v>
      </c>
      <c r="D65" s="12">
        <v>1</v>
      </c>
      <c r="E65" s="12">
        <v>0</v>
      </c>
    </row>
    <row r="66" spans="2:5" x14ac:dyDescent="0.2">
      <c r="B66" s="12">
        <v>1</v>
      </c>
      <c r="C66" s="12">
        <v>0</v>
      </c>
      <c r="D66" s="12">
        <v>1</v>
      </c>
      <c r="E66" s="12">
        <v>0</v>
      </c>
    </row>
    <row r="67" spans="2:5" x14ac:dyDescent="0.2">
      <c r="B67" s="12">
        <v>1</v>
      </c>
      <c r="C67" s="12">
        <v>0</v>
      </c>
      <c r="D67" s="12">
        <v>1</v>
      </c>
      <c r="E67" s="12">
        <v>0</v>
      </c>
    </row>
    <row r="69" spans="2:5" x14ac:dyDescent="0.2">
      <c r="B69" s="83" t="s">
        <v>288</v>
      </c>
    </row>
    <row r="70" spans="2:5" x14ac:dyDescent="0.2">
      <c r="B70" s="12">
        <f t="array" ref="B70:C71">_xll.QMAResize(_xll.QMAMatrixMultiply(E29:F30,E29:F30))</f>
        <v>41</v>
      </c>
      <c r="C70" s="12">
        <v>72</v>
      </c>
    </row>
    <row r="71" spans="2:5" x14ac:dyDescent="0.2">
      <c r="B71" s="12">
        <v>36</v>
      </c>
      <c r="C71" s="12">
        <v>68</v>
      </c>
    </row>
    <row r="73" spans="2:5" x14ac:dyDescent="0.2">
      <c r="B73" s="83" t="s">
        <v>289</v>
      </c>
      <c r="D73" s="82">
        <v>2</v>
      </c>
    </row>
    <row r="74" spans="2:5" x14ac:dyDescent="0.2">
      <c r="B74" s="12">
        <f t="array" ref="B74:C75">_xll.QMAResize(_xll.QMAMatrixMultiplyScalar(E29:F30,D73))</f>
        <v>6</v>
      </c>
      <c r="C74" s="12">
        <v>16</v>
      </c>
    </row>
    <row r="75" spans="2:5" x14ac:dyDescent="0.2">
      <c r="B75" s="12">
        <v>8</v>
      </c>
      <c r="C75" s="12">
        <v>12</v>
      </c>
    </row>
    <row r="77" spans="2:5" x14ac:dyDescent="0.2">
      <c r="B77" s="83" t="s">
        <v>290</v>
      </c>
    </row>
    <row r="78" spans="2:5" x14ac:dyDescent="0.2">
      <c r="B78" s="12">
        <f t="array" ref="B78:C78">_xll.QMAResize(_xll.QMAMatrixMultiplyVector(E29:F30,E29:E30))</f>
        <v>41</v>
      </c>
      <c r="C78" s="12">
        <v>36</v>
      </c>
    </row>
    <row r="80" spans="2:5" x14ac:dyDescent="0.2">
      <c r="B80" s="83" t="s">
        <v>291</v>
      </c>
    </row>
    <row r="81" spans="2:5" x14ac:dyDescent="0.2">
      <c r="B81" s="12">
        <f>_xll.QMAMatrixNullity(B3:E8)</f>
        <v>0</v>
      </c>
    </row>
    <row r="83" spans="2:5" x14ac:dyDescent="0.2">
      <c r="B83" s="83" t="s">
        <v>292</v>
      </c>
    </row>
    <row r="84" spans="2:5" x14ac:dyDescent="0.2">
      <c r="B84" s="12">
        <f>_xll.QMAMatrixRank(B3:E8)</f>
        <v>4</v>
      </c>
    </row>
    <row r="86" spans="2:5" x14ac:dyDescent="0.2">
      <c r="B86" s="83" t="s">
        <v>293</v>
      </c>
    </row>
    <row r="87" spans="2:5" x14ac:dyDescent="0.2">
      <c r="B87" s="12">
        <f t="array" ref="B87:E92">_xll.QMAResize(_xll.QMAMatrixSubtract(B3:E8,G3:J8))</f>
        <v>-2</v>
      </c>
      <c r="C87" s="12">
        <v>-2</v>
      </c>
      <c r="D87" s="12">
        <v>-2</v>
      </c>
      <c r="E87" s="12">
        <v>-2</v>
      </c>
    </row>
    <row r="88" spans="2:5" x14ac:dyDescent="0.2">
      <c r="B88" s="12">
        <v>-2</v>
      </c>
      <c r="C88" s="12">
        <v>-2</v>
      </c>
      <c r="D88" s="12">
        <v>-2</v>
      </c>
      <c r="E88" s="12">
        <v>-2</v>
      </c>
    </row>
    <row r="89" spans="2:5" x14ac:dyDescent="0.2">
      <c r="B89" s="12">
        <v>-2</v>
      </c>
      <c r="C89" s="12">
        <v>-2</v>
      </c>
      <c r="D89" s="12">
        <v>-2</v>
      </c>
      <c r="E89" s="12">
        <v>-2</v>
      </c>
    </row>
    <row r="90" spans="2:5" x14ac:dyDescent="0.2">
      <c r="B90" s="12">
        <v>-2</v>
      </c>
      <c r="C90" s="12">
        <v>-2</v>
      </c>
      <c r="D90" s="12">
        <v>-2</v>
      </c>
      <c r="E90" s="12">
        <v>-2</v>
      </c>
    </row>
    <row r="91" spans="2:5" x14ac:dyDescent="0.2">
      <c r="B91" s="12">
        <v>-2</v>
      </c>
      <c r="C91" s="12">
        <v>-2</v>
      </c>
      <c r="D91" s="12">
        <v>-2</v>
      </c>
      <c r="E91" s="12">
        <v>-2</v>
      </c>
    </row>
    <row r="92" spans="2:5" x14ac:dyDescent="0.2">
      <c r="B92" s="12">
        <v>-2</v>
      </c>
      <c r="C92" s="12">
        <v>-2</v>
      </c>
      <c r="D92" s="12">
        <v>-2</v>
      </c>
      <c r="E92" s="12">
        <v>-2</v>
      </c>
    </row>
    <row r="94" spans="2:5" x14ac:dyDescent="0.2">
      <c r="B94" s="83" t="s">
        <v>294</v>
      </c>
      <c r="D94" s="82">
        <v>2</v>
      </c>
    </row>
    <row r="95" spans="2:5" x14ac:dyDescent="0.2">
      <c r="B95" s="12">
        <f t="array" ref="B95:E100">_xll.QMAResize(_xll.QMAMatrixSubtractScalar(B3:E8,D94))</f>
        <v>-1</v>
      </c>
      <c r="C95" s="12">
        <v>0</v>
      </c>
      <c r="D95" s="12">
        <v>1</v>
      </c>
      <c r="E95" s="12">
        <v>2</v>
      </c>
    </row>
    <row r="96" spans="2:5" x14ac:dyDescent="0.2">
      <c r="B96" s="12">
        <v>3</v>
      </c>
      <c r="C96" s="12">
        <v>4</v>
      </c>
      <c r="D96" s="12">
        <v>5</v>
      </c>
      <c r="E96" s="12">
        <v>6</v>
      </c>
    </row>
    <row r="97" spans="2:5" x14ac:dyDescent="0.2">
      <c r="B97" s="12">
        <v>7</v>
      </c>
      <c r="C97" s="12">
        <v>8</v>
      </c>
      <c r="D97" s="12">
        <v>9</v>
      </c>
      <c r="E97" s="12">
        <v>10</v>
      </c>
    </row>
    <row r="98" spans="2:5" x14ac:dyDescent="0.2">
      <c r="B98" s="12">
        <v>11</v>
      </c>
      <c r="C98" s="12">
        <v>12</v>
      </c>
      <c r="D98" s="12">
        <v>13</v>
      </c>
      <c r="E98" s="12">
        <v>14</v>
      </c>
    </row>
    <row r="99" spans="2:5" x14ac:dyDescent="0.2">
      <c r="B99" s="12">
        <v>15</v>
      </c>
      <c r="C99" s="12">
        <v>16</v>
      </c>
      <c r="D99" s="12">
        <v>17</v>
      </c>
      <c r="E99" s="12">
        <v>18</v>
      </c>
    </row>
    <row r="100" spans="2:5" x14ac:dyDescent="0.2">
      <c r="B100" s="12">
        <v>19</v>
      </c>
      <c r="C100" s="12">
        <v>20</v>
      </c>
      <c r="D100" s="12">
        <v>21</v>
      </c>
      <c r="E100" s="12">
        <v>22</v>
      </c>
    </row>
    <row r="102" spans="2:5" x14ac:dyDescent="0.2">
      <c r="B102" s="83" t="s">
        <v>295</v>
      </c>
    </row>
    <row r="103" spans="2:5" x14ac:dyDescent="0.2">
      <c r="B103" s="12">
        <f>_xll.QMAMatrixTrace(E29:F30)</f>
        <v>9</v>
      </c>
    </row>
    <row r="105" spans="2:5" x14ac:dyDescent="0.2">
      <c r="B105" s="83" t="s">
        <v>296</v>
      </c>
    </row>
    <row r="106" spans="2:5" x14ac:dyDescent="0.2">
      <c r="B106" s="12">
        <f t="array" ref="B106:E109">_xll.QMAResize(_xll.QMAMatrixTransposeThisAndMultiply(B3:E8,G3:J8))</f>
        <v>1138</v>
      </c>
      <c r="C106" s="12">
        <v>1204</v>
      </c>
      <c r="D106" s="12">
        <v>1270</v>
      </c>
      <c r="E106" s="12">
        <v>1336</v>
      </c>
    </row>
    <row r="107" spans="2:5" x14ac:dyDescent="0.2">
      <c r="B107" s="12">
        <v>1216</v>
      </c>
      <c r="C107" s="12">
        <v>1288</v>
      </c>
      <c r="D107" s="12">
        <v>1360</v>
      </c>
      <c r="E107" s="12">
        <v>1432</v>
      </c>
    </row>
    <row r="108" spans="2:5" x14ac:dyDescent="0.2">
      <c r="B108" s="12">
        <v>1294</v>
      </c>
      <c r="C108" s="12">
        <v>1372</v>
      </c>
      <c r="D108" s="12">
        <v>1450</v>
      </c>
      <c r="E108" s="12">
        <v>1528</v>
      </c>
    </row>
    <row r="109" spans="2:5" x14ac:dyDescent="0.2">
      <c r="B109" s="12">
        <v>1372</v>
      </c>
      <c r="C109" s="12">
        <v>1456</v>
      </c>
      <c r="D109" s="12">
        <v>1540</v>
      </c>
      <c r="E109" s="12">
        <v>1624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F2612"/>
  <sheetViews>
    <sheetView tabSelected="1" zoomScale="75" zoomScaleNormal="75" workbookViewId="0">
      <selection activeCell="E16" sqref="E16"/>
    </sheetView>
  </sheetViews>
  <sheetFormatPr defaultRowHeight="14.25" x14ac:dyDescent="0.2"/>
  <cols>
    <col min="1" max="1" width="4.140625" style="85" customWidth="1"/>
    <col min="2" max="2" width="16.28515625" style="85" bestFit="1" customWidth="1"/>
    <col min="3" max="3" width="19.42578125" style="85" bestFit="1" customWidth="1"/>
    <col min="4" max="4" width="9.140625" style="85"/>
    <col min="5" max="5" width="17.140625" style="85" bestFit="1" customWidth="1"/>
    <col min="6" max="6" width="19.7109375" style="85" bestFit="1" customWidth="1"/>
    <col min="7" max="7" width="11.7109375" style="85" bestFit="1" customWidth="1"/>
    <col min="8" max="8" width="14.42578125" style="85" bestFit="1" customWidth="1"/>
    <col min="9" max="9" width="7.5703125" style="85" bestFit="1" customWidth="1"/>
    <col min="10" max="10" width="10.42578125" style="85" bestFit="1" customWidth="1"/>
    <col min="11" max="11" width="13.85546875" style="93" bestFit="1" customWidth="1"/>
    <col min="12" max="12" width="13.85546875" style="96" customWidth="1"/>
    <col min="13" max="13" width="13.85546875" style="95" bestFit="1" customWidth="1"/>
    <col min="14" max="14" width="9.140625" style="85"/>
    <col min="15" max="15" width="13.140625" style="85" customWidth="1"/>
    <col min="16" max="16" width="3.42578125" style="85" customWidth="1"/>
    <col min="17" max="17" width="12" style="85" bestFit="1" customWidth="1"/>
    <col min="18" max="18" width="35" style="85" bestFit="1" customWidth="1"/>
    <col min="19" max="19" width="4.42578125" style="85" customWidth="1"/>
    <col min="20" max="20" width="7.42578125" style="85" bestFit="1" customWidth="1"/>
    <col min="21" max="21" width="9.28515625" style="85" bestFit="1" customWidth="1"/>
    <col min="22" max="22" width="15.5703125" style="85" bestFit="1" customWidth="1"/>
    <col min="23" max="23" width="16.140625" style="85" bestFit="1" customWidth="1"/>
    <col min="24" max="29" width="9.140625" style="85"/>
    <col min="30" max="30" width="12.140625" style="85" bestFit="1" customWidth="1"/>
    <col min="31" max="31" width="11.5703125" style="85" bestFit="1" customWidth="1"/>
    <col min="32" max="32" width="13.85546875" style="85" bestFit="1" customWidth="1"/>
    <col min="33" max="16384" width="9.140625" style="85"/>
  </cols>
  <sheetData>
    <row r="2" spans="2:32" ht="15" x14ac:dyDescent="0.25">
      <c r="B2" s="85" t="s">
        <v>68</v>
      </c>
      <c r="C2" s="85" t="s">
        <v>102</v>
      </c>
      <c r="E2" s="12" t="s">
        <v>52</v>
      </c>
      <c r="F2" s="12" t="s">
        <v>53</v>
      </c>
      <c r="G2" s="12" t="s">
        <v>49</v>
      </c>
      <c r="H2" s="12" t="s">
        <v>103</v>
      </c>
      <c r="I2" s="12" t="s">
        <v>9</v>
      </c>
      <c r="J2" s="12" t="s">
        <v>54</v>
      </c>
      <c r="N2" s="15" t="b">
        <v>1</v>
      </c>
      <c r="Q2" s="12" t="s">
        <v>307</v>
      </c>
      <c r="R2" s="94" t="str">
        <f ca="1">_xll.QMACreateBackgroundFittedBondCollection(R3,B9:B48,H9:H48,I9:I48,J9:J48,G9:G48,F9:F48,B3,TRUE,V3:V18)</f>
        <v>AutoFitObject#7</v>
      </c>
      <c r="T2" s="11" t="s">
        <v>104</v>
      </c>
      <c r="U2" s="11" t="s">
        <v>105</v>
      </c>
      <c r="V2" s="11" t="s">
        <v>2</v>
      </c>
      <c r="W2" s="11" t="s">
        <v>316</v>
      </c>
      <c r="Y2" s="12" t="s">
        <v>315</v>
      </c>
      <c r="Z2" s="12" t="str">
        <f ca="1">_xll.QMACreateYieldCurveObject(Y2,V3:V18,W3:W18)</f>
        <v>YCObj#16</v>
      </c>
      <c r="AD2" s="12" t="s">
        <v>314</v>
      </c>
      <c r="AE2" s="12" t="s">
        <v>5</v>
      </c>
      <c r="AF2" s="12" t="s">
        <v>317</v>
      </c>
    </row>
    <row r="3" spans="2:32" x14ac:dyDescent="0.2">
      <c r="B3" s="28">
        <f ca="1">TODAY()</f>
        <v>41985</v>
      </c>
      <c r="C3" s="12" t="str">
        <f>_xll.QMACreateBondRegressionCoeffientsObject(E3,F3,G3,H3,I3,J3)</f>
        <v>AutoFittedCoeffs#1</v>
      </c>
      <c r="E3" s="12" t="s">
        <v>297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N3" s="7" t="b">
        <v>0</v>
      </c>
      <c r="Q3" s="15" t="s">
        <v>306</v>
      </c>
      <c r="R3" s="15" t="s">
        <v>299</v>
      </c>
      <c r="T3" s="88"/>
      <c r="U3" s="88"/>
      <c r="V3" s="89">
        <f ca="1">B3</f>
        <v>41985</v>
      </c>
      <c r="W3" s="6">
        <f ca="1">_xll.QMABackgroundFittedBondCollectionFittedParameters(AutoFitObject)</f>
        <v>0.13799400797645164</v>
      </c>
      <c r="AD3" s="98">
        <f ca="1">(AE3-$B$3)/365.25</f>
        <v>0</v>
      </c>
      <c r="AE3" s="89">
        <f ca="1">B3</f>
        <v>41985</v>
      </c>
      <c r="AF3" s="6">
        <f ca="1">_xll.QMAYieldCurveYields(Z2,AE3:AE2612)</f>
        <v>0.13799400797645164</v>
      </c>
    </row>
    <row r="4" spans="2:32" x14ac:dyDescent="0.2">
      <c r="Q4" s="6" t="s">
        <v>130</v>
      </c>
      <c r="R4" s="6" t="str">
        <f ca="1">_xll.QMABackgroundFittedBondCollectionStatus(AutoFitObject)</f>
        <v>MinimumDeltaValueConverged</v>
      </c>
      <c r="T4" s="90"/>
      <c r="U4" s="90">
        <v>183</v>
      </c>
      <c r="V4" s="89">
        <f t="shared" ref="V4:V18" ca="1" si="0">$V$3+U4</f>
        <v>42168</v>
      </c>
      <c r="W4" s="6">
        <v>0.28651093685148848</v>
      </c>
      <c r="AD4" s="98">
        <f ca="1">(AE4-$B$3)/365.25</f>
        <v>1.9164955509924708E-2</v>
      </c>
      <c r="AE4" s="99">
        <f t="shared" ref="AE4:AE67" ca="1" si="1">AE3+7</f>
        <v>41992</v>
      </c>
      <c r="AF4" s="6">
        <v>0.14375215091990287</v>
      </c>
    </row>
    <row r="5" spans="2:32" x14ac:dyDescent="0.2">
      <c r="B5" s="85" t="s">
        <v>128</v>
      </c>
      <c r="Q5" s="6" t="s">
        <v>301</v>
      </c>
      <c r="R5" s="6">
        <f ca="1">_xll.QMABackgroundFittedBondCollectionNFitLoops(AutoFitObject)</f>
        <v>7</v>
      </c>
      <c r="T5" s="90"/>
      <c r="U5" s="90">
        <v>365</v>
      </c>
      <c r="V5" s="89">
        <f t="shared" ca="1" si="0"/>
        <v>42350</v>
      </c>
      <c r="W5" s="6">
        <v>0.37959847867345381</v>
      </c>
      <c r="AD5" s="98">
        <f t="shared" ref="AD5:AD68" ca="1" si="2">(AE5-$B$3)/365.25</f>
        <v>3.8329911019849415E-2</v>
      </c>
      <c r="AE5" s="99">
        <f t="shared" ca="1" si="1"/>
        <v>41999</v>
      </c>
      <c r="AF5" s="6">
        <v>0.14965105880696236</v>
      </c>
    </row>
    <row r="6" spans="2:32" x14ac:dyDescent="0.2">
      <c r="B6" s="43" t="b">
        <v>1</v>
      </c>
      <c r="N6" s="85" t="s">
        <v>176</v>
      </c>
      <c r="O6" s="85" t="s">
        <v>255</v>
      </c>
      <c r="Q6" s="6" t="s">
        <v>129</v>
      </c>
      <c r="R6" s="6">
        <f ca="1">_xll.QMABackgroundFittedBondCollectionEvals(AutoFitObject)</f>
        <v>19</v>
      </c>
      <c r="T6" s="90">
        <v>2</v>
      </c>
      <c r="U6" s="90">
        <f t="shared" ref="U6:U18" si="3">365.25*T6</f>
        <v>730.5</v>
      </c>
      <c r="V6" s="89">
        <f t="shared" ca="1" si="0"/>
        <v>42715.5</v>
      </c>
      <c r="W6" s="6">
        <v>0.48945801013738632</v>
      </c>
      <c r="AD6" s="98">
        <f t="shared" ca="1" si="2"/>
        <v>5.7494866529774126E-2</v>
      </c>
      <c r="AE6" s="99">
        <f t="shared" ca="1" si="1"/>
        <v>42006</v>
      </c>
      <c r="AF6" s="6">
        <v>0.15566881147911793</v>
      </c>
    </row>
    <row r="7" spans="2:32" x14ac:dyDescent="0.2">
      <c r="C7" s="85" t="s">
        <v>172</v>
      </c>
      <c r="F7" s="85" t="s">
        <v>173</v>
      </c>
      <c r="K7" s="93" t="s">
        <v>312</v>
      </c>
      <c r="N7" s="85">
        <f ca="1">0.5 *SUM(N9:N48)</f>
        <v>0.39420322056196583</v>
      </c>
      <c r="O7" s="85">
        <f ca="1">N7-R7</f>
        <v>0</v>
      </c>
      <c r="Q7" s="6" t="s">
        <v>131</v>
      </c>
      <c r="R7" s="6">
        <f ca="1">_xll.QMABackgroundFittedBondCollectionCost(AutoFitObject)</f>
        <v>0.39420322056196583</v>
      </c>
      <c r="T7" s="90">
        <v>3</v>
      </c>
      <c r="U7" s="90">
        <f t="shared" si="3"/>
        <v>1095.75</v>
      </c>
      <c r="V7" s="89">
        <f t="shared" ca="1" si="0"/>
        <v>43080.75</v>
      </c>
      <c r="W7" s="6">
        <v>0.80005159338338394</v>
      </c>
      <c r="AD7" s="98">
        <f t="shared" ca="1" si="2"/>
        <v>7.665982203969883E-2</v>
      </c>
      <c r="AE7" s="99">
        <f t="shared" ca="1" si="1"/>
        <v>42013</v>
      </c>
      <c r="AF7" s="6">
        <v>0.16178195126058803</v>
      </c>
    </row>
    <row r="8" spans="2:32" s="87" customFormat="1" ht="15" x14ac:dyDescent="0.25">
      <c r="B8" s="11" t="s">
        <v>69</v>
      </c>
      <c r="C8" s="11" t="s">
        <v>47</v>
      </c>
      <c r="D8" s="11" t="s">
        <v>48</v>
      </c>
      <c r="E8" s="11" t="s">
        <v>171</v>
      </c>
      <c r="F8" s="11" t="s">
        <v>47</v>
      </c>
      <c r="G8" s="11" t="s">
        <v>48</v>
      </c>
      <c r="H8" s="11" t="s">
        <v>49</v>
      </c>
      <c r="I8" s="11" t="s">
        <v>9</v>
      </c>
      <c r="J8" s="11" t="s">
        <v>50</v>
      </c>
      <c r="K8" s="11" t="s">
        <v>311</v>
      </c>
      <c r="L8" s="11" t="s">
        <v>60</v>
      </c>
      <c r="M8" s="11" t="s">
        <v>318</v>
      </c>
      <c r="N8" s="11" t="s">
        <v>139</v>
      </c>
      <c r="O8" s="11" t="s">
        <v>138</v>
      </c>
      <c r="Q8" s="6" t="s">
        <v>272</v>
      </c>
      <c r="R8" s="97">
        <f ca="1">_xll.QMABackgroundFittedBondCollectionLastFitTime(AutoFitObject)</f>
        <v>41985.8657953125</v>
      </c>
      <c r="T8" s="90">
        <v>5</v>
      </c>
      <c r="U8" s="90">
        <f t="shared" si="3"/>
        <v>1826.25</v>
      </c>
      <c r="V8" s="89">
        <f t="shared" ca="1" si="0"/>
        <v>43811.25</v>
      </c>
      <c r="W8" s="6">
        <v>1.2668076713889023</v>
      </c>
      <c r="AD8" s="98">
        <f t="shared" ca="1" si="2"/>
        <v>9.5824777549623541E-2</v>
      </c>
      <c r="AE8" s="99">
        <f t="shared" ca="1" si="1"/>
        <v>42020</v>
      </c>
      <c r="AF8" s="100">
        <v>0.1679661994410358</v>
      </c>
    </row>
    <row r="9" spans="2:32" x14ac:dyDescent="0.2">
      <c r="B9" s="29" t="s">
        <v>70</v>
      </c>
      <c r="C9" s="40">
        <v>100.38500000000001</v>
      </c>
      <c r="D9" s="40">
        <v>100.375</v>
      </c>
      <c r="E9" s="40">
        <v>0</v>
      </c>
      <c r="F9" s="85">
        <f>IF($B$6,_xll.BDP(B9,"PX_ASK"),C9)+$E9</f>
        <v>100.255</v>
      </c>
      <c r="G9" s="85">
        <f>IF(LiveMarketData,_xll.BDP(B9,"PX_BID"),D9)+$E9</f>
        <v>100.245</v>
      </c>
      <c r="H9" s="40" t="b">
        <v>0</v>
      </c>
      <c r="I9" s="40" t="b">
        <v>0</v>
      </c>
      <c r="J9" s="40">
        <v>1</v>
      </c>
      <c r="K9" s="48">
        <f ca="1">_xll.QMABackgroundFittedBondCollectionModelCleanPrice(AutoFitObject)</f>
        <v>100.2642479961587</v>
      </c>
      <c r="L9" s="48">
        <f ca="1">_xll.QMABackgroundFittedBondCollectionMaturity(AutoFitObject)</f>
        <v>42026</v>
      </c>
      <c r="M9" s="48">
        <f ca="1">_xll.QMABackgroundFittedBondCollectionModelYield(AutoFitObject)</f>
        <v>0.18848368302871132</v>
      </c>
      <c r="N9" s="93">
        <f ca="1">O9*O9</f>
        <v>2.0300539453837059E-4</v>
      </c>
      <c r="O9" s="85">
        <f ca="1">K9-(F9+G9)/2</f>
        <v>1.4247996158701426E-2</v>
      </c>
      <c r="Q9" s="7" t="s">
        <v>313</v>
      </c>
      <c r="R9" s="7"/>
      <c r="T9" s="90">
        <v>7</v>
      </c>
      <c r="U9" s="90">
        <f t="shared" si="3"/>
        <v>2556.75</v>
      </c>
      <c r="V9" s="89">
        <f t="shared" ca="1" si="0"/>
        <v>44541.75</v>
      </c>
      <c r="W9" s="6">
        <v>1.5182577301371962</v>
      </c>
      <c r="AD9" s="98">
        <f t="shared" ca="1" si="2"/>
        <v>0.11498973305954825</v>
      </c>
      <c r="AE9" s="99">
        <f t="shared" ca="1" si="1"/>
        <v>42027</v>
      </c>
      <c r="AF9" s="6">
        <v>0.17419717114268354</v>
      </c>
    </row>
    <row r="10" spans="2:32" x14ac:dyDescent="0.2">
      <c r="B10" s="29" t="s">
        <v>71</v>
      </c>
      <c r="C10" s="40">
        <v>103.41</v>
      </c>
      <c r="D10" s="40">
        <v>103.4</v>
      </c>
      <c r="E10" s="40">
        <v>0</v>
      </c>
      <c r="F10" s="85">
        <f>IF($B$6,_xll.BDP(B10,"PX_ASK"),C10)+$E10</f>
        <v>103.18</v>
      </c>
      <c r="G10" s="85">
        <f>IF(LiveMarketData,_xll.BDP(B10,"PX_BID"),D10)+$E10</f>
        <v>103.17</v>
      </c>
      <c r="H10" s="40" t="b">
        <v>0</v>
      </c>
      <c r="I10" s="40" t="b">
        <v>0</v>
      </c>
      <c r="J10" s="40">
        <v>1</v>
      </c>
      <c r="K10" s="93">
        <v>103.1950499299388</v>
      </c>
      <c r="L10" s="96">
        <v>42254</v>
      </c>
      <c r="M10" s="95">
        <v>0.34232302998511177</v>
      </c>
      <c r="N10" s="93">
        <f t="shared" ref="N10:N48" si="4">O10*O10</f>
        <v>4.019996905505016E-4</v>
      </c>
      <c r="O10" s="93">
        <f t="shared" ref="O10:O48" si="5">K10-(F10+G10)/2</f>
        <v>2.0049929938792843E-2</v>
      </c>
      <c r="T10" s="90">
        <v>10</v>
      </c>
      <c r="U10" s="90">
        <f t="shared" si="3"/>
        <v>3652.5</v>
      </c>
      <c r="V10" s="89">
        <f t="shared" ca="1" si="0"/>
        <v>45637.5</v>
      </c>
      <c r="W10" s="6">
        <v>1.8554727575865753</v>
      </c>
      <c r="AD10" s="98">
        <f t="shared" ca="1" si="2"/>
        <v>0.13415468856947296</v>
      </c>
      <c r="AE10" s="99">
        <f t="shared" ca="1" si="1"/>
        <v>42034</v>
      </c>
      <c r="AF10" s="6">
        <v>0.18045104768808731</v>
      </c>
    </row>
    <row r="11" spans="2:32" x14ac:dyDescent="0.2">
      <c r="B11" s="29" t="s">
        <v>72</v>
      </c>
      <c r="C11" s="40">
        <v>107.88</v>
      </c>
      <c r="D11" s="40">
        <v>107.86</v>
      </c>
      <c r="E11" s="40">
        <v>0</v>
      </c>
      <c r="F11" s="85">
        <f>IF($B$6,_xll.BDP(B11,"PX_ASK"),C11)+$E11</f>
        <v>107.48</v>
      </c>
      <c r="G11" s="85">
        <f>IF(LiveMarketData,_xll.BDP(B11,"PX_BID"),D11)+$E11</f>
        <v>107.46</v>
      </c>
      <c r="H11" s="40" t="b">
        <v>0</v>
      </c>
      <c r="I11" s="40" t="b">
        <v>0</v>
      </c>
      <c r="J11" s="40">
        <v>1</v>
      </c>
      <c r="K11" s="93">
        <v>107.43238981720087</v>
      </c>
      <c r="L11" s="96">
        <v>42345</v>
      </c>
      <c r="M11" s="95">
        <v>0.37912855703723192</v>
      </c>
      <c r="N11" s="93">
        <f t="shared" si="4"/>
        <v>1.4145258501838053E-3</v>
      </c>
      <c r="O11" s="93">
        <f t="shared" si="5"/>
        <v>-3.7610182799127756E-2</v>
      </c>
      <c r="T11" s="90">
        <v>12</v>
      </c>
      <c r="U11" s="90">
        <f t="shared" si="3"/>
        <v>4383</v>
      </c>
      <c r="V11" s="89">
        <f t="shared" ca="1" si="0"/>
        <v>46368</v>
      </c>
      <c r="W11" s="6">
        <v>2.009456834928772</v>
      </c>
      <c r="AD11" s="98">
        <f t="shared" ca="1" si="2"/>
        <v>0.15331964407939766</v>
      </c>
      <c r="AE11" s="99">
        <f t="shared" ca="1" si="1"/>
        <v>42041</v>
      </c>
      <c r="AF11" s="6">
        <v>0.18670517226959768</v>
      </c>
    </row>
    <row r="12" spans="2:32" x14ac:dyDescent="0.2">
      <c r="B12" s="29" t="s">
        <v>73</v>
      </c>
      <c r="C12" s="40">
        <v>101.765</v>
      </c>
      <c r="D12" s="40">
        <v>101.755</v>
      </c>
      <c r="E12" s="40">
        <v>0</v>
      </c>
      <c r="F12" s="85">
        <f>IF($B$6,_xll.BDP(B12,"PX_ASK"),C12)+$E12</f>
        <v>101.74</v>
      </c>
      <c r="G12" s="85">
        <f>IF(LiveMarketData,_xll.BDP(B12,"PX_BID"),D12)+$E12</f>
        <v>101.73</v>
      </c>
      <c r="H12" s="40" t="b">
        <v>0</v>
      </c>
      <c r="I12" s="40" t="b">
        <v>0</v>
      </c>
      <c r="J12" s="40">
        <v>1</v>
      </c>
      <c r="K12" s="93">
        <v>101.76255063327018</v>
      </c>
      <c r="L12" s="96">
        <v>42391</v>
      </c>
      <c r="M12" s="95">
        <v>0.39718071962842499</v>
      </c>
      <c r="N12" s="93">
        <f t="shared" si="4"/>
        <v>7.5903739358800003E-4</v>
      </c>
      <c r="O12" s="93">
        <f t="shared" si="5"/>
        <v>2.7550633270180924E-2</v>
      </c>
      <c r="T12" s="90">
        <v>15</v>
      </c>
      <c r="U12" s="90">
        <f t="shared" si="3"/>
        <v>5478.75</v>
      </c>
      <c r="V12" s="89">
        <f t="shared" ca="1" si="0"/>
        <v>47463.75</v>
      </c>
      <c r="W12" s="6">
        <v>2.2500153167168127</v>
      </c>
      <c r="AD12" s="98">
        <f t="shared" ca="1" si="2"/>
        <v>0.17248459958932238</v>
      </c>
      <c r="AE12" s="99">
        <f t="shared" ca="1" si="1"/>
        <v>42048</v>
      </c>
      <c r="AF12" s="6">
        <v>0.19293854391903745</v>
      </c>
    </row>
    <row r="13" spans="2:32" x14ac:dyDescent="0.2">
      <c r="B13" s="29" t="s">
        <v>74</v>
      </c>
      <c r="C13" s="40">
        <v>106.13500000000001</v>
      </c>
      <c r="D13" s="40">
        <v>106.125</v>
      </c>
      <c r="E13" s="40">
        <v>0</v>
      </c>
      <c r="F13" s="85">
        <f>IF($B$6,_xll.BDP(B13,"PX_ASK"),C13)+$E13</f>
        <v>106.08</v>
      </c>
      <c r="G13" s="85">
        <f>IF(LiveMarketData,_xll.BDP(B13,"PX_BID"),D13)+$E13</f>
        <v>106.07</v>
      </c>
      <c r="H13" s="40" t="b">
        <v>0</v>
      </c>
      <c r="I13" s="40" t="b">
        <v>0</v>
      </c>
      <c r="J13" s="40">
        <v>1</v>
      </c>
      <c r="K13" s="93">
        <v>106.10329689509486</v>
      </c>
      <c r="L13" s="96">
        <v>42620</v>
      </c>
      <c r="M13" s="95">
        <v>0.44703950935407571</v>
      </c>
      <c r="N13" s="93">
        <f t="shared" si="4"/>
        <v>8.0071427200999559E-4</v>
      </c>
      <c r="O13" s="93">
        <f t="shared" si="5"/>
        <v>2.8296895094868546E-2</v>
      </c>
      <c r="T13" s="90">
        <v>20</v>
      </c>
      <c r="U13" s="90">
        <f t="shared" si="3"/>
        <v>7305</v>
      </c>
      <c r="V13" s="89">
        <f t="shared" ca="1" si="0"/>
        <v>49290</v>
      </c>
      <c r="W13" s="6">
        <v>2.5369605743844899</v>
      </c>
      <c r="AD13" s="98">
        <f t="shared" ca="1" si="2"/>
        <v>0.19164955509924708</v>
      </c>
      <c r="AE13" s="99">
        <f t="shared" ca="1" si="1"/>
        <v>42055</v>
      </c>
      <c r="AF13" s="6">
        <v>0.19913219510906577</v>
      </c>
    </row>
    <row r="14" spans="2:32" x14ac:dyDescent="0.2">
      <c r="B14" s="29" t="s">
        <v>75</v>
      </c>
      <c r="C14" s="40">
        <v>102.4</v>
      </c>
      <c r="D14" s="40">
        <v>102.39</v>
      </c>
      <c r="E14" s="40">
        <v>0</v>
      </c>
      <c r="F14" s="85">
        <f>IF($B$6,_xll.BDP(B14,"PX_ASK"),C14)+$E14</f>
        <v>102.5</v>
      </c>
      <c r="G14" s="85">
        <f>IF(LiveMarketData,_xll.BDP(B14,"PX_BID"),D14)+$E14</f>
        <v>102.485</v>
      </c>
      <c r="H14" s="40" t="b">
        <v>0</v>
      </c>
      <c r="I14" s="40" t="b">
        <v>0</v>
      </c>
      <c r="J14" s="40">
        <v>1</v>
      </c>
      <c r="K14" s="93">
        <v>102.57632629166343</v>
      </c>
      <c r="L14" s="96">
        <v>42757</v>
      </c>
      <c r="M14" s="95">
        <v>0.51674118810497416</v>
      </c>
      <c r="N14" s="93">
        <f t="shared" si="4"/>
        <v>7.0268471740420665E-3</v>
      </c>
      <c r="O14" s="93">
        <f t="shared" si="5"/>
        <v>8.382629166342781E-2</v>
      </c>
      <c r="T14" s="90">
        <v>25</v>
      </c>
      <c r="U14" s="90">
        <f t="shared" si="3"/>
        <v>9131.25</v>
      </c>
      <c r="V14" s="89">
        <f t="shared" ca="1" si="0"/>
        <v>51116.25</v>
      </c>
      <c r="W14" s="6">
        <v>2.642459619463557</v>
      </c>
      <c r="AD14" s="98">
        <f t="shared" ca="1" si="2"/>
        <v>0.21081451060917181</v>
      </c>
      <c r="AE14" s="99">
        <f t="shared" ca="1" si="1"/>
        <v>42062</v>
      </c>
      <c r="AF14" s="6">
        <v>0.20526944846066469</v>
      </c>
    </row>
    <row r="15" spans="2:32" x14ac:dyDescent="0.2">
      <c r="B15" s="29" t="s">
        <v>76</v>
      </c>
      <c r="C15" s="40">
        <v>121.82</v>
      </c>
      <c r="D15" s="40">
        <v>121.8</v>
      </c>
      <c r="E15" s="40">
        <v>0</v>
      </c>
      <c r="F15" s="85">
        <f>IF($B$6,_xll.BDP(B15,"PX_ASK"),C15)+$E15</f>
        <v>121.685</v>
      </c>
      <c r="G15" s="85">
        <f>IF(LiveMarketData,_xll.BDP(B15,"PX_BID"),D15)+$E15</f>
        <v>121.66500000000001</v>
      </c>
      <c r="H15" s="40" t="b">
        <v>0</v>
      </c>
      <c r="I15" s="40" t="b">
        <v>0</v>
      </c>
      <c r="J15" s="40">
        <v>1</v>
      </c>
      <c r="K15" s="93">
        <v>121.49448553532498</v>
      </c>
      <c r="L15" s="96">
        <v>42972</v>
      </c>
      <c r="M15" s="95">
        <v>0.68772708400410765</v>
      </c>
      <c r="N15" s="93">
        <f t="shared" si="4"/>
        <v>3.2585471956911881E-2</v>
      </c>
      <c r="O15" s="93">
        <f t="shared" si="5"/>
        <v>-0.18051446467502785</v>
      </c>
      <c r="T15" s="90">
        <v>30</v>
      </c>
      <c r="U15" s="90">
        <f t="shared" si="3"/>
        <v>10957.5</v>
      </c>
      <c r="V15" s="89">
        <f t="shared" ca="1" si="0"/>
        <v>52942.5</v>
      </c>
      <c r="W15" s="6">
        <v>2.6790073318270258</v>
      </c>
      <c r="AD15" s="98">
        <f t="shared" ca="1" si="2"/>
        <v>0.2299794661190965</v>
      </c>
      <c r="AE15" s="99">
        <f t="shared" ca="1" si="1"/>
        <v>42069</v>
      </c>
      <c r="AF15" s="6">
        <v>0.21133605691309834</v>
      </c>
    </row>
    <row r="16" spans="2:32" x14ac:dyDescent="0.2">
      <c r="B16" s="29" t="s">
        <v>77</v>
      </c>
      <c r="C16" s="40">
        <v>100.435</v>
      </c>
      <c r="D16" s="40">
        <v>100.425</v>
      </c>
      <c r="E16" s="40">
        <v>0</v>
      </c>
      <c r="F16" s="85">
        <f>IF($B$6,_xll.BDP(B16,"PX_ASK"),C16)+$E16</f>
        <v>100.715</v>
      </c>
      <c r="G16" s="85">
        <f>IF(LiveMarketData,_xll.BDP(B16,"PX_BID"),D16)+$E16</f>
        <v>100.7</v>
      </c>
      <c r="H16" s="40" t="b">
        <v>0</v>
      </c>
      <c r="I16" s="40" t="b">
        <v>0</v>
      </c>
      <c r="J16" s="40">
        <v>1</v>
      </c>
      <c r="K16" s="93">
        <v>100.75317530876858</v>
      </c>
      <c r="L16" s="96">
        <v>42985</v>
      </c>
      <c r="M16" s="95">
        <v>0.72045744164872738</v>
      </c>
      <c r="N16" s="93">
        <f t="shared" si="4"/>
        <v>2.0862338311037976E-3</v>
      </c>
      <c r="O16" s="93">
        <f t="shared" si="5"/>
        <v>4.5675308768565515E-2</v>
      </c>
      <c r="T16" s="90">
        <v>40</v>
      </c>
      <c r="U16" s="90">
        <f t="shared" si="3"/>
        <v>14610</v>
      </c>
      <c r="V16" s="89">
        <f t="shared" ca="1" si="0"/>
        <v>56595</v>
      </c>
      <c r="W16" s="6">
        <v>2.5715080253426916</v>
      </c>
      <c r="AD16" s="98">
        <f t="shared" ca="1" si="2"/>
        <v>0.24914442162902123</v>
      </c>
      <c r="AE16" s="99">
        <f t="shared" ca="1" si="1"/>
        <v>42076</v>
      </c>
      <c r="AF16" s="6">
        <v>0.21732023863250674</v>
      </c>
    </row>
    <row r="17" spans="2:32" x14ac:dyDescent="0.2">
      <c r="B17" s="29" t="s">
        <v>78</v>
      </c>
      <c r="C17" s="40">
        <v>113.065</v>
      </c>
      <c r="D17" s="40">
        <v>113.05</v>
      </c>
      <c r="E17" s="40">
        <v>0</v>
      </c>
      <c r="F17" s="85">
        <f>IF($B$6,_xll.BDP(B17,"PX_ASK"),C17)+$E17</f>
        <v>113.22499999999999</v>
      </c>
      <c r="G17" s="85">
        <f>IF(LiveMarketData,_xll.BDP(B17,"PX_BID"),D17)+$E17</f>
        <v>113.215</v>
      </c>
      <c r="H17" s="40" t="b">
        <v>0</v>
      </c>
      <c r="I17" s="40" t="b">
        <v>0</v>
      </c>
      <c r="J17" s="40">
        <v>1</v>
      </c>
      <c r="K17" s="93">
        <v>113.19096417757419</v>
      </c>
      <c r="L17" s="96">
        <v>43166</v>
      </c>
      <c r="M17" s="95">
        <v>0.84655806800547517</v>
      </c>
      <c r="N17" s="93">
        <f t="shared" si="4"/>
        <v>8.430789839432508E-4</v>
      </c>
      <c r="O17" s="93">
        <f t="shared" si="5"/>
        <v>-2.9035822425811375E-2</v>
      </c>
      <c r="T17" s="90">
        <v>50</v>
      </c>
      <c r="U17" s="90">
        <f t="shared" si="3"/>
        <v>18262.5</v>
      </c>
      <c r="V17" s="89">
        <f t="shared" ca="1" si="0"/>
        <v>60247.5</v>
      </c>
      <c r="W17" s="6">
        <v>2.5621569080298392</v>
      </c>
      <c r="AD17" s="98">
        <f t="shared" ca="1" si="2"/>
        <v>0.26830937713894593</v>
      </c>
      <c r="AE17" s="99">
        <f t="shared" ca="1" si="1"/>
        <v>42083</v>
      </c>
      <c r="AF17" s="6">
        <v>0.2232126225864475</v>
      </c>
    </row>
    <row r="18" spans="2:32" x14ac:dyDescent="0.2">
      <c r="B18" s="29" t="s">
        <v>79</v>
      </c>
      <c r="C18" s="40">
        <v>100.49</v>
      </c>
      <c r="D18" s="40">
        <v>100.47499999999999</v>
      </c>
      <c r="E18" s="40">
        <v>0</v>
      </c>
      <c r="F18" s="85">
        <f>IF($B$6,_xll.BDP(B18,"PX_ASK"),C18)+$E18</f>
        <v>100.88500000000001</v>
      </c>
      <c r="G18" s="85">
        <f>IF(LiveMarketData,_xll.BDP(B18,"PX_BID"),D18)+$E18</f>
        <v>100.87</v>
      </c>
      <c r="H18" s="40" t="b">
        <v>0</v>
      </c>
      <c r="I18" s="40" t="b">
        <v>0</v>
      </c>
      <c r="J18" s="40">
        <v>1</v>
      </c>
      <c r="K18" s="93">
        <v>101.0174559292236</v>
      </c>
      <c r="L18" s="96">
        <v>43303</v>
      </c>
      <c r="M18" s="95">
        <v>0.9619590581037385</v>
      </c>
      <c r="N18" s="93">
        <f t="shared" si="4"/>
        <v>1.9587662124842298E-2</v>
      </c>
      <c r="O18" s="93">
        <f t="shared" si="5"/>
        <v>0.13995592922360345</v>
      </c>
      <c r="T18" s="91">
        <v>60</v>
      </c>
      <c r="U18" s="91">
        <f t="shared" si="3"/>
        <v>21915</v>
      </c>
      <c r="V18" s="92">
        <f t="shared" ca="1" si="0"/>
        <v>63900</v>
      </c>
      <c r="W18" s="7">
        <v>2.6167500614136419</v>
      </c>
      <c r="AD18" s="98">
        <f t="shared" ca="1" si="2"/>
        <v>0.28747433264887062</v>
      </c>
      <c r="AE18" s="99">
        <f t="shared" ca="1" si="1"/>
        <v>42090</v>
      </c>
      <c r="AF18" s="6">
        <v>0.22900612313285923</v>
      </c>
    </row>
    <row r="19" spans="2:32" x14ac:dyDescent="0.2">
      <c r="B19" s="29" t="s">
        <v>80</v>
      </c>
      <c r="C19" s="40">
        <v>113.745</v>
      </c>
      <c r="D19" s="40">
        <v>113.73</v>
      </c>
      <c r="E19" s="40">
        <v>0</v>
      </c>
      <c r="F19" s="85">
        <f>IF($B$6,_xll.BDP(B19,"PX_ASK"),C19)+$E19</f>
        <v>114.125</v>
      </c>
      <c r="G19" s="85">
        <f>IF(LiveMarketData,_xll.BDP(B19,"PX_BID"),D19)+$E19</f>
        <v>114.11499999999999</v>
      </c>
      <c r="H19" s="40" t="b">
        <v>0</v>
      </c>
      <c r="I19" s="40" t="b">
        <v>0</v>
      </c>
      <c r="J19" s="40">
        <v>1</v>
      </c>
      <c r="K19" s="93">
        <v>114.04463155715686</v>
      </c>
      <c r="L19" s="96">
        <v>43531</v>
      </c>
      <c r="M19" s="95">
        <v>1.0904423788826099</v>
      </c>
      <c r="N19" s="93">
        <f t="shared" si="4"/>
        <v>5.6804021766000681E-3</v>
      </c>
      <c r="O19" s="93">
        <f t="shared" si="5"/>
        <v>-7.5368442843142702E-2</v>
      </c>
      <c r="AD19" s="98">
        <f t="shared" ca="1" si="2"/>
        <v>0.30663928815879532</v>
      </c>
      <c r="AE19" s="99">
        <f t="shared" ca="1" si="1"/>
        <v>42097</v>
      </c>
      <c r="AF19" s="6">
        <v>0.23469576245335649</v>
      </c>
    </row>
    <row r="20" spans="2:32" x14ac:dyDescent="0.2">
      <c r="B20" s="29" t="s">
        <v>81</v>
      </c>
      <c r="C20" s="40">
        <v>101.85</v>
      </c>
      <c r="D20" s="40">
        <v>101.83499999999999</v>
      </c>
      <c r="E20" s="40">
        <v>0</v>
      </c>
      <c r="F20" s="85">
        <f>IF($B$6,_xll.BDP(B20,"PX_ASK"),C20)+$E20</f>
        <v>102.4</v>
      </c>
      <c r="G20" s="85">
        <f>IF(LiveMarketData,_xll.BDP(B20,"PX_BID"),D20)+$E20</f>
        <v>102.39</v>
      </c>
      <c r="H20" s="40" t="b">
        <v>0</v>
      </c>
      <c r="I20" s="40" t="b">
        <v>0</v>
      </c>
      <c r="J20" s="40">
        <v>1</v>
      </c>
      <c r="K20" s="93">
        <v>102.52729343505014</v>
      </c>
      <c r="L20" s="96">
        <v>43668</v>
      </c>
      <c r="M20" s="95">
        <v>1.1841599193782693</v>
      </c>
      <c r="N20" s="93">
        <f t="shared" si="4"/>
        <v>1.7501552957362942E-2</v>
      </c>
      <c r="O20" s="93">
        <f t="shared" si="5"/>
        <v>0.13229343505012991</v>
      </c>
      <c r="AD20" s="98">
        <f t="shared" ca="1" si="2"/>
        <v>0.32580424366872007</v>
      </c>
      <c r="AE20" s="99">
        <f t="shared" ca="1" si="1"/>
        <v>42104</v>
      </c>
      <c r="AF20" s="6">
        <v>0.24027845863664574</v>
      </c>
    </row>
    <row r="21" spans="2:32" x14ac:dyDescent="0.2">
      <c r="B21" s="29" t="s">
        <v>82</v>
      </c>
      <c r="C21" s="40">
        <v>111.26</v>
      </c>
      <c r="D21" s="40">
        <v>111.25</v>
      </c>
      <c r="E21" s="40">
        <v>0</v>
      </c>
      <c r="F21" s="85">
        <f>IF($B$6,_xll.BDP(B21,"PX_ASK"),C21)+$E21</f>
        <v>111.74</v>
      </c>
      <c r="G21" s="85">
        <f>IF(LiveMarketData,_xll.BDP(B21,"PX_BID"),D21)+$E21</f>
        <v>111.72499999999999</v>
      </c>
      <c r="H21" s="40" t="b">
        <v>0</v>
      </c>
      <c r="I21" s="40" t="b">
        <v>0</v>
      </c>
      <c r="J21" s="40">
        <v>1</v>
      </c>
      <c r="K21" s="93">
        <v>111.71462358943302</v>
      </c>
      <c r="L21" s="96">
        <v>43715</v>
      </c>
      <c r="M21" s="95">
        <v>1.1932746530308078</v>
      </c>
      <c r="N21" s="93">
        <f t="shared" si="4"/>
        <v>3.1956605475887595E-4</v>
      </c>
      <c r="O21" s="93">
        <f t="shared" si="5"/>
        <v>-1.787641056696998E-2</v>
      </c>
      <c r="AD21" s="98">
        <f t="shared" ca="1" si="2"/>
        <v>0.34496919917864477</v>
      </c>
      <c r="AE21" s="99">
        <f t="shared" ca="1" si="1"/>
        <v>42111</v>
      </c>
      <c r="AF21" s="6">
        <v>0.24575279516821896</v>
      </c>
    </row>
    <row r="22" spans="2:32" x14ac:dyDescent="0.2">
      <c r="B22" s="29" t="s">
        <v>83</v>
      </c>
      <c r="C22" s="40">
        <v>116.94499999999999</v>
      </c>
      <c r="D22" s="40">
        <v>116.93</v>
      </c>
      <c r="E22" s="40">
        <v>0</v>
      </c>
      <c r="F22" s="85">
        <f>IF($B$6,_xll.BDP(B22,"PX_ASK"),C22)+$E22</f>
        <v>117.575</v>
      </c>
      <c r="G22" s="85">
        <f>IF(LiveMarketData,_xll.BDP(B22,"PX_BID"),D22)+$E22</f>
        <v>117.56</v>
      </c>
      <c r="H22" s="40" t="b">
        <v>0</v>
      </c>
      <c r="I22" s="40" t="b">
        <v>0</v>
      </c>
      <c r="J22" s="40">
        <v>1</v>
      </c>
      <c r="K22" s="93">
        <v>117.54558702395373</v>
      </c>
      <c r="L22" s="96">
        <v>43897</v>
      </c>
      <c r="M22" s="95">
        <v>1.2693710350777456</v>
      </c>
      <c r="N22" s="93">
        <f t="shared" si="4"/>
        <v>4.801785192042454E-4</v>
      </c>
      <c r="O22" s="93">
        <f t="shared" si="5"/>
        <v>-2.1912976046266408E-2</v>
      </c>
      <c r="AD22" s="98">
        <f t="shared" ca="1" si="2"/>
        <v>0.36413415468856947</v>
      </c>
      <c r="AE22" s="99">
        <f t="shared" ca="1" si="1"/>
        <v>42118</v>
      </c>
      <c r="AF22" s="6">
        <v>0.25111878495886586</v>
      </c>
    </row>
    <row r="23" spans="2:32" x14ac:dyDescent="0.2">
      <c r="B23" s="29" t="s">
        <v>84</v>
      </c>
      <c r="C23" s="40">
        <v>112.47</v>
      </c>
      <c r="D23" s="40">
        <v>112.455</v>
      </c>
      <c r="E23" s="40">
        <v>0</v>
      </c>
      <c r="F23" s="85">
        <f>IF($B$6,_xll.BDP(B23,"PX_ASK"),C23)+$E23</f>
        <v>113.245</v>
      </c>
      <c r="G23" s="85">
        <f>IF(LiveMarketData,_xll.BDP(B23,"PX_BID"),D23)+$E23</f>
        <v>113.23</v>
      </c>
      <c r="H23" s="40" t="b">
        <v>0</v>
      </c>
      <c r="I23" s="40" t="b">
        <v>0</v>
      </c>
      <c r="J23" s="40">
        <v>1</v>
      </c>
      <c r="K23" s="93">
        <v>113.18343570276615</v>
      </c>
      <c r="L23" s="96">
        <v>44081</v>
      </c>
      <c r="M23" s="95">
        <v>1.3496748833416792</v>
      </c>
      <c r="N23" s="93">
        <f t="shared" si="4"/>
        <v>2.9229482353916509E-3</v>
      </c>
      <c r="O23" s="93">
        <f t="shared" si="5"/>
        <v>-5.4064297233864522E-2</v>
      </c>
      <c r="AD23" s="98">
        <f t="shared" ca="1" si="2"/>
        <v>0.38329911019849416</v>
      </c>
      <c r="AE23" s="99">
        <f t="shared" ca="1" si="1"/>
        <v>42125</v>
      </c>
      <c r="AF23" s="6">
        <v>0.25637763922382989</v>
      </c>
    </row>
    <row r="24" spans="2:32" x14ac:dyDescent="0.2">
      <c r="B24" s="29" t="s">
        <v>85</v>
      </c>
      <c r="C24" s="40">
        <v>139.82499999999999</v>
      </c>
      <c r="D24" s="40">
        <v>139.79499999999999</v>
      </c>
      <c r="E24" s="40">
        <v>0</v>
      </c>
      <c r="F24" s="85">
        <f>IF($B$6,_xll.BDP(B24,"PX_ASK"),C24)+$E24</f>
        <v>140.80000000000001</v>
      </c>
      <c r="G24" s="85">
        <f>IF(LiveMarketData,_xll.BDP(B24,"PX_BID"),D24)+$E24</f>
        <v>140.77000000000001</v>
      </c>
      <c r="H24" s="40" t="b">
        <v>0</v>
      </c>
      <c r="I24" s="40" t="b">
        <v>0</v>
      </c>
      <c r="J24" s="40">
        <v>1</v>
      </c>
      <c r="K24" s="93">
        <v>140.82088809846476</v>
      </c>
      <c r="L24" s="96">
        <v>44354</v>
      </c>
      <c r="M24" s="95">
        <v>1.3888929206732523</v>
      </c>
      <c r="N24" s="93">
        <f t="shared" si="4"/>
        <v>1.2879556114147662E-3</v>
      </c>
      <c r="O24" s="93">
        <f t="shared" si="5"/>
        <v>3.5888098464738505E-2</v>
      </c>
      <c r="AD24" s="98">
        <f t="shared" ca="1" si="2"/>
        <v>0.40246406570841892</v>
      </c>
      <c r="AE24" s="99">
        <f t="shared" ca="1" si="1"/>
        <v>42132</v>
      </c>
      <c r="AF24" s="6">
        <v>0.26153154878846657</v>
      </c>
    </row>
    <row r="25" spans="2:32" x14ac:dyDescent="0.2">
      <c r="B25" s="29" t="s">
        <v>86</v>
      </c>
      <c r="C25" s="40">
        <v>113.595</v>
      </c>
      <c r="D25" s="40">
        <v>113.58</v>
      </c>
      <c r="E25" s="40">
        <v>0</v>
      </c>
      <c r="F25" s="85">
        <f>IF($B$6,_xll.BDP(B25,"PX_ASK"),C25)+$E25</f>
        <v>114.69</v>
      </c>
      <c r="G25" s="85">
        <f>IF(LiveMarketData,_xll.BDP(B25,"PX_BID"),D25)+$E25</f>
        <v>114.675</v>
      </c>
      <c r="H25" s="40" t="b">
        <v>0</v>
      </c>
      <c r="I25" s="40" t="b">
        <v>0</v>
      </c>
      <c r="J25" s="40">
        <v>1</v>
      </c>
      <c r="K25" s="93">
        <v>114.67354423509195</v>
      </c>
      <c r="L25" s="96">
        <v>44446</v>
      </c>
      <c r="M25" s="95">
        <v>1.4521141192323332</v>
      </c>
      <c r="N25" s="93">
        <f t="shared" si="4"/>
        <v>8.0205725088292653E-5</v>
      </c>
      <c r="O25" s="93">
        <f t="shared" si="5"/>
        <v>-8.9557649080518331E-3</v>
      </c>
      <c r="AD25" s="98">
        <f t="shared" ca="1" si="2"/>
        <v>0.42162902121834361</v>
      </c>
      <c r="AE25" s="99">
        <f t="shared" ca="1" si="1"/>
        <v>42139</v>
      </c>
      <c r="AF25" s="6">
        <v>0.26658348293129119</v>
      </c>
    </row>
    <row r="26" spans="2:32" x14ac:dyDescent="0.2">
      <c r="B26" s="29" t="s">
        <v>87</v>
      </c>
      <c r="C26" s="40">
        <v>115.755</v>
      </c>
      <c r="D26" s="40">
        <v>115.74</v>
      </c>
      <c r="E26" s="40">
        <v>0</v>
      </c>
      <c r="F26" s="85">
        <f>IF($B$6,_xll.BDP(B26,"PX_ASK"),C26)+$E26</f>
        <v>117.08499999999999</v>
      </c>
      <c r="G26" s="85">
        <f>IF(LiveMarketData,_xll.BDP(B26,"PX_BID"),D26)+$E26</f>
        <v>117.07</v>
      </c>
      <c r="H26" s="40" t="b">
        <v>0</v>
      </c>
      <c r="I26" s="40" t="b">
        <v>0</v>
      </c>
      <c r="J26" s="40">
        <v>1</v>
      </c>
      <c r="K26" s="93">
        <v>117.03797690011781</v>
      </c>
      <c r="L26" s="96">
        <v>44627</v>
      </c>
      <c r="M26" s="95">
        <v>1.5028439754267329</v>
      </c>
      <c r="N26" s="93">
        <f t="shared" si="4"/>
        <v>1.5620754242963424E-3</v>
      </c>
      <c r="O26" s="93">
        <f t="shared" si="5"/>
        <v>-3.9523099882174506E-2</v>
      </c>
      <c r="AD26" s="98">
        <f t="shared" ca="1" si="2"/>
        <v>0.44079397672826831</v>
      </c>
      <c r="AE26" s="99">
        <f t="shared" ca="1" si="1"/>
        <v>42146</v>
      </c>
      <c r="AF26" s="6">
        <v>0.27153700878382853</v>
      </c>
    </row>
    <row r="27" spans="2:32" x14ac:dyDescent="0.2">
      <c r="B27" s="29" t="s">
        <v>88</v>
      </c>
      <c r="C27" s="40">
        <v>99.59</v>
      </c>
      <c r="D27" s="40">
        <v>99.575000000000003</v>
      </c>
      <c r="E27" s="40">
        <v>0</v>
      </c>
      <c r="F27" s="85">
        <f>IF($B$6,_xll.BDP(B27,"PX_ASK"),C27)+$E27</f>
        <v>101.13</v>
      </c>
      <c r="G27" s="85">
        <f>IF(LiveMarketData,_xll.BDP(B27,"PX_BID"),D27)+$E27</f>
        <v>101.11</v>
      </c>
      <c r="H27" s="40" t="b">
        <v>0</v>
      </c>
      <c r="I27" s="40" t="b">
        <v>0</v>
      </c>
      <c r="J27" s="40">
        <v>1</v>
      </c>
      <c r="K27" s="93">
        <v>101.16105301273652</v>
      </c>
      <c r="L27" s="96">
        <v>44811</v>
      </c>
      <c r="M27" s="95">
        <v>1.5896004004173707</v>
      </c>
      <c r="N27" s="93">
        <f t="shared" si="4"/>
        <v>1.6853498547442225E-3</v>
      </c>
      <c r="O27" s="93">
        <f t="shared" si="5"/>
        <v>4.1053012736512073E-2</v>
      </c>
      <c r="AD27" s="98">
        <f t="shared" ca="1" si="2"/>
        <v>0.45995893223819301</v>
      </c>
      <c r="AE27" s="99">
        <f t="shared" ca="1" si="1"/>
        <v>42153</v>
      </c>
      <c r="AF27" s="6">
        <v>0.27639613262547219</v>
      </c>
    </row>
    <row r="28" spans="2:32" x14ac:dyDescent="0.2">
      <c r="B28" s="29" t="s">
        <v>12</v>
      </c>
      <c r="C28" s="40">
        <v>102.55500000000001</v>
      </c>
      <c r="D28" s="40">
        <v>102.54</v>
      </c>
      <c r="E28" s="40">
        <v>0</v>
      </c>
      <c r="F28" s="85">
        <f>IF($B$6,_xll.BDP(B28,"PX_ASK"),C28)+$E28</f>
        <v>104.47499999999999</v>
      </c>
      <c r="G28" s="85">
        <f>IF(LiveMarketData,_xll.BDP(B28,"PX_BID"),D28)+$E28</f>
        <v>104.465</v>
      </c>
      <c r="H28" s="40" t="b">
        <v>0</v>
      </c>
      <c r="I28" s="40" t="b">
        <v>0</v>
      </c>
      <c r="J28" s="40">
        <v>1</v>
      </c>
      <c r="K28" s="93">
        <v>104.47988687902433</v>
      </c>
      <c r="L28" s="96">
        <v>45176</v>
      </c>
      <c r="M28" s="95">
        <v>1.6954084905320677</v>
      </c>
      <c r="N28" s="93">
        <f t="shared" si="4"/>
        <v>9.7750376841851741E-5</v>
      </c>
      <c r="O28" s="93">
        <f t="shared" si="5"/>
        <v>9.8868790243358262E-3</v>
      </c>
      <c r="AD28" s="98">
        <f t="shared" ca="1" si="2"/>
        <v>0.4791238877481177</v>
      </c>
      <c r="AE28" s="99">
        <f t="shared" ca="1" si="1"/>
        <v>42160</v>
      </c>
      <c r="AF28" s="6">
        <v>0.28116516313083934</v>
      </c>
    </row>
    <row r="29" spans="2:32" x14ac:dyDescent="0.2">
      <c r="B29" s="29" t="s">
        <v>13</v>
      </c>
      <c r="C29" s="40">
        <v>106.21</v>
      </c>
      <c r="D29" s="40">
        <v>106.19499999999999</v>
      </c>
      <c r="E29" s="40">
        <v>0</v>
      </c>
      <c r="F29" s="85">
        <f>IF($B$6,_xll.BDP(B29,"PX_ASK"),C29)+$E29</f>
        <v>108.455</v>
      </c>
      <c r="G29" s="85">
        <f>IF(LiveMarketData,_xll.BDP(B29,"PX_BID"),D29)+$E29</f>
        <v>108.44</v>
      </c>
      <c r="H29" s="40" t="b">
        <v>0</v>
      </c>
      <c r="I29" s="40" t="b">
        <v>0</v>
      </c>
      <c r="J29" s="40">
        <v>1</v>
      </c>
      <c r="K29" s="93">
        <v>108.57376798355267</v>
      </c>
      <c r="L29" s="96">
        <v>45542</v>
      </c>
      <c r="M29" s="95">
        <v>1.7856625337818151</v>
      </c>
      <c r="N29" s="93">
        <f t="shared" si="4"/>
        <v>1.5943603670459779E-2</v>
      </c>
      <c r="O29" s="93">
        <f t="shared" si="5"/>
        <v>0.12626798355267965</v>
      </c>
      <c r="AD29" s="98">
        <f t="shared" ca="1" si="2"/>
        <v>0.49828884325804246</v>
      </c>
      <c r="AE29" s="99">
        <f t="shared" ca="1" si="1"/>
        <v>42167</v>
      </c>
      <c r="AF29" s="6">
        <v>0.28584859570793203</v>
      </c>
    </row>
    <row r="30" spans="2:32" x14ac:dyDescent="0.2">
      <c r="B30" s="29" t="s">
        <v>14</v>
      </c>
      <c r="C30" s="40">
        <v>127.41500000000001</v>
      </c>
      <c r="D30" s="40">
        <v>127.405</v>
      </c>
      <c r="E30" s="40">
        <v>0</v>
      </c>
      <c r="F30" s="85">
        <f>IF($B$6,_xll.BDP(B30,"PX_ASK"),C30)+$E30</f>
        <v>129.98500000000001</v>
      </c>
      <c r="G30" s="85">
        <f>IF(LiveMarketData,_xll.BDP(B30,"PX_BID"),D30)+$E30</f>
        <v>129.97</v>
      </c>
      <c r="H30" s="40" t="b">
        <v>0</v>
      </c>
      <c r="I30" s="40" t="b">
        <v>0</v>
      </c>
      <c r="J30" s="40">
        <v>1</v>
      </c>
      <c r="K30" s="93">
        <v>129.86006721035159</v>
      </c>
      <c r="L30" s="96">
        <v>45723</v>
      </c>
      <c r="M30" s="95">
        <v>1.7912265864337693</v>
      </c>
      <c r="N30" s="93">
        <f t="shared" si="4"/>
        <v>1.3790460084613076E-2</v>
      </c>
      <c r="O30" s="93">
        <f t="shared" si="5"/>
        <v>-0.11743278964843284</v>
      </c>
      <c r="AD30" s="98">
        <f t="shared" ca="1" si="2"/>
        <v>0.51745379876796715</v>
      </c>
      <c r="AE30" s="99">
        <f t="shared" ca="1" si="1"/>
        <v>42174</v>
      </c>
      <c r="AF30" s="6">
        <v>0.29047022776082609</v>
      </c>
    </row>
    <row r="31" spans="2:32" x14ac:dyDescent="0.2">
      <c r="B31" s="29" t="s">
        <v>15</v>
      </c>
      <c r="C31" s="40">
        <v>122.13500000000001</v>
      </c>
      <c r="D31" s="40">
        <v>122.11499999999999</v>
      </c>
      <c r="E31" s="40">
        <v>0</v>
      </c>
      <c r="F31" s="85">
        <f>IF($B$6,_xll.BDP(B31,"PX_ASK"),C31)+$E31</f>
        <v>125.535</v>
      </c>
      <c r="G31" s="85">
        <f>IF(LiveMarketData,_xll.BDP(B31,"PX_BID"),D31)+$E31</f>
        <v>125.505</v>
      </c>
      <c r="H31" s="40" t="b">
        <v>0</v>
      </c>
      <c r="I31" s="40" t="b">
        <v>0</v>
      </c>
      <c r="J31" s="40">
        <v>1</v>
      </c>
      <c r="K31" s="93">
        <v>125.68209110157817</v>
      </c>
      <c r="L31" s="96">
        <v>46728</v>
      </c>
      <c r="M31" s="95">
        <v>1.9941699750121984</v>
      </c>
      <c r="N31" s="93">
        <f t="shared" si="4"/>
        <v>2.6273525210824652E-2</v>
      </c>
      <c r="O31" s="93">
        <f t="shared" si="5"/>
        <v>0.16209110157817008</v>
      </c>
      <c r="AD31" s="98">
        <f t="shared" ca="1" si="2"/>
        <v>0.53661875427789185</v>
      </c>
      <c r="AE31" s="99">
        <f t="shared" ca="1" si="1"/>
        <v>42181</v>
      </c>
      <c r="AF31" s="6">
        <v>0.29505883564527513</v>
      </c>
    </row>
    <row r="32" spans="2:32" x14ac:dyDescent="0.2">
      <c r="B32" s="29" t="s">
        <v>16</v>
      </c>
      <c r="C32" s="40">
        <v>144.375</v>
      </c>
      <c r="D32" s="40">
        <v>144.345</v>
      </c>
      <c r="E32" s="40">
        <v>0</v>
      </c>
      <c r="F32" s="85">
        <f>IF($B$6,_xll.BDP(B32,"PX_ASK"),C32)+$E32</f>
        <v>148.32</v>
      </c>
      <c r="G32" s="85">
        <f>IF(LiveMarketData,_xll.BDP(B32,"PX_BID"),D32)+$E32</f>
        <v>148.285</v>
      </c>
      <c r="H32" s="40" t="b">
        <v>0</v>
      </c>
      <c r="I32" s="40" t="b">
        <v>0</v>
      </c>
      <c r="J32" s="40">
        <v>1</v>
      </c>
      <c r="K32" s="93">
        <v>148.05663926267019</v>
      </c>
      <c r="L32" s="96">
        <v>47094</v>
      </c>
      <c r="M32" s="95">
        <v>2.0330034255778204</v>
      </c>
      <c r="N32" s="93">
        <f t="shared" si="4"/>
        <v>6.0447502160363098E-2</v>
      </c>
      <c r="O32" s="93">
        <f t="shared" si="5"/>
        <v>-0.24586073732982072</v>
      </c>
      <c r="AD32" s="98">
        <f t="shared" ca="1" si="2"/>
        <v>0.55578370978781655</v>
      </c>
      <c r="AE32" s="99">
        <f t="shared" ca="1" si="1"/>
        <v>42188</v>
      </c>
      <c r="AF32" s="6">
        <v>0.29960443653855556</v>
      </c>
    </row>
    <row r="33" spans="2:32" x14ac:dyDescent="0.2">
      <c r="B33" s="29" t="s">
        <v>17</v>
      </c>
      <c r="C33" s="40">
        <v>130.02000000000001</v>
      </c>
      <c r="D33" s="40">
        <v>129.98500000000001</v>
      </c>
      <c r="E33" s="40">
        <v>0</v>
      </c>
      <c r="F33" s="85">
        <f>IF($B$6,_xll.BDP(B33,"PX_ASK"),C33)+$E33</f>
        <v>134.41</v>
      </c>
      <c r="G33" s="85">
        <f>IF(LiveMarketData,_xll.BDP(B33,"PX_BID"),D33)+$E33</f>
        <v>134.37</v>
      </c>
      <c r="H33" s="40" t="b">
        <v>0</v>
      </c>
      <c r="I33" s="40" t="b">
        <v>0</v>
      </c>
      <c r="J33" s="40">
        <v>1</v>
      </c>
      <c r="K33" s="93">
        <v>134.56420061744709</v>
      </c>
      <c r="L33" s="96">
        <v>47824</v>
      </c>
      <c r="M33" s="95">
        <v>2.177076692861172</v>
      </c>
      <c r="N33" s="93">
        <f t="shared" si="4"/>
        <v>3.0345855118950427E-2</v>
      </c>
      <c r="O33" s="93">
        <f t="shared" si="5"/>
        <v>0.17420061744709869</v>
      </c>
      <c r="AD33" s="98">
        <f t="shared" ca="1" si="2"/>
        <v>0.57494866529774125</v>
      </c>
      <c r="AE33" s="99">
        <f t="shared" ca="1" si="1"/>
        <v>42195</v>
      </c>
      <c r="AF33" s="6">
        <v>0.30409574524585731</v>
      </c>
    </row>
    <row r="34" spans="2:32" x14ac:dyDescent="0.2">
      <c r="B34" s="29" t="s">
        <v>18</v>
      </c>
      <c r="C34" s="40">
        <v>123.79</v>
      </c>
      <c r="D34" s="40">
        <v>123.76</v>
      </c>
      <c r="E34" s="40">
        <v>0</v>
      </c>
      <c r="F34" s="85">
        <f>IF($B$6,_xll.BDP(B34,"PX_ASK"),C34)+$E34</f>
        <v>128.48500000000001</v>
      </c>
      <c r="G34" s="85">
        <f>IF(LiveMarketData,_xll.BDP(B34,"PX_BID"),D34)+$E34</f>
        <v>128.44499999999999</v>
      </c>
      <c r="H34" s="40" t="b">
        <v>0</v>
      </c>
      <c r="I34" s="40" t="b">
        <v>0</v>
      </c>
      <c r="J34" s="40">
        <v>1</v>
      </c>
      <c r="K34" s="93">
        <v>128.41588213701155</v>
      </c>
      <c r="L34" s="96">
        <v>48372</v>
      </c>
      <c r="M34" s="95">
        <v>2.2710967048549251</v>
      </c>
      <c r="N34" s="93">
        <f t="shared" si="4"/>
        <v>2.4125644645524411E-3</v>
      </c>
      <c r="O34" s="93">
        <f t="shared" si="5"/>
        <v>-4.9117862988452998E-2</v>
      </c>
      <c r="AD34" s="98">
        <f t="shared" ca="1" si="2"/>
        <v>0.59411362080766594</v>
      </c>
      <c r="AE34" s="99">
        <f t="shared" ca="1" si="1"/>
        <v>42202</v>
      </c>
      <c r="AF34" s="6">
        <v>0.30852101572482626</v>
      </c>
    </row>
    <row r="35" spans="2:32" x14ac:dyDescent="0.2">
      <c r="B35" s="29" t="s">
        <v>19</v>
      </c>
      <c r="C35" s="40">
        <v>128.41999999999999</v>
      </c>
      <c r="D35" s="40">
        <v>128.38499999999999</v>
      </c>
      <c r="E35" s="40">
        <v>0</v>
      </c>
      <c r="F35" s="85">
        <f>IF($B$6,_xll.BDP(B35,"PX_ASK"),C35)+$E35</f>
        <v>133.63999999999999</v>
      </c>
      <c r="G35" s="85">
        <f>IF(LiveMarketData,_xll.BDP(B35,"PX_BID"),D35)+$E35</f>
        <v>133.60499999999999</v>
      </c>
      <c r="H35" s="40" t="b">
        <v>0</v>
      </c>
      <c r="I35" s="40" t="b">
        <v>0</v>
      </c>
      <c r="J35" s="40">
        <v>1</v>
      </c>
      <c r="K35" s="93">
        <v>133.64941727419478</v>
      </c>
      <c r="L35" s="96">
        <v>49194</v>
      </c>
      <c r="M35" s="95">
        <v>2.3569695501734556</v>
      </c>
      <c r="N35" s="93">
        <f t="shared" si="4"/>
        <v>7.2453965007657868E-4</v>
      </c>
      <c r="O35" s="93">
        <f t="shared" si="5"/>
        <v>2.6917274194772745E-2</v>
      </c>
      <c r="AD35" s="98">
        <f t="shared" ca="1" si="2"/>
        <v>0.61327857631759064</v>
      </c>
      <c r="AE35" s="99">
        <f t="shared" ca="1" si="1"/>
        <v>42209</v>
      </c>
      <c r="AF35" s="6">
        <v>0.31286838243862924</v>
      </c>
    </row>
    <row r="36" spans="2:32" x14ac:dyDescent="0.2">
      <c r="B36" s="29" t="s">
        <v>20</v>
      </c>
      <c r="C36" s="40">
        <v>124.91</v>
      </c>
      <c r="D36" s="40">
        <v>124.87</v>
      </c>
      <c r="E36" s="40">
        <v>0</v>
      </c>
      <c r="F36" s="85">
        <f>IF($B$6,_xll.BDP(B36,"PX_ASK"),C36)+$E36</f>
        <v>130.4</v>
      </c>
      <c r="G36" s="85">
        <f>IF(LiveMarketData,_xll.BDP(B36,"PX_BID"),D36)+$E36</f>
        <v>130.37</v>
      </c>
      <c r="H36" s="40" t="b">
        <v>0</v>
      </c>
      <c r="I36" s="40" t="b">
        <v>0</v>
      </c>
      <c r="J36" s="40">
        <v>1</v>
      </c>
      <c r="K36" s="93">
        <v>130.42302718268249</v>
      </c>
      <c r="L36" s="96">
        <v>49741</v>
      </c>
      <c r="M36" s="95">
        <v>2.410340281530186</v>
      </c>
      <c r="N36" s="93">
        <f t="shared" si="4"/>
        <v>1.4460666227680797E-3</v>
      </c>
      <c r="O36" s="93">
        <f t="shared" si="5"/>
        <v>3.8027182682498051E-2</v>
      </c>
      <c r="AD36" s="98">
        <f t="shared" ca="1" si="2"/>
        <v>0.63244353182751545</v>
      </c>
      <c r="AE36" s="99">
        <f t="shared" ca="1" si="1"/>
        <v>42216</v>
      </c>
      <c r="AF36" s="6">
        <v>0.31712627704136498</v>
      </c>
    </row>
    <row r="37" spans="2:32" x14ac:dyDescent="0.2">
      <c r="B37" s="29" t="s">
        <v>89</v>
      </c>
      <c r="C37" s="40">
        <v>135.38</v>
      </c>
      <c r="D37" s="40">
        <v>135.34</v>
      </c>
      <c r="E37" s="40">
        <v>0</v>
      </c>
      <c r="F37" s="85">
        <f>IF($B$6,_xll.BDP(B37,"PX_ASK"),C37)+$E37</f>
        <v>141.77000000000001</v>
      </c>
      <c r="G37" s="85">
        <f>IF(LiveMarketData,_xll.BDP(B37,"PX_BID"),D37)+$E37</f>
        <v>141.72999999999999</v>
      </c>
      <c r="H37" s="40" t="b">
        <v>0</v>
      </c>
      <c r="I37" s="40" t="b">
        <v>0</v>
      </c>
      <c r="J37" s="40">
        <v>1</v>
      </c>
      <c r="K37" s="93">
        <v>141.56236994586069</v>
      </c>
      <c r="L37" s="96">
        <v>50746</v>
      </c>
      <c r="M37" s="95">
        <v>2.4480923295573143</v>
      </c>
      <c r="N37" s="93">
        <f t="shared" si="4"/>
        <v>3.5205037216318527E-2</v>
      </c>
      <c r="O37" s="93">
        <f t="shared" si="5"/>
        <v>-0.187630054139305</v>
      </c>
      <c r="AD37" s="98">
        <f t="shared" ca="1" si="2"/>
        <v>0.65160848733744015</v>
      </c>
      <c r="AE37" s="99">
        <f t="shared" ca="1" si="1"/>
        <v>42223</v>
      </c>
      <c r="AF37" s="6">
        <v>0.3212839046762776</v>
      </c>
    </row>
    <row r="38" spans="2:32" x14ac:dyDescent="0.2">
      <c r="B38" s="29" t="s">
        <v>90</v>
      </c>
      <c r="C38" s="40">
        <v>126.565</v>
      </c>
      <c r="D38" s="40">
        <v>126.52500000000001</v>
      </c>
      <c r="E38" s="40">
        <v>0</v>
      </c>
      <c r="F38" s="85">
        <f>IF($B$6,_xll.BDP(B38,"PX_ASK"),C38)+$E38</f>
        <v>132.83000000000001</v>
      </c>
      <c r="G38" s="85">
        <f>IF(LiveMarketData,_xll.BDP(B38,"PX_BID"),D38)+$E38</f>
        <v>132.785</v>
      </c>
      <c r="H38" s="40" t="b">
        <v>0</v>
      </c>
      <c r="I38" s="40" t="b">
        <v>0</v>
      </c>
      <c r="J38" s="40">
        <v>1</v>
      </c>
      <c r="K38" s="93">
        <v>132.7678267413196</v>
      </c>
      <c r="L38" s="96">
        <v>51020</v>
      </c>
      <c r="M38" s="95">
        <v>2.4708952087865961</v>
      </c>
      <c r="N38" s="93">
        <f t="shared" si="4"/>
        <v>1.573967454322661E-3</v>
      </c>
      <c r="O38" s="93">
        <f t="shared" si="5"/>
        <v>-3.9673258680409162E-2</v>
      </c>
      <c r="AD38" s="98">
        <f t="shared" ca="1" si="2"/>
        <v>0.67077344284736484</v>
      </c>
      <c r="AE38" s="99">
        <f t="shared" ca="1" si="1"/>
        <v>42230</v>
      </c>
      <c r="AF38" s="6">
        <v>0.32533175389114405</v>
      </c>
    </row>
    <row r="39" spans="2:32" x14ac:dyDescent="0.2">
      <c r="B39" s="29" t="s">
        <v>91</v>
      </c>
      <c r="C39" s="40">
        <v>126.94499999999999</v>
      </c>
      <c r="D39" s="40">
        <v>126.905</v>
      </c>
      <c r="E39" s="40">
        <v>0</v>
      </c>
      <c r="F39" s="85">
        <f>IF($B$6,_xll.BDP(B39,"PX_ASK"),C39)+$E39</f>
        <v>133.33000000000001</v>
      </c>
      <c r="G39" s="85">
        <f>IF(LiveMarketData,_xll.BDP(B39,"PX_BID"),D39)+$E39</f>
        <v>133.29</v>
      </c>
      <c r="H39" s="40" t="b">
        <v>0</v>
      </c>
      <c r="I39" s="40" t="b">
        <v>0</v>
      </c>
      <c r="J39" s="40">
        <v>1</v>
      </c>
      <c r="K39" s="93">
        <v>133.54543489039048</v>
      </c>
      <c r="L39" s="96">
        <v>51477</v>
      </c>
      <c r="M39" s="95">
        <v>2.488811140469489</v>
      </c>
      <c r="N39" s="93">
        <f t="shared" si="4"/>
        <v>5.5429587613176984E-2</v>
      </c>
      <c r="O39" s="93">
        <f t="shared" si="5"/>
        <v>0.23543489039047927</v>
      </c>
      <c r="AD39" s="98">
        <f t="shared" ca="1" si="2"/>
        <v>0.68993839835728954</v>
      </c>
      <c r="AE39" s="99">
        <f t="shared" ca="1" si="1"/>
        <v>42237</v>
      </c>
      <c r="AF39" s="6">
        <v>0.32926210478518053</v>
      </c>
    </row>
    <row r="40" spans="2:32" x14ac:dyDescent="0.2">
      <c r="B40" s="29" t="s">
        <v>92</v>
      </c>
      <c r="C40" s="40">
        <v>133.11500000000001</v>
      </c>
      <c r="D40" s="40">
        <v>133.07</v>
      </c>
      <c r="E40" s="40">
        <v>0</v>
      </c>
      <c r="F40" s="85">
        <f>IF($B$6,_xll.BDP(B40,"PX_ASK"),C40)+$E40</f>
        <v>140.08500000000001</v>
      </c>
      <c r="G40" s="85">
        <f>IF(LiveMarketData,_xll.BDP(B40,"PX_BID"),D40)+$E40</f>
        <v>140.04499999999999</v>
      </c>
      <c r="H40" s="40" t="b">
        <v>0</v>
      </c>
      <c r="I40" s="40" t="b">
        <v>0</v>
      </c>
      <c r="J40" s="40">
        <v>1</v>
      </c>
      <c r="K40" s="93">
        <v>139.93372150283284</v>
      </c>
      <c r="L40" s="96">
        <v>52207</v>
      </c>
      <c r="M40" s="95">
        <v>2.5057679957683971</v>
      </c>
      <c r="N40" s="93">
        <f t="shared" si="4"/>
        <v>1.7234043818467774E-2</v>
      </c>
      <c r="O40" s="93">
        <f t="shared" si="5"/>
        <v>-0.131278497167159</v>
      </c>
      <c r="AD40" s="98">
        <f t="shared" ca="1" si="2"/>
        <v>0.70910335386721424</v>
      </c>
      <c r="AE40" s="99">
        <f t="shared" ca="1" si="1"/>
        <v>42244</v>
      </c>
      <c r="AF40" s="6">
        <v>0.33306949339719893</v>
      </c>
    </row>
    <row r="41" spans="2:32" x14ac:dyDescent="0.2">
      <c r="B41" s="29" t="s">
        <v>93</v>
      </c>
      <c r="C41" s="40">
        <v>108.24</v>
      </c>
      <c r="D41" s="40">
        <v>108.2</v>
      </c>
      <c r="E41" s="40">
        <v>0</v>
      </c>
      <c r="F41" s="85">
        <f>IF($B$6,_xll.BDP(B41,"PX_ASK"),C41)+$E41</f>
        <v>114.435</v>
      </c>
      <c r="G41" s="85">
        <f>IF(LiveMarketData,_xll.BDP(B41,"PX_BID"),D41)+$E41</f>
        <v>114.395</v>
      </c>
      <c r="H41" s="40" t="b">
        <v>0</v>
      </c>
      <c r="I41" s="40" t="b">
        <v>0</v>
      </c>
      <c r="J41" s="40">
        <v>1</v>
      </c>
      <c r="K41" s="93">
        <v>114.44716626002261</v>
      </c>
      <c r="L41" s="96">
        <v>52618</v>
      </c>
      <c r="M41" s="95">
        <v>2.544234491267833</v>
      </c>
      <c r="N41" s="93">
        <f t="shared" si="4"/>
        <v>1.0346682838428315E-3</v>
      </c>
      <c r="O41" s="93">
        <f t="shared" si="5"/>
        <v>3.2166260022620463E-2</v>
      </c>
      <c r="AD41" s="98">
        <f t="shared" ca="1" si="2"/>
        <v>0.72826830937713893</v>
      </c>
      <c r="AE41" s="99">
        <f t="shared" ca="1" si="1"/>
        <v>42251</v>
      </c>
      <c r="AF41" s="6">
        <v>0.33675108836815609</v>
      </c>
    </row>
    <row r="42" spans="2:32" x14ac:dyDescent="0.2">
      <c r="B42" s="29" t="s">
        <v>94</v>
      </c>
      <c r="C42" s="40">
        <v>113.30500000000001</v>
      </c>
      <c r="D42" s="40">
        <v>113.265</v>
      </c>
      <c r="E42" s="40">
        <v>0</v>
      </c>
      <c r="F42" s="85">
        <f>IF($B$6,_xll.BDP(B42,"PX_ASK"),C42)+$E42</f>
        <v>119.85</v>
      </c>
      <c r="G42" s="85">
        <f>IF(LiveMarketData,_xll.BDP(B42,"PX_BID"),D42)+$E42</f>
        <v>119.815</v>
      </c>
      <c r="H42" s="40" t="b">
        <v>0</v>
      </c>
      <c r="I42" s="40" t="b">
        <v>0</v>
      </c>
      <c r="J42" s="40">
        <v>1</v>
      </c>
      <c r="K42" s="93">
        <v>120.09836124891305</v>
      </c>
      <c r="L42" s="96">
        <v>52984</v>
      </c>
      <c r="M42" s="95">
        <v>2.5406542116311424</v>
      </c>
      <c r="N42" s="93">
        <f t="shared" si="4"/>
        <v>7.0682203673609251E-2</v>
      </c>
      <c r="O42" s="93">
        <f t="shared" si="5"/>
        <v>0.26586124891305474</v>
      </c>
      <c r="AD42" s="98">
        <f t="shared" ca="1" si="2"/>
        <v>0.74743326488706363</v>
      </c>
      <c r="AE42" s="99">
        <f t="shared" ca="1" si="1"/>
        <v>42258</v>
      </c>
      <c r="AF42" s="6">
        <v>0.3403069398524271</v>
      </c>
    </row>
    <row r="43" spans="2:32" x14ac:dyDescent="0.2">
      <c r="B43" s="29" t="s">
        <v>95</v>
      </c>
      <c r="C43" s="40">
        <v>130.26</v>
      </c>
      <c r="D43" s="40">
        <v>130.21</v>
      </c>
      <c r="E43" s="40">
        <v>0</v>
      </c>
      <c r="F43" s="85">
        <f>IF($B$6,_xll.BDP(B43,"PX_ASK"),C43)+$E43</f>
        <v>137.845</v>
      </c>
      <c r="G43" s="85">
        <f>IF(LiveMarketData,_xll.BDP(B43,"PX_BID"),D43)+$E43</f>
        <v>137.80000000000001</v>
      </c>
      <c r="H43" s="40" t="b">
        <v>0</v>
      </c>
      <c r="I43" s="40" t="b">
        <v>0</v>
      </c>
      <c r="J43" s="40">
        <v>1</v>
      </c>
      <c r="K43" s="93">
        <v>137.66128046345602</v>
      </c>
      <c r="L43" s="96">
        <v>53668</v>
      </c>
      <c r="M43" s="95">
        <v>2.526164254439804</v>
      </c>
      <c r="N43" s="93">
        <f t="shared" si="4"/>
        <v>2.5991738963451666E-2</v>
      </c>
      <c r="O43" s="93">
        <f t="shared" si="5"/>
        <v>-0.16121953654396748</v>
      </c>
      <c r="AD43" s="98">
        <f t="shared" ca="1" si="2"/>
        <v>0.76659822039698833</v>
      </c>
      <c r="AE43" s="99">
        <f t="shared" ca="1" si="1"/>
        <v>42265</v>
      </c>
      <c r="AF43" s="6">
        <v>0.3437400707781853</v>
      </c>
    </row>
    <row r="44" spans="2:32" x14ac:dyDescent="0.2">
      <c r="B44" s="29" t="s">
        <v>96</v>
      </c>
      <c r="C44" s="40">
        <v>132.11500000000001</v>
      </c>
      <c r="D44" s="40">
        <v>132.065</v>
      </c>
      <c r="E44" s="40">
        <v>0</v>
      </c>
      <c r="F44" s="85">
        <f>IF($B$6,_xll.BDP(B44,"PX_ASK"),C44)+$E44</f>
        <v>140.41</v>
      </c>
      <c r="G44" s="85">
        <f>IF(LiveMarketData,_xll.BDP(B44,"PX_BID"),D44)+$E44</f>
        <v>140.36000000000001</v>
      </c>
      <c r="H44" s="40" t="b">
        <v>0</v>
      </c>
      <c r="I44" s="40" t="b">
        <v>0</v>
      </c>
      <c r="J44" s="40">
        <v>1</v>
      </c>
      <c r="K44" s="93">
        <v>140.11526286685159</v>
      </c>
      <c r="L44" s="96">
        <v>54764</v>
      </c>
      <c r="M44" s="95">
        <v>2.518078824738518</v>
      </c>
      <c r="N44" s="93">
        <f t="shared" si="4"/>
        <v>7.2758120999115744E-2</v>
      </c>
      <c r="O44" s="93">
        <f t="shared" si="5"/>
        <v>-0.26973713314839642</v>
      </c>
      <c r="AD44" s="98">
        <f t="shared" ca="1" si="2"/>
        <v>0.78576317590691303</v>
      </c>
      <c r="AE44" s="99">
        <f t="shared" ca="1" si="1"/>
        <v>42272</v>
      </c>
      <c r="AF44" s="6">
        <v>0.34705639584444908</v>
      </c>
    </row>
    <row r="45" spans="2:32" x14ac:dyDescent="0.2">
      <c r="B45" s="29" t="s">
        <v>97</v>
      </c>
      <c r="C45" s="40">
        <v>121.325</v>
      </c>
      <c r="D45" s="40">
        <v>121.27500000000001</v>
      </c>
      <c r="E45" s="40">
        <v>0</v>
      </c>
      <c r="F45" s="85">
        <f>IF($B$6,_xll.BDP(B45,"PX_ASK"),C45)+$E45</f>
        <v>129.57499999999999</v>
      </c>
      <c r="G45" s="85">
        <f>IF(LiveMarketData,_xll.BDP(B45,"PX_BID"),D45)+$E45</f>
        <v>129.52500000000001</v>
      </c>
      <c r="H45" s="40" t="b">
        <v>0</v>
      </c>
      <c r="I45" s="40" t="b">
        <v>0</v>
      </c>
      <c r="J45" s="40">
        <v>1</v>
      </c>
      <c r="K45" s="93">
        <v>129.99925849317657</v>
      </c>
      <c r="L45" s="96">
        <v>55722</v>
      </c>
      <c r="M45" s="95">
        <v>2.5122049265435082</v>
      </c>
      <c r="N45" s="93">
        <f t="shared" si="4"/>
        <v>0.20183319369127117</v>
      </c>
      <c r="O45" s="93">
        <f t="shared" si="5"/>
        <v>0.44925849317655775</v>
      </c>
      <c r="AD45" s="98">
        <f t="shared" ca="1" si="2"/>
        <v>0.80492813141683783</v>
      </c>
      <c r="AE45" s="99">
        <f t="shared" ca="1" si="1"/>
        <v>42279</v>
      </c>
      <c r="AF45" s="6">
        <v>0.35026447184929516</v>
      </c>
    </row>
    <row r="46" spans="2:32" x14ac:dyDescent="0.2">
      <c r="B46" s="29" t="s">
        <v>98</v>
      </c>
      <c r="C46" s="40">
        <v>135.29499999999999</v>
      </c>
      <c r="D46" s="40">
        <v>135.24</v>
      </c>
      <c r="E46" s="40">
        <v>0</v>
      </c>
      <c r="F46" s="85">
        <f>IF($B$6,_xll.BDP(B46,"PX_ASK"),C46)+$E46</f>
        <v>144.98500000000001</v>
      </c>
      <c r="G46" s="85">
        <f>IF(LiveMarketData,_xll.BDP(B46,"PX_BID"),D46)+$E46</f>
        <v>144.93</v>
      </c>
      <c r="H46" s="40" t="b">
        <v>0</v>
      </c>
      <c r="I46" s="40" t="b">
        <v>0</v>
      </c>
      <c r="J46" s="40">
        <v>1</v>
      </c>
      <c r="K46" s="93">
        <v>144.71900583117818</v>
      </c>
      <c r="L46" s="96">
        <v>56955</v>
      </c>
      <c r="M46" s="95">
        <v>2.4997230389076091</v>
      </c>
      <c r="N46" s="93">
        <f t="shared" si="4"/>
        <v>5.6879468562015784E-2</v>
      </c>
      <c r="O46" s="93">
        <f t="shared" si="5"/>
        <v>-0.2384941688218305</v>
      </c>
      <c r="AD46" s="98">
        <f t="shared" ca="1" si="2"/>
        <v>0.82409308692676253</v>
      </c>
      <c r="AE46" s="99">
        <f t="shared" ca="1" si="1"/>
        <v>42286</v>
      </c>
      <c r="AF46" s="6">
        <v>0.35337510105846404</v>
      </c>
    </row>
    <row r="47" spans="2:32" x14ac:dyDescent="0.2">
      <c r="B47" s="29" t="s">
        <v>99</v>
      </c>
      <c r="C47" s="40">
        <v>130.405</v>
      </c>
      <c r="D47" s="40">
        <v>130.35</v>
      </c>
      <c r="E47" s="40">
        <v>0</v>
      </c>
      <c r="F47" s="85">
        <f>IF($B$6,_xll.BDP(B47,"PX_ASK"),C47)+$E47</f>
        <v>140.38499999999999</v>
      </c>
      <c r="G47" s="85">
        <f>IF(LiveMarketData,_xll.BDP(B47,"PX_BID"),D47)+$E47</f>
        <v>140.33000000000001</v>
      </c>
      <c r="H47" s="40" t="b">
        <v>0</v>
      </c>
      <c r="I47" s="40" t="b">
        <v>0</v>
      </c>
      <c r="J47" s="40">
        <v>1</v>
      </c>
      <c r="K47" s="93">
        <v>140.38940984983944</v>
      </c>
      <c r="L47" s="96">
        <v>58462</v>
      </c>
      <c r="M47" s="95">
        <v>2.5012600692472122</v>
      </c>
      <c r="N47" s="93">
        <f t="shared" si="4"/>
        <v>1.018238516774497E-3</v>
      </c>
      <c r="O47" s="93">
        <f t="shared" si="5"/>
        <v>3.1909849839422577E-2</v>
      </c>
      <c r="AD47" s="98">
        <f t="shared" ca="1" si="2"/>
        <v>0.84325804243668723</v>
      </c>
      <c r="AE47" s="99">
        <f t="shared" ca="1" si="1"/>
        <v>42293</v>
      </c>
      <c r="AF47" s="6">
        <v>0.3564008242729565</v>
      </c>
    </row>
    <row r="48" spans="2:32" x14ac:dyDescent="0.2">
      <c r="B48" s="29" t="s">
        <v>100</v>
      </c>
      <c r="C48" s="40">
        <v>118.455</v>
      </c>
      <c r="D48" s="40">
        <v>118.405</v>
      </c>
      <c r="E48" s="40">
        <v>0</v>
      </c>
      <c r="F48" s="85">
        <f>IF($B$6,_xll.BDP(B48,"PX_ASK"),C48)+$E48</f>
        <v>128.71</v>
      </c>
      <c r="G48" s="85">
        <f>IF(LiveMarketData,_xll.BDP(B48,"PX_BID"),D48)+$E48</f>
        <v>128.66</v>
      </c>
      <c r="H48" s="40" t="b">
        <v>0</v>
      </c>
      <c r="I48" s="40" t="b">
        <v>0</v>
      </c>
      <c r="J48" s="40">
        <v>1</v>
      </c>
      <c r="K48" s="93">
        <v>128.69244941216067</v>
      </c>
      <c r="L48" s="96">
        <v>61566</v>
      </c>
      <c r="M48" s="95">
        <v>2.5210128768843849</v>
      </c>
      <c r="N48" s="93">
        <f t="shared" si="4"/>
        <v>5.5493741539502835E-5</v>
      </c>
      <c r="O48" s="93">
        <f t="shared" si="5"/>
        <v>7.4494121606676345E-3</v>
      </c>
      <c r="AD48" s="98">
        <f t="shared" ca="1" si="2"/>
        <v>0.86242299794661192</v>
      </c>
      <c r="AE48" s="99">
        <f t="shared" ca="1" si="1"/>
        <v>42300</v>
      </c>
      <c r="AF48" s="6">
        <v>0.35935534965291083</v>
      </c>
    </row>
    <row r="49" spans="30:32" x14ac:dyDescent="0.2">
      <c r="AD49" s="98">
        <f t="shared" ca="1" si="2"/>
        <v>0.88158795345653662</v>
      </c>
      <c r="AE49" s="99">
        <f t="shared" ca="1" si="1"/>
        <v>42307</v>
      </c>
      <c r="AF49" s="6">
        <v>0.36225296604840518</v>
      </c>
    </row>
    <row r="50" spans="30:32" x14ac:dyDescent="0.2">
      <c r="AD50" s="98">
        <f t="shared" ca="1" si="2"/>
        <v>0.90075290896646132</v>
      </c>
      <c r="AE50" s="99">
        <f t="shared" ca="1" si="1"/>
        <v>42314</v>
      </c>
      <c r="AF50" s="6">
        <v>0.36510798582333598</v>
      </c>
    </row>
    <row r="51" spans="30:32" x14ac:dyDescent="0.2">
      <c r="AD51" s="98">
        <f t="shared" ca="1" si="2"/>
        <v>0.91991786447638602</v>
      </c>
      <c r="AE51" s="99">
        <f t="shared" ca="1" si="1"/>
        <v>42321</v>
      </c>
      <c r="AF51" s="6">
        <v>0.36793425336581737</v>
      </c>
    </row>
    <row r="52" spans="30:32" x14ac:dyDescent="0.2">
      <c r="AD52" s="98">
        <f t="shared" ca="1" si="2"/>
        <v>0.93908281998631071</v>
      </c>
      <c r="AE52" s="99">
        <f t="shared" ca="1" si="1"/>
        <v>42328</v>
      </c>
      <c r="AF52" s="6">
        <v>0.37074474377593802</v>
      </c>
    </row>
    <row r="53" spans="30:32" x14ac:dyDescent="0.2">
      <c r="AD53" s="98">
        <f t="shared" ca="1" si="2"/>
        <v>0.95824777549623541</v>
      </c>
      <c r="AE53" s="99">
        <f t="shared" ca="1" si="1"/>
        <v>42335</v>
      </c>
      <c r="AF53" s="6">
        <v>0.37355126384020093</v>
      </c>
    </row>
    <row r="54" spans="30:32" x14ac:dyDescent="0.2">
      <c r="AD54" s="98">
        <f t="shared" ca="1" si="2"/>
        <v>0.97741273100616022</v>
      </c>
      <c r="AE54" s="99">
        <f t="shared" ca="1" si="1"/>
        <v>42342</v>
      </c>
      <c r="AF54" s="6">
        <v>0.37636425620607933</v>
      </c>
    </row>
    <row r="55" spans="30:32" x14ac:dyDescent="0.2">
      <c r="AD55" s="98">
        <f t="shared" ca="1" si="2"/>
        <v>0.99657768651608492</v>
      </c>
      <c r="AE55" s="99">
        <f t="shared" ca="1" si="1"/>
        <v>42349</v>
      </c>
      <c r="AF55" s="6">
        <v>0.37919269888148766</v>
      </c>
    </row>
    <row r="56" spans="30:32" x14ac:dyDescent="0.2">
      <c r="AD56" s="98">
        <f t="shared" ca="1" si="2"/>
        <v>1.0157426420260096</v>
      </c>
      <c r="AE56" s="99">
        <f t="shared" ca="1" si="1"/>
        <v>42356</v>
      </c>
      <c r="AF56" s="6">
        <v>0.38199698370430984</v>
      </c>
    </row>
    <row r="57" spans="30:32" x14ac:dyDescent="0.2">
      <c r="AD57" s="98">
        <f t="shared" ca="1" si="2"/>
        <v>1.0349075975359343</v>
      </c>
      <c r="AE57" s="99">
        <f t="shared" ca="1" si="1"/>
        <v>42363</v>
      </c>
      <c r="AF57" s="6">
        <v>0.38469933234471904</v>
      </c>
    </row>
    <row r="58" spans="30:32" x14ac:dyDescent="0.2">
      <c r="AD58" s="98">
        <f t="shared" ca="1" si="2"/>
        <v>1.054072553045859</v>
      </c>
      <c r="AE58" s="99">
        <f t="shared" ca="1" si="1"/>
        <v>42370</v>
      </c>
      <c r="AF58" s="6">
        <v>0.38729732458171745</v>
      </c>
    </row>
    <row r="59" spans="30:32" x14ac:dyDescent="0.2">
      <c r="AD59" s="98">
        <f t="shared" ca="1" si="2"/>
        <v>1.0732375085557837</v>
      </c>
      <c r="AE59" s="99">
        <f t="shared" ca="1" si="1"/>
        <v>42377</v>
      </c>
      <c r="AF59" s="6">
        <v>0.38979022794587348</v>
      </c>
    </row>
    <row r="60" spans="30:32" x14ac:dyDescent="0.2">
      <c r="AD60" s="98">
        <f t="shared" ca="1" si="2"/>
        <v>1.0924024640657084</v>
      </c>
      <c r="AE60" s="99">
        <f t="shared" ca="1" si="1"/>
        <v>42384</v>
      </c>
      <c r="AF60" s="6">
        <v>0.39217776056347764</v>
      </c>
    </row>
    <row r="61" spans="30:32" x14ac:dyDescent="0.2">
      <c r="AD61" s="98">
        <f t="shared" ca="1" si="2"/>
        <v>1.1115674195756331</v>
      </c>
      <c r="AE61" s="99">
        <f t="shared" ca="1" si="1"/>
        <v>42391</v>
      </c>
      <c r="AF61" s="6">
        <v>0.39446013521207013</v>
      </c>
    </row>
    <row r="62" spans="30:32" x14ac:dyDescent="0.2">
      <c r="AD62" s="98">
        <f t="shared" ca="1" si="2"/>
        <v>1.1307323750855578</v>
      </c>
      <c r="AE62" s="99">
        <f t="shared" ca="1" si="1"/>
        <v>42398</v>
      </c>
      <c r="AF62" s="6">
        <v>0.39663810210212974</v>
      </c>
    </row>
    <row r="63" spans="30:32" x14ac:dyDescent="0.2">
      <c r="AD63" s="98">
        <f t="shared" ca="1" si="2"/>
        <v>1.1498973305954825</v>
      </c>
      <c r="AE63" s="99">
        <f t="shared" ca="1" si="1"/>
        <v>42405</v>
      </c>
      <c r="AF63" s="6">
        <v>0.39871298946613559</v>
      </c>
    </row>
    <row r="64" spans="30:32" x14ac:dyDescent="0.2">
      <c r="AD64" s="98">
        <f t="shared" ca="1" si="2"/>
        <v>1.1690622861054072</v>
      </c>
      <c r="AE64" s="99">
        <f t="shared" ca="1" si="1"/>
        <v>42412</v>
      </c>
      <c r="AF64" s="6">
        <v>0.40068674095526058</v>
      </c>
    </row>
    <row r="65" spans="30:32" x14ac:dyDescent="0.2">
      <c r="AD65" s="98">
        <f t="shared" ca="1" si="2"/>
        <v>1.1882272416153319</v>
      </c>
      <c r="AE65" s="99">
        <f t="shared" ca="1" si="1"/>
        <v>42419</v>
      </c>
      <c r="AF65" s="6">
        <v>0.40256194878109436</v>
      </c>
    </row>
    <row r="66" spans="30:32" x14ac:dyDescent="0.2">
      <c r="AD66" s="98">
        <f t="shared" ca="1" si="2"/>
        <v>1.2073921971252566</v>
      </c>
      <c r="AE66" s="99">
        <f t="shared" ca="1" si="1"/>
        <v>42426</v>
      </c>
      <c r="AF66" s="6">
        <v>0.40434188150070915</v>
      </c>
    </row>
    <row r="67" spans="30:32" x14ac:dyDescent="0.2">
      <c r="AD67" s="98">
        <f t="shared" ca="1" si="2"/>
        <v>1.2265571526351813</v>
      </c>
      <c r="AE67" s="99">
        <f t="shared" ca="1" si="1"/>
        <v>42433</v>
      </c>
      <c r="AF67" s="6">
        <v>0.40603050533371932</v>
      </c>
    </row>
    <row r="68" spans="30:32" x14ac:dyDescent="0.2">
      <c r="AD68" s="98">
        <f t="shared" ca="1" si="2"/>
        <v>1.2457221081451062</v>
      </c>
      <c r="AE68" s="99">
        <f t="shared" ref="AE68:AE131" ca="1" si="6">AE67+7</f>
        <v>42440</v>
      </c>
      <c r="AF68" s="6">
        <v>0.40763249792497386</v>
      </c>
    </row>
    <row r="69" spans="30:32" x14ac:dyDescent="0.2">
      <c r="AD69" s="98">
        <f t="shared" ref="AD69:AD132" ca="1" si="7">(AE69-$B$3)/365.25</f>
        <v>1.2648870636550309</v>
      </c>
      <c r="AE69" s="99">
        <f t="shared" ca="1" si="6"/>
        <v>42447</v>
      </c>
      <c r="AF69" s="6">
        <v>0.40915325353057042</v>
      </c>
    </row>
    <row r="70" spans="30:32" x14ac:dyDescent="0.2">
      <c r="AD70" s="98">
        <f t="shared" ca="1" si="7"/>
        <v>1.2840520191649556</v>
      </c>
      <c r="AE70" s="99">
        <f t="shared" ca="1" si="6"/>
        <v>42454</v>
      </c>
      <c r="AF70" s="6">
        <v>0.41059887871120732</v>
      </c>
    </row>
    <row r="71" spans="30:32" x14ac:dyDescent="0.2">
      <c r="AD71" s="98">
        <f t="shared" ca="1" si="7"/>
        <v>1.3032169746748803</v>
      </c>
      <c r="AE71" s="99">
        <f t="shared" ca="1" si="6"/>
        <v>42461</v>
      </c>
      <c r="AF71" s="6">
        <v>0.41197617776700834</v>
      </c>
    </row>
    <row r="72" spans="30:32" x14ac:dyDescent="0.2">
      <c r="AD72" s="98">
        <f t="shared" ca="1" si="7"/>
        <v>1.322381930184805</v>
      </c>
      <c r="AE72" s="99">
        <f t="shared" ca="1" si="6"/>
        <v>42468</v>
      </c>
      <c r="AF72" s="6">
        <v>0.41329262734141131</v>
      </c>
    </row>
    <row r="73" spans="30:32" x14ac:dyDescent="0.2">
      <c r="AD73" s="98">
        <f t="shared" ca="1" si="7"/>
        <v>1.3415468856947297</v>
      </c>
      <c r="AE73" s="99">
        <f t="shared" ca="1" si="6"/>
        <v>42475</v>
      </c>
      <c r="AF73" s="6">
        <v>0.41455633985568574</v>
      </c>
    </row>
    <row r="74" spans="30:32" x14ac:dyDescent="0.2">
      <c r="AD74" s="98">
        <f t="shared" ca="1" si="7"/>
        <v>1.3607118412046544</v>
      </c>
      <c r="AE74" s="99">
        <f t="shared" ca="1" si="6"/>
        <v>42482</v>
      </c>
      <c r="AF74" s="6">
        <v>0.41577601570482692</v>
      </c>
    </row>
    <row r="75" spans="30:32" x14ac:dyDescent="0.2">
      <c r="AD75" s="98">
        <f t="shared" ca="1" si="7"/>
        <v>1.3798767967145791</v>
      </c>
      <c r="AE75" s="99">
        <f t="shared" ca="1" si="6"/>
        <v>42489</v>
      </c>
      <c r="AF75" s="6">
        <v>0.41696088444215273</v>
      </c>
    </row>
    <row r="76" spans="30:32" x14ac:dyDescent="0.2">
      <c r="AD76" s="98">
        <f t="shared" ca="1" si="7"/>
        <v>1.3990417522245038</v>
      </c>
      <c r="AE76" s="99">
        <f t="shared" ca="1" si="6"/>
        <v>42496</v>
      </c>
      <c r="AF76" s="6">
        <v>0.4181206354937177</v>
      </c>
    </row>
    <row r="77" spans="30:32" x14ac:dyDescent="0.2">
      <c r="AD77" s="98">
        <f t="shared" ca="1" si="7"/>
        <v>1.4182067077344285</v>
      </c>
      <c r="AE77" s="99">
        <f t="shared" ca="1" si="6"/>
        <v>42503</v>
      </c>
      <c r="AF77" s="6">
        <v>0.41926533926252729</v>
      </c>
    </row>
    <row r="78" spans="30:32" x14ac:dyDescent="0.2">
      <c r="AD78" s="98">
        <f t="shared" ca="1" si="7"/>
        <v>1.4373716632443532</v>
      </c>
      <c r="AE78" s="99">
        <f t="shared" ca="1" si="6"/>
        <v>42510</v>
      </c>
      <c r="AF78" s="6">
        <v>0.42040535979291682</v>
      </c>
    </row>
    <row r="79" spans="30:32" x14ac:dyDescent="0.2">
      <c r="AD79" s="98">
        <f t="shared" ca="1" si="7"/>
        <v>1.4565366187542779</v>
      </c>
      <c r="AE79" s="99">
        <f t="shared" ca="1" si="6"/>
        <v>42517</v>
      </c>
      <c r="AF79" s="6">
        <v>0.42155126045312147</v>
      </c>
    </row>
    <row r="80" spans="30:32" x14ac:dyDescent="0.2">
      <c r="AD80" s="98">
        <f t="shared" ca="1" si="7"/>
        <v>1.4757015742642026</v>
      </c>
      <c r="AE80" s="99">
        <f t="shared" ca="1" si="6"/>
        <v>42524</v>
      </c>
      <c r="AF80" s="6">
        <v>0.42271370434499195</v>
      </c>
    </row>
    <row r="81" spans="30:32" x14ac:dyDescent="0.2">
      <c r="AD81" s="98">
        <f t="shared" ca="1" si="7"/>
        <v>1.4948665297741273</v>
      </c>
      <c r="AE81" s="99">
        <f t="shared" ca="1" si="6"/>
        <v>42531</v>
      </c>
      <c r="AF81" s="6">
        <v>0.42390335135103652</v>
      </c>
    </row>
    <row r="82" spans="30:32" x14ac:dyDescent="0.2">
      <c r="AD82" s="98">
        <f t="shared" ca="1" si="7"/>
        <v>1.514031485284052</v>
      </c>
      <c r="AE82" s="99">
        <f t="shared" ca="1" si="6"/>
        <v>42538</v>
      </c>
      <c r="AF82" s="6">
        <v>0.42513075386961074</v>
      </c>
    </row>
    <row r="83" spans="30:32" x14ac:dyDescent="0.2">
      <c r="AD83" s="98">
        <f t="shared" ca="1" si="7"/>
        <v>1.5331964407939767</v>
      </c>
      <c r="AE83" s="99">
        <f t="shared" ca="1" si="6"/>
        <v>42545</v>
      </c>
      <c r="AF83" s="6">
        <v>0.4264062533609968</v>
      </c>
    </row>
    <row r="84" spans="30:32" x14ac:dyDescent="0.2">
      <c r="AD84" s="98">
        <f t="shared" ca="1" si="7"/>
        <v>1.5523613963039014</v>
      </c>
      <c r="AE84" s="99">
        <f t="shared" ca="1" si="6"/>
        <v>42552</v>
      </c>
      <c r="AF84" s="6">
        <v>0.42773987982568118</v>
      </c>
    </row>
    <row r="85" spans="30:32" x14ac:dyDescent="0.2">
      <c r="AD85" s="98">
        <f t="shared" ca="1" si="7"/>
        <v>1.5715263518138261</v>
      </c>
      <c r="AE85" s="99">
        <f t="shared" ca="1" si="6"/>
        <v>42559</v>
      </c>
      <c r="AF85" s="6">
        <v>0.42914125626049821</v>
      </c>
    </row>
    <row r="86" spans="30:32" x14ac:dyDescent="0.2">
      <c r="AD86" s="98">
        <f t="shared" ca="1" si="7"/>
        <v>1.5906913073237507</v>
      </c>
      <c r="AE86" s="99">
        <f t="shared" ca="1" si="6"/>
        <v>42566</v>
      </c>
      <c r="AF86" s="6">
        <v>0.43061950999159709</v>
      </c>
    </row>
    <row r="87" spans="30:32" x14ac:dyDescent="0.2">
      <c r="AD87" s="98">
        <f t="shared" ca="1" si="7"/>
        <v>1.6098562628336757</v>
      </c>
      <c r="AE87" s="99">
        <f t="shared" ca="1" si="6"/>
        <v>42573</v>
      </c>
      <c r="AF87" s="6">
        <v>0.43218319257225291</v>
      </c>
    </row>
    <row r="88" spans="30:32" x14ac:dyDescent="0.2">
      <c r="AD88" s="98">
        <f t="shared" ca="1" si="7"/>
        <v>1.6290212183436004</v>
      </c>
      <c r="AE88" s="99">
        <f t="shared" ca="1" si="6"/>
        <v>42580</v>
      </c>
      <c r="AF88" s="6">
        <v>0.43384020966856246</v>
      </c>
    </row>
    <row r="89" spans="30:32" x14ac:dyDescent="0.2">
      <c r="AD89" s="98">
        <f t="shared" ca="1" si="7"/>
        <v>1.6481861738535251</v>
      </c>
      <c r="AE89" s="99">
        <f t="shared" ca="1" si="6"/>
        <v>42587</v>
      </c>
      <c r="AF89" s="6">
        <v>0.43559776204976003</v>
      </c>
    </row>
    <row r="90" spans="30:32" x14ac:dyDescent="0.2">
      <c r="AD90" s="98">
        <f t="shared" ca="1" si="7"/>
        <v>1.6673511293634498</v>
      </c>
      <c r="AE90" s="99">
        <f t="shared" ca="1" si="6"/>
        <v>42594</v>
      </c>
      <c r="AF90" s="6">
        <v>0.43746229846673412</v>
      </c>
    </row>
    <row r="91" spans="30:32" x14ac:dyDescent="0.2">
      <c r="AD91" s="98">
        <f t="shared" ca="1" si="7"/>
        <v>1.6865160848733745</v>
      </c>
      <c r="AE91" s="99">
        <f t="shared" ca="1" si="6"/>
        <v>42601</v>
      </c>
      <c r="AF91" s="6">
        <v>0.43943948085751611</v>
      </c>
    </row>
    <row r="92" spans="30:32" x14ac:dyDescent="0.2">
      <c r="AD92" s="98">
        <f t="shared" ca="1" si="7"/>
        <v>1.7056810403832992</v>
      </c>
      <c r="AE92" s="99">
        <f t="shared" ca="1" si="6"/>
        <v>42608</v>
      </c>
      <c r="AF92" s="6">
        <v>0.44153416197702999</v>
      </c>
    </row>
    <row r="93" spans="30:32" x14ac:dyDescent="0.2">
      <c r="AD93" s="98">
        <f t="shared" ca="1" si="7"/>
        <v>1.7248459958932238</v>
      </c>
      <c r="AE93" s="99">
        <f t="shared" ca="1" si="6"/>
        <v>42615</v>
      </c>
      <c r="AF93" s="6">
        <v>0.4437503752241293</v>
      </c>
    </row>
    <row r="94" spans="30:32" x14ac:dyDescent="0.2">
      <c r="AD94" s="98">
        <f t="shared" ca="1" si="7"/>
        <v>1.7440109514031485</v>
      </c>
      <c r="AE94" s="99">
        <f t="shared" ca="1" si="6"/>
        <v>42622</v>
      </c>
      <c r="AF94" s="6">
        <v>0.4460913361438858</v>
      </c>
    </row>
    <row r="95" spans="30:32" x14ac:dyDescent="0.2">
      <c r="AD95" s="98">
        <f t="shared" ca="1" si="7"/>
        <v>1.7631759069130732</v>
      </c>
      <c r="AE95" s="99">
        <f t="shared" ca="1" si="6"/>
        <v>42629</v>
      </c>
      <c r="AF95" s="6">
        <v>0.44855945482686804</v>
      </c>
    </row>
    <row r="96" spans="30:32" x14ac:dyDescent="0.2">
      <c r="AD96" s="98">
        <f t="shared" ca="1" si="7"/>
        <v>1.7823408624229979</v>
      </c>
      <c r="AE96" s="99">
        <f t="shared" ca="1" si="6"/>
        <v>42636</v>
      </c>
      <c r="AF96" s="6">
        <v>0.45115635821658001</v>
      </c>
    </row>
    <row r="97" spans="30:32" x14ac:dyDescent="0.2">
      <c r="AD97" s="98">
        <f t="shared" ca="1" si="7"/>
        <v>1.8015058179329226</v>
      </c>
      <c r="AE97" s="99">
        <f t="shared" ca="1" si="6"/>
        <v>42643</v>
      </c>
      <c r="AF97" s="6">
        <v>0.45388292117530354</v>
      </c>
    </row>
    <row r="98" spans="30:32" x14ac:dyDescent="0.2">
      <c r="AD98" s="98">
        <f t="shared" ca="1" si="7"/>
        <v>1.8206707734428473</v>
      </c>
      <c r="AE98" s="99">
        <f t="shared" ca="1" si="6"/>
        <v>42650</v>
      </c>
      <c r="AF98" s="6">
        <v>0.45673930504854104</v>
      </c>
    </row>
    <row r="99" spans="30:32" x14ac:dyDescent="0.2">
      <c r="AD99" s="98">
        <f t="shared" ca="1" si="7"/>
        <v>1.839835728952772</v>
      </c>
      <c r="AE99" s="99">
        <f t="shared" ca="1" si="6"/>
        <v>42657</v>
      </c>
      <c r="AF99" s="6">
        <v>0.45972500240774505</v>
      </c>
    </row>
    <row r="100" spans="30:32" x14ac:dyDescent="0.2">
      <c r="AD100" s="98">
        <f t="shared" ca="1" si="7"/>
        <v>1.8590006844626967</v>
      </c>
      <c r="AE100" s="99">
        <f t="shared" ca="1" si="6"/>
        <v>42664</v>
      </c>
      <c r="AF100" s="6">
        <v>0.46283888663668132</v>
      </c>
    </row>
    <row r="101" spans="30:32" x14ac:dyDescent="0.2">
      <c r="AD101" s="98">
        <f t="shared" ca="1" si="7"/>
        <v>1.8781656399726214</v>
      </c>
      <c r="AE101" s="99">
        <f t="shared" ca="1" si="6"/>
        <v>42671</v>
      </c>
      <c r="AF101" s="6">
        <v>0.46607926505349273</v>
      </c>
    </row>
    <row r="102" spans="30:32" x14ac:dyDescent="0.2">
      <c r="AD102" s="98">
        <f t="shared" ca="1" si="7"/>
        <v>1.8973305954825461</v>
      </c>
      <c r="AE102" s="99">
        <f t="shared" ca="1" si="6"/>
        <v>42678</v>
      </c>
      <c r="AF102" s="6">
        <v>0.46944393432216125</v>
      </c>
    </row>
    <row r="103" spans="30:32" x14ac:dyDescent="0.2">
      <c r="AD103" s="98">
        <f t="shared" ca="1" si="7"/>
        <v>1.9164955509924708</v>
      </c>
      <c r="AE103" s="99">
        <f t="shared" ca="1" si="6"/>
        <v>42685</v>
      </c>
      <c r="AF103" s="6">
        <v>0.47293023699671799</v>
      </c>
    </row>
    <row r="104" spans="30:32" x14ac:dyDescent="0.2">
      <c r="AD104" s="98">
        <f t="shared" ca="1" si="7"/>
        <v>1.9356605065023955</v>
      </c>
      <c r="AE104" s="99">
        <f t="shared" ca="1" si="6"/>
        <v>42692</v>
      </c>
      <c r="AF104" s="6">
        <v>0.47653511815221905</v>
      </c>
    </row>
    <row r="105" spans="30:32" x14ac:dyDescent="0.2">
      <c r="AD105" s="98">
        <f t="shared" ca="1" si="7"/>
        <v>1.9548254620123204</v>
      </c>
      <c r="AE105" s="99">
        <f t="shared" ca="1" si="6"/>
        <v>42699</v>
      </c>
      <c r="AF105" s="6">
        <v>0.4802551811813392</v>
      </c>
    </row>
    <row r="106" spans="30:32" x14ac:dyDescent="0.2">
      <c r="AD106" s="98">
        <f t="shared" ca="1" si="7"/>
        <v>1.9739904175222451</v>
      </c>
      <c r="AE106" s="99">
        <f t="shared" ca="1" si="6"/>
        <v>42706</v>
      </c>
      <c r="AF106" s="6">
        <v>0.48408674196810797</v>
      </c>
    </row>
    <row r="107" spans="30:32" x14ac:dyDescent="0.2">
      <c r="AD107" s="98">
        <f t="shared" ca="1" si="7"/>
        <v>1.9931553730321698</v>
      </c>
      <c r="AE107" s="99">
        <f t="shared" ca="1" si="6"/>
        <v>42713</v>
      </c>
      <c r="AF107" s="6">
        <v>0.48802588078520504</v>
      </c>
    </row>
    <row r="108" spans="30:32" x14ac:dyDescent="0.2">
      <c r="AD108" s="98">
        <f t="shared" ca="1" si="7"/>
        <v>2.0123203285420943</v>
      </c>
      <c r="AE108" s="99">
        <f t="shared" ca="1" si="6"/>
        <v>42720</v>
      </c>
      <c r="AF108" s="6">
        <v>0.49206889509171681</v>
      </c>
    </row>
    <row r="109" spans="30:32" x14ac:dyDescent="0.2">
      <c r="AD109" s="98">
        <f t="shared" ca="1" si="7"/>
        <v>2.0314852840520192</v>
      </c>
      <c r="AE109" s="99">
        <f t="shared" ca="1" si="6"/>
        <v>42727</v>
      </c>
      <c r="AF109" s="6">
        <v>0.49621676773042295</v>
      </c>
    </row>
    <row r="110" spans="30:32" x14ac:dyDescent="0.2">
      <c r="AD110" s="98">
        <f t="shared" ca="1" si="7"/>
        <v>2.0506502395619437</v>
      </c>
      <c r="AE110" s="99">
        <f t="shared" ca="1" si="6"/>
        <v>42734</v>
      </c>
      <c r="AF110" s="6">
        <v>0.50047350597927365</v>
      </c>
    </row>
    <row r="111" spans="30:32" x14ac:dyDescent="0.2">
      <c r="AD111" s="98">
        <f t="shared" ca="1" si="7"/>
        <v>2.0698151950718686</v>
      </c>
      <c r="AE111" s="99">
        <f t="shared" ca="1" si="6"/>
        <v>42741</v>
      </c>
      <c r="AF111" s="6">
        <v>0.50484297162021829</v>
      </c>
    </row>
    <row r="112" spans="30:32" x14ac:dyDescent="0.2">
      <c r="AD112" s="98">
        <f t="shared" ca="1" si="7"/>
        <v>2.0889801505817931</v>
      </c>
      <c r="AE112" s="99">
        <f t="shared" ca="1" si="6"/>
        <v>42748</v>
      </c>
      <c r="AF112" s="6">
        <v>0.5093287752787643</v>
      </c>
    </row>
    <row r="113" spans="30:32" x14ac:dyDescent="0.2">
      <c r="AD113" s="98">
        <f t="shared" ca="1" si="7"/>
        <v>2.108145106091718</v>
      </c>
      <c r="AE113" s="99">
        <f t="shared" ca="1" si="6"/>
        <v>42755</v>
      </c>
      <c r="AF113" s="6">
        <v>0.5139342236420793</v>
      </c>
    </row>
    <row r="114" spans="30:32" x14ac:dyDescent="0.2">
      <c r="AD114" s="98">
        <f t="shared" ca="1" si="7"/>
        <v>2.1273100616016429</v>
      </c>
      <c r="AE114" s="99">
        <f t="shared" ca="1" si="6"/>
        <v>42762</v>
      </c>
      <c r="AF114" s="6">
        <v>0.51866226457015474</v>
      </c>
    </row>
    <row r="115" spans="30:32" x14ac:dyDescent="0.2">
      <c r="AD115" s="98">
        <f t="shared" ca="1" si="7"/>
        <v>2.1464750171115674</v>
      </c>
      <c r="AE115" s="99">
        <f t="shared" ca="1" si="6"/>
        <v>42769</v>
      </c>
      <c r="AF115" s="6">
        <v>0.52351543079601137</v>
      </c>
    </row>
    <row r="116" spans="30:32" x14ac:dyDescent="0.2">
      <c r="AD116" s="98">
        <f t="shared" ca="1" si="7"/>
        <v>2.1656399726214923</v>
      </c>
      <c r="AE116" s="99">
        <f t="shared" ca="1" si="6"/>
        <v>42776</v>
      </c>
      <c r="AF116" s="6">
        <v>0.52849578304638223</v>
      </c>
    </row>
    <row r="117" spans="30:32" x14ac:dyDescent="0.2">
      <c r="AD117" s="98">
        <f t="shared" ca="1" si="7"/>
        <v>2.1848049281314168</v>
      </c>
      <c r="AE117" s="99">
        <f t="shared" ca="1" si="6"/>
        <v>42783</v>
      </c>
      <c r="AF117" s="6">
        <v>0.5336048535459742</v>
      </c>
    </row>
    <row r="118" spans="30:32" x14ac:dyDescent="0.2">
      <c r="AD118" s="98">
        <f t="shared" ca="1" si="7"/>
        <v>2.2039698836413417</v>
      </c>
      <c r="AE118" s="99">
        <f t="shared" ca="1" si="6"/>
        <v>42790</v>
      </c>
      <c r="AF118" s="6">
        <v>0.53884359099037826</v>
      </c>
    </row>
    <row r="119" spans="30:32" x14ac:dyDescent="0.2">
      <c r="AD119" s="98">
        <f t="shared" ca="1" si="7"/>
        <v>2.2231348391512662</v>
      </c>
      <c r="AE119" s="99">
        <f t="shared" ca="1" si="6"/>
        <v>42797</v>
      </c>
      <c r="AF119" s="6">
        <v>0.54421230817845789</v>
      </c>
    </row>
    <row r="120" spans="30:32" x14ac:dyDescent="0.2">
      <c r="AD120" s="98">
        <f t="shared" ca="1" si="7"/>
        <v>2.2422997946611911</v>
      </c>
      <c r="AE120" s="99">
        <f t="shared" ca="1" si="6"/>
        <v>42804</v>
      </c>
      <c r="AF120" s="6">
        <v>0.54971063357759087</v>
      </c>
    </row>
    <row r="121" spans="30:32" x14ac:dyDescent="0.2">
      <c r="AD121" s="98">
        <f t="shared" ca="1" si="7"/>
        <v>2.2614647501711156</v>
      </c>
      <c r="AE121" s="99">
        <f t="shared" ca="1" si="6"/>
        <v>42811</v>
      </c>
      <c r="AF121" s="6">
        <v>0.55533746814740614</v>
      </c>
    </row>
    <row r="122" spans="30:32" x14ac:dyDescent="0.2">
      <c r="AD122" s="98">
        <f t="shared" ca="1" si="7"/>
        <v>2.2806297056810405</v>
      </c>
      <c r="AE122" s="99">
        <f t="shared" ca="1" si="6"/>
        <v>42818</v>
      </c>
      <c r="AF122" s="6">
        <v>0.56109094876292342</v>
      </c>
    </row>
    <row r="123" spans="30:32" x14ac:dyDescent="0.2">
      <c r="AD123" s="98">
        <f t="shared" ca="1" si="7"/>
        <v>2.299794661190965</v>
      </c>
      <c r="AE123" s="99">
        <f t="shared" ca="1" si="6"/>
        <v>42825</v>
      </c>
      <c r="AF123" s="6">
        <v>0.56696841955027244</v>
      </c>
    </row>
    <row r="124" spans="30:32" x14ac:dyDescent="0.2">
      <c r="AD124" s="98">
        <f t="shared" ca="1" si="7"/>
        <v>2.3189596167008899</v>
      </c>
      <c r="AE124" s="99">
        <f t="shared" ca="1" si="6"/>
        <v>42832</v>
      </c>
      <c r="AF124" s="6">
        <v>0.5729664123728293</v>
      </c>
    </row>
    <row r="125" spans="30:32" x14ac:dyDescent="0.2">
      <c r="AD125" s="98">
        <f t="shared" ca="1" si="7"/>
        <v>2.3381245722108144</v>
      </c>
      <c r="AE125" s="99">
        <f t="shared" ca="1" si="6"/>
        <v>42839</v>
      </c>
      <c r="AF125" s="6">
        <v>0.57908063757977268</v>
      </c>
    </row>
    <row r="126" spans="30:32" x14ac:dyDescent="0.2">
      <c r="AD126" s="98">
        <f t="shared" ca="1" si="7"/>
        <v>2.3572895277207393</v>
      </c>
      <c r="AE126" s="99">
        <f t="shared" ca="1" si="6"/>
        <v>42846</v>
      </c>
      <c r="AF126" s="6">
        <v>0.58530598595215366</v>
      </c>
    </row>
    <row r="127" spans="30:32" x14ac:dyDescent="0.2">
      <c r="AD127" s="98">
        <f t="shared" ca="1" si="7"/>
        <v>2.3764544832306638</v>
      </c>
      <c r="AE127" s="99">
        <f t="shared" ca="1" si="6"/>
        <v>42853</v>
      </c>
      <c r="AF127" s="6">
        <v>0.59163654255563325</v>
      </c>
    </row>
    <row r="128" spans="30:32" x14ac:dyDescent="0.2">
      <c r="AD128" s="98">
        <f t="shared" ca="1" si="7"/>
        <v>2.3956194387405887</v>
      </c>
      <c r="AE128" s="99">
        <f t="shared" ca="1" si="6"/>
        <v>42860</v>
      </c>
      <c r="AF128" s="6">
        <v>0.59806561293891303</v>
      </c>
    </row>
    <row r="129" spans="30:32" x14ac:dyDescent="0.2">
      <c r="AD129" s="98">
        <f t="shared" ca="1" si="7"/>
        <v>2.4147843942505132</v>
      </c>
      <c r="AE129" s="99">
        <f t="shared" ca="1" si="6"/>
        <v>42867</v>
      </c>
      <c r="AF129" s="6">
        <v>0.60458576181033175</v>
      </c>
    </row>
    <row r="130" spans="30:32" x14ac:dyDescent="0.2">
      <c r="AD130" s="98">
        <f t="shared" ca="1" si="7"/>
        <v>2.4339493497604381</v>
      </c>
      <c r="AE130" s="99">
        <f t="shared" ca="1" si="6"/>
        <v>42874</v>
      </c>
      <c r="AF130" s="6">
        <v>0.61118886399255512</v>
      </c>
    </row>
    <row r="131" spans="30:32" x14ac:dyDescent="0.2">
      <c r="AD131" s="98">
        <f t="shared" ca="1" si="7"/>
        <v>2.4531143052703626</v>
      </c>
      <c r="AE131" s="99">
        <f t="shared" ca="1" si="6"/>
        <v>42881</v>
      </c>
      <c r="AF131" s="6">
        <v>0.6178661671094724</v>
      </c>
    </row>
    <row r="132" spans="30:32" x14ac:dyDescent="0.2">
      <c r="AD132" s="98">
        <f t="shared" ca="1" si="7"/>
        <v>2.4722792607802875</v>
      </c>
      <c r="AE132" s="99">
        <f t="shared" ref="AE132:AE195" ca="1" si="8">AE131+7</f>
        <v>42888</v>
      </c>
      <c r="AF132" s="6">
        <v>0.62460836511471296</v>
      </c>
    </row>
    <row r="133" spans="30:32" x14ac:dyDescent="0.2">
      <c r="AD133" s="98">
        <f t="shared" ref="AD133:AD196" ca="1" si="9">(AE133-$B$3)/365.25</f>
        <v>2.4914442162902124</v>
      </c>
      <c r="AE133" s="99">
        <f t="shared" ca="1" si="8"/>
        <v>42895</v>
      </c>
      <c r="AF133" s="6">
        <v>0.6314056814428739</v>
      </c>
    </row>
    <row r="134" spans="30:32" x14ac:dyDescent="0.2">
      <c r="AD134" s="98">
        <f t="shared" ca="1" si="9"/>
        <v>2.5106091718001369</v>
      </c>
      <c r="AE134" s="99">
        <f t="shared" ca="1" si="8"/>
        <v>42902</v>
      </c>
      <c r="AF134" s="6">
        <v>0.63824796026777719</v>
      </c>
    </row>
    <row r="135" spans="30:32" x14ac:dyDescent="0.2">
      <c r="AD135" s="98">
        <f t="shared" ca="1" si="9"/>
        <v>2.5297741273100618</v>
      </c>
      <c r="AE135" s="99">
        <f t="shared" ca="1" si="8"/>
        <v>42909</v>
      </c>
      <c r="AF135" s="6">
        <v>0.64512476410098518</v>
      </c>
    </row>
    <row r="136" spans="30:32" x14ac:dyDescent="0.2">
      <c r="AD136" s="98">
        <f t="shared" ca="1" si="9"/>
        <v>2.5489390828199863</v>
      </c>
      <c r="AE136" s="99">
        <f t="shared" ca="1" si="8"/>
        <v>42916</v>
      </c>
      <c r="AF136" s="6">
        <v>0.65202547577051073</v>
      </c>
    </row>
    <row r="137" spans="30:32" x14ac:dyDescent="0.2">
      <c r="AD137" s="98">
        <f t="shared" ca="1" si="9"/>
        <v>2.5681040383299112</v>
      </c>
      <c r="AE137" s="99">
        <f t="shared" ca="1" si="8"/>
        <v>42923</v>
      </c>
      <c r="AF137" s="6">
        <v>0.65893940269346685</v>
      </c>
    </row>
    <row r="138" spans="30:32" x14ac:dyDescent="0.2">
      <c r="AD138" s="98">
        <f t="shared" ca="1" si="9"/>
        <v>2.5872689938398357</v>
      </c>
      <c r="AE138" s="99">
        <f t="shared" ca="1" si="8"/>
        <v>42930</v>
      </c>
      <c r="AF138" s="6">
        <v>0.66585588130306839</v>
      </c>
    </row>
    <row r="139" spans="30:32" x14ac:dyDescent="0.2">
      <c r="AD139" s="98">
        <f t="shared" ca="1" si="9"/>
        <v>2.6064339493497606</v>
      </c>
      <c r="AE139" s="99">
        <f t="shared" ca="1" si="8"/>
        <v>42937</v>
      </c>
      <c r="AF139" s="6">
        <v>0.67276437951189882</v>
      </c>
    </row>
    <row r="140" spans="30:32" x14ac:dyDescent="0.2">
      <c r="AD140" s="98">
        <f t="shared" ca="1" si="9"/>
        <v>2.6255989048596851</v>
      </c>
      <c r="AE140" s="99">
        <f t="shared" ca="1" si="8"/>
        <v>42944</v>
      </c>
      <c r="AF140" s="6">
        <v>0.67965459518759819</v>
      </c>
    </row>
    <row r="141" spans="30:32" x14ac:dyDescent="0.2">
      <c r="AD141" s="98">
        <f t="shared" ca="1" si="9"/>
        <v>2.64476386036961</v>
      </c>
      <c r="AE141" s="99">
        <f t="shared" ca="1" si="8"/>
        <v>42951</v>
      </c>
      <c r="AF141" s="6">
        <v>0.68651654877834012</v>
      </c>
    </row>
    <row r="142" spans="30:32" x14ac:dyDescent="0.2">
      <c r="AD142" s="98">
        <f t="shared" ca="1" si="9"/>
        <v>2.6639288158795345</v>
      </c>
      <c r="AE142" s="99">
        <f t="shared" ca="1" si="8"/>
        <v>42958</v>
      </c>
      <c r="AF142" s="6">
        <v>0.69334066844451703</v>
      </c>
    </row>
    <row r="143" spans="30:32" x14ac:dyDescent="0.2">
      <c r="AD143" s="98">
        <f t="shared" ca="1" si="9"/>
        <v>2.6830937713894594</v>
      </c>
      <c r="AE143" s="99">
        <f t="shared" ca="1" si="8"/>
        <v>42965</v>
      </c>
      <c r="AF143" s="6">
        <v>0.70011786631823192</v>
      </c>
    </row>
    <row r="144" spans="30:32" x14ac:dyDescent="0.2">
      <c r="AD144" s="98">
        <f t="shared" ca="1" si="9"/>
        <v>2.7022587268993838</v>
      </c>
      <c r="AE144" s="99">
        <f t="shared" ca="1" si="8"/>
        <v>42972</v>
      </c>
      <c r="AF144" s="6">
        <v>0.70683960481005392</v>
      </c>
    </row>
    <row r="145" spans="30:32" x14ac:dyDescent="0.2">
      <c r="AD145" s="98">
        <f t="shared" ca="1" si="9"/>
        <v>2.7214236824093088</v>
      </c>
      <c r="AE145" s="99">
        <f t="shared" ca="1" si="8"/>
        <v>42979</v>
      </c>
      <c r="AF145" s="6">
        <v>0.71349795219872669</v>
      </c>
    </row>
    <row r="146" spans="30:32" x14ac:dyDescent="0.2">
      <c r="AD146" s="98">
        <f t="shared" ca="1" si="9"/>
        <v>2.7405886379192332</v>
      </c>
      <c r="AE146" s="99">
        <f t="shared" ca="1" si="8"/>
        <v>42986</v>
      </c>
      <c r="AF146" s="6">
        <v>0.72008562705992563</v>
      </c>
    </row>
    <row r="147" spans="30:32" x14ac:dyDescent="0.2">
      <c r="AD147" s="98">
        <f t="shared" ca="1" si="9"/>
        <v>2.7597535934291582</v>
      </c>
      <c r="AE147" s="99">
        <f t="shared" ca="1" si="8"/>
        <v>42993</v>
      </c>
      <c r="AF147" s="6">
        <v>0.726596031401473</v>
      </c>
    </row>
    <row r="148" spans="30:32" x14ac:dyDescent="0.2">
      <c r="AD148" s="98">
        <f t="shared" ca="1" si="9"/>
        <v>2.7789185489390826</v>
      </c>
      <c r="AE148" s="99">
        <f t="shared" ca="1" si="8"/>
        <v>43000</v>
      </c>
      <c r="AF148" s="6">
        <v>0.73302327266296763</v>
      </c>
    </row>
    <row r="149" spans="30:32" x14ac:dyDescent="0.2">
      <c r="AD149" s="98">
        <f t="shared" ca="1" si="9"/>
        <v>2.7980835044490076</v>
      </c>
      <c r="AE149" s="99">
        <f t="shared" ca="1" si="8"/>
        <v>43007</v>
      </c>
      <c r="AF149" s="6">
        <v>0.73936217499804269</v>
      </c>
    </row>
    <row r="150" spans="30:32" x14ac:dyDescent="0.2">
      <c r="AD150" s="98">
        <f t="shared" ca="1" si="9"/>
        <v>2.817248459958932</v>
      </c>
      <c r="AE150" s="99">
        <f t="shared" ca="1" si="8"/>
        <v>43014</v>
      </c>
      <c r="AF150" s="6">
        <v>0.74560828048034244</v>
      </c>
    </row>
    <row r="151" spans="30:32" x14ac:dyDescent="0.2">
      <c r="AD151" s="98">
        <f t="shared" ca="1" si="9"/>
        <v>2.8364134154688569</v>
      </c>
      <c r="AE151" s="99">
        <f t="shared" ca="1" si="8"/>
        <v>43021</v>
      </c>
      <c r="AF151" s="6">
        <v>0.75175784105525545</v>
      </c>
    </row>
    <row r="152" spans="30:32" x14ac:dyDescent="0.2">
      <c r="AD152" s="98">
        <f t="shared" ca="1" si="9"/>
        <v>2.8555783709787819</v>
      </c>
      <c r="AE152" s="99">
        <f t="shared" ca="1" si="8"/>
        <v>43028</v>
      </c>
      <c r="AF152" s="6">
        <v>0.75780780219640509</v>
      </c>
    </row>
    <row r="153" spans="30:32" x14ac:dyDescent="0.2">
      <c r="AD153" s="98">
        <f t="shared" ca="1" si="9"/>
        <v>2.8747433264887063</v>
      </c>
      <c r="AE153" s="99">
        <f t="shared" ca="1" si="8"/>
        <v>43035</v>
      </c>
      <c r="AF153" s="6">
        <v>0.76375577931907668</v>
      </c>
    </row>
    <row r="154" spans="30:32" x14ac:dyDescent="0.2">
      <c r="AD154" s="98">
        <f t="shared" ca="1" si="9"/>
        <v>2.8939082819986313</v>
      </c>
      <c r="AE154" s="99">
        <f t="shared" ca="1" si="8"/>
        <v>43042</v>
      </c>
      <c r="AF154" s="6">
        <v>0.76960002805425942</v>
      </c>
    </row>
    <row r="155" spans="30:32" x14ac:dyDescent="0.2">
      <c r="AD155" s="98">
        <f t="shared" ca="1" si="9"/>
        <v>2.9130732375085557</v>
      </c>
      <c r="AE155" s="99">
        <f t="shared" ca="1" si="8"/>
        <v>43049</v>
      </c>
      <c r="AF155" s="6">
        <v>0.77533940950048552</v>
      </c>
    </row>
    <row r="156" spans="30:32" x14ac:dyDescent="0.2">
      <c r="AD156" s="98">
        <f t="shared" ca="1" si="9"/>
        <v>2.9322381930184807</v>
      </c>
      <c r="AE156" s="99">
        <f t="shared" ca="1" si="8"/>
        <v>43056</v>
      </c>
      <c r="AF156" s="6">
        <v>0.78097335155088377</v>
      </c>
    </row>
    <row r="157" spans="30:32" x14ac:dyDescent="0.2">
      <c r="AD157" s="98">
        <f t="shared" ca="1" si="9"/>
        <v>2.9514031485284051</v>
      </c>
      <c r="AE157" s="99">
        <f t="shared" ca="1" si="8"/>
        <v>43063</v>
      </c>
      <c r="AF157" s="6">
        <v>0.78650180734529218</v>
      </c>
    </row>
    <row r="158" spans="30:32" x14ac:dyDescent="0.2">
      <c r="AD158" s="98">
        <f t="shared" ca="1" si="9"/>
        <v>2.97056810403833</v>
      </c>
      <c r="AE158" s="99">
        <f t="shared" ca="1" si="8"/>
        <v>43070</v>
      </c>
      <c r="AF158" s="6">
        <v>0.79192521182760045</v>
      </c>
    </row>
    <row r="159" spans="30:32" x14ac:dyDescent="0.2">
      <c r="AD159" s="98">
        <f t="shared" ca="1" si="9"/>
        <v>2.9897330595482545</v>
      </c>
      <c r="AE159" s="99">
        <f t="shared" ca="1" si="8"/>
        <v>43077</v>
      </c>
      <c r="AF159" s="6">
        <v>0.79724443730244954</v>
      </c>
    </row>
    <row r="160" spans="30:32" x14ac:dyDescent="0.2">
      <c r="AD160" s="98">
        <f t="shared" ca="1" si="9"/>
        <v>3.0088980150581794</v>
      </c>
      <c r="AE160" s="99">
        <f t="shared" ca="1" si="8"/>
        <v>43084</v>
      </c>
      <c r="AF160" s="6">
        <v>0.80247232285346526</v>
      </c>
    </row>
    <row r="161" spans="30:32" x14ac:dyDescent="0.2">
      <c r="AD161" s="98">
        <f t="shared" ca="1" si="9"/>
        <v>3.0280629705681039</v>
      </c>
      <c r="AE161" s="99">
        <f t="shared" ca="1" si="8"/>
        <v>43091</v>
      </c>
      <c r="AF161" s="6">
        <v>0.80769009830153127</v>
      </c>
    </row>
    <row r="162" spans="30:32" x14ac:dyDescent="0.2">
      <c r="AD162" s="98">
        <f t="shared" ca="1" si="9"/>
        <v>3.0472279260780288</v>
      </c>
      <c r="AE162" s="99">
        <f t="shared" ca="1" si="8"/>
        <v>43098</v>
      </c>
      <c r="AF162" s="6">
        <v>0.81291284125544294</v>
      </c>
    </row>
    <row r="163" spans="30:32" x14ac:dyDescent="0.2">
      <c r="AD163" s="98">
        <f t="shared" ca="1" si="9"/>
        <v>3.0663928815879533</v>
      </c>
      <c r="AE163" s="99">
        <f t="shared" ca="1" si="8"/>
        <v>43105</v>
      </c>
      <c r="AF163" s="6">
        <v>0.81814010073448939</v>
      </c>
    </row>
    <row r="164" spans="30:32" x14ac:dyDescent="0.2">
      <c r="AD164" s="98">
        <f t="shared" ca="1" si="9"/>
        <v>3.0855578370978782</v>
      </c>
      <c r="AE164" s="99">
        <f t="shared" ca="1" si="8"/>
        <v>43112</v>
      </c>
      <c r="AF164" s="6">
        <v>0.82337140339589332</v>
      </c>
    </row>
    <row r="165" spans="30:32" x14ac:dyDescent="0.2">
      <c r="AD165" s="98">
        <f t="shared" ca="1" si="9"/>
        <v>3.1047227926078027</v>
      </c>
      <c r="AE165" s="99">
        <f t="shared" ca="1" si="8"/>
        <v>43119</v>
      </c>
      <c r="AF165" s="6">
        <v>0.828606253386167</v>
      </c>
    </row>
    <row r="166" spans="30:32" x14ac:dyDescent="0.2">
      <c r="AD166" s="98">
        <f t="shared" ca="1" si="9"/>
        <v>3.1238877481177276</v>
      </c>
      <c r="AE166" s="99">
        <f t="shared" ca="1" si="8"/>
        <v>43126</v>
      </c>
      <c r="AF166" s="6">
        <v>0.833844132249833</v>
      </c>
    </row>
    <row r="167" spans="30:32" x14ac:dyDescent="0.2">
      <c r="AD167" s="98">
        <f t="shared" ca="1" si="9"/>
        <v>3.1430527036276521</v>
      </c>
      <c r="AE167" s="99">
        <f t="shared" ca="1" si="8"/>
        <v>43133</v>
      </c>
      <c r="AF167" s="6">
        <v>0.83908449889969372</v>
      </c>
    </row>
    <row r="168" spans="30:32" x14ac:dyDescent="0.2">
      <c r="AD168" s="98">
        <f t="shared" ca="1" si="9"/>
        <v>3.162217659137577</v>
      </c>
      <c r="AE168" s="99">
        <f t="shared" ca="1" si="8"/>
        <v>43140</v>
      </c>
      <c r="AF168" s="6">
        <v>0.84432678965281671</v>
      </c>
    </row>
    <row r="169" spans="30:32" x14ac:dyDescent="0.2">
      <c r="AD169" s="98">
        <f t="shared" ca="1" si="9"/>
        <v>3.1813826146475015</v>
      </c>
      <c r="AE169" s="99">
        <f t="shared" ca="1" si="8"/>
        <v>43147</v>
      </c>
      <c r="AF169" s="6">
        <v>0.84957041833632752</v>
      </c>
    </row>
    <row r="170" spans="30:32" x14ac:dyDescent="0.2">
      <c r="AD170" s="98">
        <f t="shared" ca="1" si="9"/>
        <v>3.2005475701574264</v>
      </c>
      <c r="AE170" s="99">
        <f t="shared" ca="1" si="8"/>
        <v>43154</v>
      </c>
      <c r="AF170" s="6">
        <v>0.85481477646703774</v>
      </c>
    </row>
    <row r="171" spans="30:32" x14ac:dyDescent="0.2">
      <c r="AD171" s="98">
        <f t="shared" ca="1" si="9"/>
        <v>3.2197125256673513</v>
      </c>
      <c r="AE171" s="99">
        <f t="shared" ca="1" si="8"/>
        <v>43161</v>
      </c>
      <c r="AF171" s="6">
        <v>0.86005923350877567</v>
      </c>
    </row>
    <row r="172" spans="30:32" x14ac:dyDescent="0.2">
      <c r="AD172" s="98">
        <f t="shared" ca="1" si="9"/>
        <v>3.2388774811772758</v>
      </c>
      <c r="AE172" s="99">
        <f t="shared" ca="1" si="8"/>
        <v>43168</v>
      </c>
      <c r="AF172" s="6">
        <v>0.86530313721114505</v>
      </c>
    </row>
    <row r="173" spans="30:32" x14ac:dyDescent="0.2">
      <c r="AD173" s="98">
        <f t="shared" ca="1" si="9"/>
        <v>3.2580424366872007</v>
      </c>
      <c r="AE173" s="99">
        <f t="shared" ca="1" si="8"/>
        <v>43175</v>
      </c>
      <c r="AF173" s="6">
        <v>0.87054581403321685</v>
      </c>
    </row>
    <row r="174" spans="30:32" x14ac:dyDescent="0.2">
      <c r="AD174" s="98">
        <f t="shared" ca="1" si="9"/>
        <v>3.2772073921971252</v>
      </c>
      <c r="AE174" s="99">
        <f t="shared" ca="1" si="8"/>
        <v>43182</v>
      </c>
      <c r="AF174" s="6">
        <v>0.87578656965540358</v>
      </c>
    </row>
    <row r="175" spans="30:32" x14ac:dyDescent="0.2">
      <c r="AD175" s="98">
        <f t="shared" ca="1" si="9"/>
        <v>3.2963723477070501</v>
      </c>
      <c r="AE175" s="99">
        <f t="shared" ca="1" si="8"/>
        <v>43189</v>
      </c>
      <c r="AF175" s="6">
        <v>0.88102468958248015</v>
      </c>
    </row>
    <row r="176" spans="30:32" x14ac:dyDescent="0.2">
      <c r="AD176" s="98">
        <f t="shared" ca="1" si="9"/>
        <v>3.3155373032169746</v>
      </c>
      <c r="AE176" s="99">
        <f t="shared" ca="1" si="8"/>
        <v>43196</v>
      </c>
      <c r="AF176" s="6">
        <v>0.8862594398403657</v>
      </c>
    </row>
    <row r="177" spans="30:32" x14ac:dyDescent="0.2">
      <c r="AD177" s="98">
        <f t="shared" ca="1" si="9"/>
        <v>3.3347022587268995</v>
      </c>
      <c r="AE177" s="99">
        <f t="shared" ca="1" si="8"/>
        <v>43203</v>
      </c>
      <c r="AF177" s="6">
        <v>0.89149006776889506</v>
      </c>
    </row>
    <row r="178" spans="30:32" x14ac:dyDescent="0.2">
      <c r="AD178" s="98">
        <f t="shared" ca="1" si="9"/>
        <v>3.353867214236824</v>
      </c>
      <c r="AE178" s="99">
        <f t="shared" ca="1" si="8"/>
        <v>43210</v>
      </c>
      <c r="AF178" s="6">
        <v>0.89671580291237796</v>
      </c>
    </row>
    <row r="179" spans="30:32" x14ac:dyDescent="0.2">
      <c r="AD179" s="98">
        <f t="shared" ca="1" si="9"/>
        <v>3.3730321697467489</v>
      </c>
      <c r="AE179" s="99">
        <f t="shared" ca="1" si="8"/>
        <v>43217</v>
      </c>
      <c r="AF179" s="6">
        <v>0.90193585800926013</v>
      </c>
    </row>
    <row r="180" spans="30:32" x14ac:dyDescent="0.2">
      <c r="AD180" s="98">
        <f t="shared" ca="1" si="9"/>
        <v>3.3921971252566734</v>
      </c>
      <c r="AE180" s="99">
        <f t="shared" ca="1" si="8"/>
        <v>43224</v>
      </c>
      <c r="AF180" s="6">
        <v>0.90714943008169147</v>
      </c>
    </row>
    <row r="181" spans="30:32" x14ac:dyDescent="0.2">
      <c r="AD181" s="98">
        <f t="shared" ca="1" si="9"/>
        <v>3.4113620807665983</v>
      </c>
      <c r="AE181" s="99">
        <f t="shared" ca="1" si="8"/>
        <v>43231</v>
      </c>
      <c r="AF181" s="6">
        <v>0.91235570162521429</v>
      </c>
    </row>
    <row r="182" spans="30:32" x14ac:dyDescent="0.2">
      <c r="AD182" s="98">
        <f t="shared" ca="1" si="9"/>
        <v>3.4305270362765228</v>
      </c>
      <c r="AE182" s="99">
        <f t="shared" ca="1" si="8"/>
        <v>43238</v>
      </c>
      <c r="AF182" s="6">
        <v>0.91755384189821121</v>
      </c>
    </row>
    <row r="183" spans="30:32" x14ac:dyDescent="0.2">
      <c r="AD183" s="98">
        <f t="shared" ca="1" si="9"/>
        <v>3.4496919917864477</v>
      </c>
      <c r="AE183" s="99">
        <f t="shared" ca="1" si="8"/>
        <v>43245</v>
      </c>
      <c r="AF183" s="6">
        <v>0.92274300831008305</v>
      </c>
    </row>
    <row r="184" spans="30:32" x14ac:dyDescent="0.2">
      <c r="AD184" s="98">
        <f t="shared" ca="1" si="9"/>
        <v>3.4688569472963722</v>
      </c>
      <c r="AE184" s="99">
        <f t="shared" ca="1" si="8"/>
        <v>43252</v>
      </c>
      <c r="AF184" s="6">
        <v>0.92792234790646433</v>
      </c>
    </row>
    <row r="185" spans="30:32" x14ac:dyDescent="0.2">
      <c r="AD185" s="98">
        <f t="shared" ca="1" si="9"/>
        <v>3.4880219028062971</v>
      </c>
      <c r="AE185" s="99">
        <f t="shared" ca="1" si="8"/>
        <v>43259</v>
      </c>
      <c r="AF185" s="6">
        <v>0.93309099894907499</v>
      </c>
    </row>
    <row r="186" spans="30:32" x14ac:dyDescent="0.2">
      <c r="AD186" s="98">
        <f t="shared" ca="1" si="9"/>
        <v>3.5071868583162216</v>
      </c>
      <c r="AE186" s="99">
        <f t="shared" ca="1" si="8"/>
        <v>43266</v>
      </c>
      <c r="AF186" s="6">
        <v>0.93824809258707442</v>
      </c>
    </row>
    <row r="187" spans="30:32" x14ac:dyDescent="0.2">
      <c r="AD187" s="98">
        <f t="shared" ca="1" si="9"/>
        <v>3.5263518138261465</v>
      </c>
      <c r="AE187" s="99">
        <f t="shared" ca="1" si="8"/>
        <v>43273</v>
      </c>
      <c r="AF187" s="6">
        <v>0.94339275461604033</v>
      </c>
    </row>
    <row r="188" spans="30:32" x14ac:dyDescent="0.2">
      <c r="AD188" s="98">
        <f t="shared" ca="1" si="9"/>
        <v>3.5455167693360714</v>
      </c>
      <c r="AE188" s="99">
        <f t="shared" ca="1" si="8"/>
        <v>43280</v>
      </c>
      <c r="AF188" s="6">
        <v>0.94852410731993431</v>
      </c>
    </row>
    <row r="189" spans="30:32" x14ac:dyDescent="0.2">
      <c r="AD189" s="98">
        <f t="shared" ca="1" si="9"/>
        <v>3.5646817248459959</v>
      </c>
      <c r="AE189" s="99">
        <f t="shared" ca="1" si="8"/>
        <v>43287</v>
      </c>
      <c r="AF189" s="6">
        <v>0.95364127139065202</v>
      </c>
    </row>
    <row r="190" spans="30:32" x14ac:dyDescent="0.2">
      <c r="AD190" s="98">
        <f t="shared" ca="1" si="9"/>
        <v>3.5838466803559208</v>
      </c>
      <c r="AE190" s="99">
        <f t="shared" ca="1" si="8"/>
        <v>43294</v>
      </c>
      <c r="AF190" s="6">
        <v>0.95874336791899817</v>
      </c>
    </row>
    <row r="191" spans="30:32" x14ac:dyDescent="0.2">
      <c r="AD191" s="98">
        <f t="shared" ca="1" si="9"/>
        <v>3.6030116358658453</v>
      </c>
      <c r="AE191" s="99">
        <f t="shared" ca="1" si="8"/>
        <v>43301</v>
      </c>
      <c r="AF191" s="6">
        <v>0.96382952045016779</v>
      </c>
    </row>
    <row r="192" spans="30:32" x14ac:dyDescent="0.2">
      <c r="AD192" s="98">
        <f t="shared" ca="1" si="9"/>
        <v>3.6221765913757702</v>
      </c>
      <c r="AE192" s="99">
        <f t="shared" ca="1" si="8"/>
        <v>43308</v>
      </c>
      <c r="AF192" s="6">
        <v>0.9688988570961109</v>
      </c>
    </row>
    <row r="193" spans="30:32" x14ac:dyDescent="0.2">
      <c r="AD193" s="98">
        <f t="shared" ca="1" si="9"/>
        <v>3.6413415468856947</v>
      </c>
      <c r="AE193" s="99">
        <f t="shared" ca="1" si="8"/>
        <v>43315</v>
      </c>
      <c r="AF193" s="6">
        <v>0.97395051269642141</v>
      </c>
    </row>
    <row r="194" spans="30:32" x14ac:dyDescent="0.2">
      <c r="AD194" s="98">
        <f t="shared" ca="1" si="9"/>
        <v>3.6605065023956196</v>
      </c>
      <c r="AE194" s="99">
        <f t="shared" ca="1" si="8"/>
        <v>43322</v>
      </c>
      <c r="AF194" s="6">
        <v>0.9789836310187664</v>
      </c>
    </row>
    <row r="195" spans="30:32" x14ac:dyDescent="0.2">
      <c r="AD195" s="98">
        <f t="shared" ca="1" si="9"/>
        <v>3.6796714579055441</v>
      </c>
      <c r="AE195" s="99">
        <f t="shared" ca="1" si="8"/>
        <v>43329</v>
      </c>
      <c r="AF195" s="6">
        <v>0.98399736698922957</v>
      </c>
    </row>
    <row r="196" spans="30:32" x14ac:dyDescent="0.2">
      <c r="AD196" s="98">
        <f t="shared" ca="1" si="9"/>
        <v>3.698836413415469</v>
      </c>
      <c r="AE196" s="99">
        <f t="shared" ref="AE196:AE259" ca="1" si="10">AE195+7</f>
        <v>43336</v>
      </c>
      <c r="AF196" s="6">
        <v>0.98899088894239651</v>
      </c>
    </row>
    <row r="197" spans="30:32" x14ac:dyDescent="0.2">
      <c r="AD197" s="98">
        <f t="shared" ref="AD197:AD260" ca="1" si="11">(AE197-$B$3)/365.25</f>
        <v>3.7180013689253935</v>
      </c>
      <c r="AE197" s="99">
        <f t="shared" ca="1" si="10"/>
        <v>43343</v>
      </c>
      <c r="AF197" s="6">
        <v>0.99396338088051106</v>
      </c>
    </row>
    <row r="198" spans="30:32" x14ac:dyDescent="0.2">
      <c r="AD198" s="98">
        <f t="shared" ca="1" si="11"/>
        <v>3.7371663244353184</v>
      </c>
      <c r="AE198" s="99">
        <f t="shared" ca="1" si="10"/>
        <v>43350</v>
      </c>
      <c r="AF198" s="6">
        <v>0.99891404473060663</v>
      </c>
    </row>
    <row r="199" spans="30:32" x14ac:dyDescent="0.2">
      <c r="AD199" s="98">
        <f t="shared" ca="1" si="11"/>
        <v>3.7563312799452429</v>
      </c>
      <c r="AE199" s="99">
        <f t="shared" ca="1" si="10"/>
        <v>43357</v>
      </c>
      <c r="AF199" s="6">
        <v>1.0038421025881814</v>
      </c>
    </row>
    <row r="200" spans="30:32" x14ac:dyDescent="0.2">
      <c r="AD200" s="98">
        <f t="shared" ca="1" si="11"/>
        <v>3.7754962354551678</v>
      </c>
      <c r="AE200" s="99">
        <f t="shared" ca="1" si="10"/>
        <v>43364</v>
      </c>
      <c r="AF200" s="6">
        <v>1.0087467989357155</v>
      </c>
    </row>
    <row r="201" spans="30:32" x14ac:dyDescent="0.2">
      <c r="AD201" s="98">
        <f t="shared" ca="1" si="11"/>
        <v>3.7946611909650922</v>
      </c>
      <c r="AE201" s="99">
        <f t="shared" ca="1" si="10"/>
        <v>43371</v>
      </c>
      <c r="AF201" s="6">
        <v>1.0136274028241905</v>
      </c>
    </row>
    <row r="202" spans="30:32" x14ac:dyDescent="0.2">
      <c r="AD202" s="98">
        <f t="shared" ca="1" si="11"/>
        <v>3.8138261464750172</v>
      </c>
      <c r="AE202" s="99">
        <f t="shared" ca="1" si="10"/>
        <v>43378</v>
      </c>
      <c r="AF202" s="6">
        <v>1.0184832100056767</v>
      </c>
    </row>
    <row r="203" spans="30:32" x14ac:dyDescent="0.2">
      <c r="AD203" s="98">
        <f t="shared" ca="1" si="11"/>
        <v>3.8329911019849416</v>
      </c>
      <c r="AE203" s="99">
        <f t="shared" ca="1" si="10"/>
        <v>43385</v>
      </c>
      <c r="AF203" s="6">
        <v>1.0233135450051227</v>
      </c>
    </row>
    <row r="204" spans="30:32" x14ac:dyDescent="0.2">
      <c r="AD204" s="98">
        <f t="shared" ca="1" si="11"/>
        <v>3.8521560574948666</v>
      </c>
      <c r="AE204" s="99">
        <f t="shared" ca="1" si="10"/>
        <v>43392</v>
      </c>
      <c r="AF204" s="6">
        <v>1.028117763119603</v>
      </c>
    </row>
    <row r="205" spans="30:32" x14ac:dyDescent="0.2">
      <c r="AD205" s="98">
        <f t="shared" ca="1" si="11"/>
        <v>3.871321013004791</v>
      </c>
      <c r="AE205" s="99">
        <f t="shared" ca="1" si="10"/>
        <v>43399</v>
      </c>
      <c r="AF205" s="6">
        <v>1.0328952523335344</v>
      </c>
    </row>
    <row r="206" spans="30:32" x14ac:dyDescent="0.2">
      <c r="AD206" s="98">
        <f t="shared" ca="1" si="11"/>
        <v>3.890485968514716</v>
      </c>
      <c r="AE206" s="99">
        <f t="shared" ca="1" si="10"/>
        <v>43406</v>
      </c>
      <c r="AF206" s="6">
        <v>1.0376454351387419</v>
      </c>
    </row>
    <row r="207" spans="30:32" x14ac:dyDescent="0.2">
      <c r="AD207" s="98">
        <f t="shared" ca="1" si="11"/>
        <v>3.9096509240246409</v>
      </c>
      <c r="AE207" s="99">
        <f t="shared" ca="1" si="10"/>
        <v>43413</v>
      </c>
      <c r="AF207" s="6">
        <v>1.0423677702486864</v>
      </c>
    </row>
    <row r="208" spans="30:32" x14ac:dyDescent="0.2">
      <c r="AD208" s="98">
        <f t="shared" ca="1" si="11"/>
        <v>3.9288158795345653</v>
      </c>
      <c r="AE208" s="99">
        <f t="shared" ca="1" si="10"/>
        <v>43420</v>
      </c>
      <c r="AF208" s="6">
        <v>1.0470617541967671</v>
      </c>
    </row>
    <row r="209" spans="30:32" x14ac:dyDescent="0.2">
      <c r="AD209" s="98">
        <f t="shared" ca="1" si="11"/>
        <v>3.9479808350444903</v>
      </c>
      <c r="AE209" s="99">
        <f t="shared" ca="1" si="10"/>
        <v>43427</v>
      </c>
      <c r="AF209" s="6">
        <v>1.0517269228092379</v>
      </c>
    </row>
    <row r="210" spans="30:32" x14ac:dyDescent="0.2">
      <c r="AD210" s="98">
        <f t="shared" ca="1" si="11"/>
        <v>3.9671457905544147</v>
      </c>
      <c r="AE210" s="99">
        <f t="shared" ca="1" si="10"/>
        <v>43434</v>
      </c>
      <c r="AF210" s="6">
        <v>1.0563628525440554</v>
      </c>
    </row>
    <row r="211" spans="30:32" x14ac:dyDescent="0.2">
      <c r="AD211" s="98">
        <f t="shared" ca="1" si="11"/>
        <v>3.9863107460643397</v>
      </c>
      <c r="AE211" s="99">
        <f t="shared" ca="1" si="10"/>
        <v>43441</v>
      </c>
      <c r="AF211" s="6">
        <v>1.0609691616878043</v>
      </c>
    </row>
    <row r="212" spans="30:32" x14ac:dyDescent="0.2">
      <c r="AD212" s="98">
        <f t="shared" ca="1" si="11"/>
        <v>4.0054757015742641</v>
      </c>
      <c r="AE212" s="99">
        <f t="shared" ca="1" si="10"/>
        <v>43448</v>
      </c>
      <c r="AF212" s="6">
        <v>1.0655455114037602</v>
      </c>
    </row>
    <row r="213" spans="30:32" x14ac:dyDescent="0.2">
      <c r="AD213" s="98">
        <f t="shared" ca="1" si="11"/>
        <v>4.0246406570841886</v>
      </c>
      <c r="AE213" s="99">
        <f t="shared" ca="1" si="10"/>
        <v>43455</v>
      </c>
      <c r="AF213" s="6">
        <v>1.0700916066251405</v>
      </c>
    </row>
    <row r="214" spans="30:32" x14ac:dyDescent="0.2">
      <c r="AD214" s="98">
        <f t="shared" ca="1" si="11"/>
        <v>4.043805612594114</v>
      </c>
      <c r="AE214" s="99">
        <f t="shared" ca="1" si="10"/>
        <v>43462</v>
      </c>
      <c r="AF214" s="6">
        <v>1.0746071967886308</v>
      </c>
    </row>
    <row r="215" spans="30:32" x14ac:dyDescent="0.2">
      <c r="AD215" s="98">
        <f t="shared" ca="1" si="11"/>
        <v>4.0629705681040384</v>
      </c>
      <c r="AE215" s="99">
        <f t="shared" ca="1" si="10"/>
        <v>43469</v>
      </c>
      <c r="AF215" s="6">
        <v>1.0790920764043581</v>
      </c>
    </row>
    <row r="216" spans="30:32" x14ac:dyDescent="0.2">
      <c r="AD216" s="98">
        <f t="shared" ca="1" si="11"/>
        <v>4.0821355236139629</v>
      </c>
      <c r="AE216" s="99">
        <f t="shared" ca="1" si="10"/>
        <v>43476</v>
      </c>
      <c r="AF216" s="6">
        <v>1.0835460854596115</v>
      </c>
    </row>
    <row r="217" spans="30:32" x14ac:dyDescent="0.2">
      <c r="AD217" s="98">
        <f t="shared" ca="1" si="11"/>
        <v>4.1013004791238874</v>
      </c>
      <c r="AE217" s="99">
        <f t="shared" ca="1" si="10"/>
        <v>43483</v>
      </c>
      <c r="AF217" s="6">
        <v>1.087969109654741</v>
      </c>
    </row>
    <row r="218" spans="30:32" x14ac:dyDescent="0.2">
      <c r="AD218" s="98">
        <f t="shared" ca="1" si="11"/>
        <v>4.1204654346338128</v>
      </c>
      <c r="AE218" s="99">
        <f t="shared" ca="1" si="10"/>
        <v>43490</v>
      </c>
      <c r="AF218" s="6">
        <v>1.0923610804708355</v>
      </c>
    </row>
    <row r="219" spans="30:32" x14ac:dyDescent="0.2">
      <c r="AD219" s="98">
        <f t="shared" ca="1" si="11"/>
        <v>4.1396303901437372</v>
      </c>
      <c r="AE219" s="99">
        <f t="shared" ca="1" si="10"/>
        <v>43497</v>
      </c>
      <c r="AF219" s="6">
        <v>1.0967219750699055</v>
      </c>
    </row>
    <row r="220" spans="30:32" x14ac:dyDescent="0.2">
      <c r="AD220" s="98">
        <f t="shared" ca="1" si="11"/>
        <v>4.1587953456536617</v>
      </c>
      <c r="AE220" s="99">
        <f t="shared" ca="1" si="10"/>
        <v>43504</v>
      </c>
      <c r="AF220" s="6">
        <v>1.1010518160294565</v>
      </c>
    </row>
    <row r="221" spans="30:32" x14ac:dyDescent="0.2">
      <c r="AD221" s="98">
        <f t="shared" ca="1" si="11"/>
        <v>4.1779603011635862</v>
      </c>
      <c r="AE221" s="99">
        <f t="shared" ca="1" si="10"/>
        <v>43511</v>
      </c>
      <c r="AF221" s="6">
        <v>1.1053506709144145</v>
      </c>
    </row>
    <row r="222" spans="30:32" x14ac:dyDescent="0.2">
      <c r="AD222" s="98">
        <f t="shared" ca="1" si="11"/>
        <v>4.1971252566735116</v>
      </c>
      <c r="AE222" s="99">
        <f t="shared" ca="1" si="10"/>
        <v>43518</v>
      </c>
      <c r="AF222" s="6">
        <v>1.1096186516904551</v>
      </c>
    </row>
    <row r="223" spans="30:32" x14ac:dyDescent="0.2">
      <c r="AD223" s="98">
        <f t="shared" ca="1" si="11"/>
        <v>4.216290212183436</v>
      </c>
      <c r="AE223" s="99">
        <f t="shared" ca="1" si="10"/>
        <v>43525</v>
      </c>
      <c r="AF223" s="6">
        <v>1.113855913983788</v>
      </c>
    </row>
    <row r="224" spans="30:32" x14ac:dyDescent="0.2">
      <c r="AD224" s="98">
        <f t="shared" ca="1" si="11"/>
        <v>4.2354551676933605</v>
      </c>
      <c r="AE224" s="99">
        <f t="shared" ca="1" si="10"/>
        <v>43532</v>
      </c>
      <c r="AF224" s="6">
        <v>1.118062656193398</v>
      </c>
    </row>
    <row r="225" spans="30:32" x14ac:dyDescent="0.2">
      <c r="AD225" s="98">
        <f t="shared" ca="1" si="11"/>
        <v>4.2546201232032859</v>
      </c>
      <c r="AE225" s="99">
        <f t="shared" ca="1" si="10"/>
        <v>43539</v>
      </c>
      <c r="AF225" s="6">
        <v>1.1222391184626428</v>
      </c>
    </row>
    <row r="226" spans="30:32" x14ac:dyDescent="0.2">
      <c r="AD226" s="98">
        <f t="shared" ca="1" si="11"/>
        <v>4.2737850787132103</v>
      </c>
      <c r="AE226" s="99">
        <f t="shared" ca="1" si="10"/>
        <v>43546</v>
      </c>
      <c r="AF226" s="6">
        <v>1.1263855815178974</v>
      </c>
    </row>
    <row r="227" spans="30:32" x14ac:dyDescent="0.2">
      <c r="AD227" s="98">
        <f t="shared" ca="1" si="11"/>
        <v>4.2929500342231348</v>
      </c>
      <c r="AE227" s="99">
        <f t="shared" ca="1" si="10"/>
        <v>43553</v>
      </c>
      <c r="AF227" s="6">
        <v>1.1305023653826647</v>
      </c>
    </row>
    <row r="228" spans="30:32" x14ac:dyDescent="0.2">
      <c r="AD228" s="98">
        <f t="shared" ca="1" si="11"/>
        <v>4.3121149897330593</v>
      </c>
      <c r="AE228" s="99">
        <f t="shared" ca="1" si="10"/>
        <v>43560</v>
      </c>
      <c r="AF228" s="6">
        <v>1.1345898279761994</v>
      </c>
    </row>
    <row r="229" spans="30:32" x14ac:dyDescent="0.2">
      <c r="AD229" s="98">
        <f t="shared" ca="1" si="11"/>
        <v>4.3312799452429847</v>
      </c>
      <c r="AE229" s="99">
        <f t="shared" ca="1" si="10"/>
        <v>43567</v>
      </c>
      <c r="AF229" s="6">
        <v>1.1386483636062255</v>
      </c>
    </row>
    <row r="230" spans="30:32" x14ac:dyDescent="0.2">
      <c r="AD230" s="98">
        <f t="shared" ca="1" si="11"/>
        <v>4.3504449007529091</v>
      </c>
      <c r="AE230" s="99">
        <f t="shared" ca="1" si="10"/>
        <v>43574</v>
      </c>
      <c r="AF230" s="6">
        <v>1.1426784013657809</v>
      </c>
    </row>
    <row r="231" spans="30:32" x14ac:dyDescent="0.2">
      <c r="AD231" s="98">
        <f t="shared" ca="1" si="11"/>
        <v>4.3696098562628336</v>
      </c>
      <c r="AE231" s="99">
        <f t="shared" ca="1" si="10"/>
        <v>43581</v>
      </c>
      <c r="AF231" s="6">
        <v>1.1466804034445461</v>
      </c>
    </row>
    <row r="232" spans="30:32" x14ac:dyDescent="0.2">
      <c r="AD232" s="98">
        <f t="shared" ca="1" si="11"/>
        <v>4.3887748117727581</v>
      </c>
      <c r="AE232" s="99">
        <f t="shared" ca="1" si="10"/>
        <v>43588</v>
      </c>
      <c r="AF232" s="6">
        <v>1.1506548633652691</v>
      </c>
    </row>
    <row r="233" spans="30:32" x14ac:dyDescent="0.2">
      <c r="AD233" s="98">
        <f t="shared" ca="1" si="11"/>
        <v>4.4079397672826834</v>
      </c>
      <c r="AE233" s="99">
        <f t="shared" ca="1" si="10"/>
        <v>43595</v>
      </c>
      <c r="AF233" s="6">
        <v>1.1546023041560436</v>
      </c>
    </row>
    <row r="234" spans="30:32" x14ac:dyDescent="0.2">
      <c r="AD234" s="98">
        <f t="shared" ca="1" si="11"/>
        <v>4.4271047227926079</v>
      </c>
      <c r="AE234" s="99">
        <f t="shared" ca="1" si="10"/>
        <v>43602</v>
      </c>
      <c r="AF234" s="6">
        <v>1.1585232764692466</v>
      </c>
    </row>
    <row r="235" spans="30:32" x14ac:dyDescent="0.2">
      <c r="AD235" s="98">
        <f t="shared" ca="1" si="11"/>
        <v>4.4462696783025324</v>
      </c>
      <c r="AE235" s="99">
        <f t="shared" ca="1" si="10"/>
        <v>43609</v>
      </c>
      <c r="AF235" s="6">
        <v>1.1624183566578974</v>
      </c>
    </row>
    <row r="236" spans="30:32" x14ac:dyDescent="0.2">
      <c r="AD236" s="98">
        <f t="shared" ca="1" si="11"/>
        <v>4.4654346338124569</v>
      </c>
      <c r="AE236" s="99">
        <f t="shared" ca="1" si="10"/>
        <v>43616</v>
      </c>
      <c r="AF236" s="6">
        <v>1.1662881448200892</v>
      </c>
    </row>
    <row r="237" spans="30:32" x14ac:dyDescent="0.2">
      <c r="AD237" s="98">
        <f t="shared" ca="1" si="11"/>
        <v>4.4845995893223822</v>
      </c>
      <c r="AE237" s="99">
        <f t="shared" ca="1" si="10"/>
        <v>43623</v>
      </c>
      <c r="AF237" s="6">
        <v>1.1701332628219134</v>
      </c>
    </row>
    <row r="238" spans="30:32" x14ac:dyDescent="0.2">
      <c r="AD238" s="98">
        <f t="shared" ca="1" si="11"/>
        <v>4.5037645448323067</v>
      </c>
      <c r="AE238" s="99">
        <f t="shared" ca="1" si="10"/>
        <v>43630</v>
      </c>
      <c r="AF238" s="6">
        <v>1.1739543523090281</v>
      </c>
    </row>
    <row r="239" spans="30:32" x14ac:dyDescent="0.2">
      <c r="AD239" s="98">
        <f t="shared" ca="1" si="11"/>
        <v>4.5229295003422312</v>
      </c>
      <c r="AE239" s="99">
        <f t="shared" ca="1" si="10"/>
        <v>43637</v>
      </c>
      <c r="AF239" s="6">
        <v>1.1777520727166719</v>
      </c>
    </row>
    <row r="240" spans="30:32" x14ac:dyDescent="0.2">
      <c r="AD240" s="98">
        <f t="shared" ca="1" si="11"/>
        <v>4.5420944558521557</v>
      </c>
      <c r="AE240" s="99">
        <f t="shared" ca="1" si="10"/>
        <v>43644</v>
      </c>
      <c r="AF240" s="6">
        <v>1.1815270992874942</v>
      </c>
    </row>
    <row r="241" spans="30:32" x14ac:dyDescent="0.2">
      <c r="AD241" s="98">
        <f t="shared" ca="1" si="11"/>
        <v>4.561259411362081</v>
      </c>
      <c r="AE241" s="99">
        <f t="shared" ca="1" si="10"/>
        <v>43651</v>
      </c>
      <c r="AF241" s="6">
        <v>1.1852801211061164</v>
      </c>
    </row>
    <row r="242" spans="30:32" x14ac:dyDescent="0.2">
      <c r="AD242" s="98">
        <f t="shared" ca="1" si="11"/>
        <v>4.5804243668720055</v>
      </c>
      <c r="AE242" s="99">
        <f t="shared" ca="1" si="10"/>
        <v>43658</v>
      </c>
      <c r="AF242" s="6">
        <v>1.189011839158824</v>
      </c>
    </row>
    <row r="243" spans="30:32" x14ac:dyDescent="0.2">
      <c r="AD243" s="98">
        <f t="shared" ca="1" si="11"/>
        <v>4.59958932238193</v>
      </c>
      <c r="AE243" s="99">
        <f t="shared" ca="1" si="10"/>
        <v>43665</v>
      </c>
      <c r="AF243" s="6">
        <v>1.1927229644262238</v>
      </c>
    </row>
    <row r="244" spans="30:32" x14ac:dyDescent="0.2">
      <c r="AD244" s="98">
        <f t="shared" ca="1" si="11"/>
        <v>4.6187542778918553</v>
      </c>
      <c r="AE244" s="99">
        <f t="shared" ca="1" si="10"/>
        <v>43672</v>
      </c>
      <c r="AF244" s="6">
        <v>1.196414216016126</v>
      </c>
    </row>
    <row r="245" spans="30:32" x14ac:dyDescent="0.2">
      <c r="AD245" s="98">
        <f t="shared" ca="1" si="11"/>
        <v>4.6379192334017798</v>
      </c>
      <c r="AE245" s="99">
        <f t="shared" ca="1" si="10"/>
        <v>43679</v>
      </c>
      <c r="AF245" s="6">
        <v>1.2000863193432931</v>
      </c>
    </row>
    <row r="246" spans="30:32" x14ac:dyDescent="0.2">
      <c r="AD246" s="98">
        <f t="shared" ca="1" si="11"/>
        <v>4.6570841889117043</v>
      </c>
      <c r="AE246" s="99">
        <f t="shared" ca="1" si="10"/>
        <v>43686</v>
      </c>
      <c r="AF246" s="6">
        <v>1.2037400043620838</v>
      </c>
    </row>
    <row r="247" spans="30:32" x14ac:dyDescent="0.2">
      <c r="AD247" s="98">
        <f t="shared" ca="1" si="11"/>
        <v>4.6762491444216288</v>
      </c>
      <c r="AE247" s="99">
        <f t="shared" ca="1" si="10"/>
        <v>43693</v>
      </c>
      <c r="AF247" s="6">
        <v>1.2073760038573649</v>
      </c>
    </row>
    <row r="248" spans="30:32" x14ac:dyDescent="0.2">
      <c r="AD248" s="98">
        <f t="shared" ca="1" si="11"/>
        <v>4.6954140999315541</v>
      </c>
      <c r="AE248" s="99">
        <f t="shared" ca="1" si="10"/>
        <v>43700</v>
      </c>
      <c r="AF248" s="6">
        <v>1.2109950517984527</v>
      </c>
    </row>
    <row r="249" spans="30:32" x14ac:dyDescent="0.2">
      <c r="AD249" s="98">
        <f t="shared" ca="1" si="11"/>
        <v>4.7145790554414786</v>
      </c>
      <c r="AE249" s="99">
        <f t="shared" ca="1" si="10"/>
        <v>43707</v>
      </c>
      <c r="AF249" s="6">
        <v>1.2145978817601895</v>
      </c>
    </row>
    <row r="250" spans="30:32" x14ac:dyDescent="0.2">
      <c r="AD250" s="98">
        <f t="shared" ca="1" si="11"/>
        <v>4.7337440109514031</v>
      </c>
      <c r="AE250" s="99">
        <f t="shared" ca="1" si="10"/>
        <v>43714</v>
      </c>
      <c r="AF250" s="6">
        <v>1.2181852254146455</v>
      </c>
    </row>
    <row r="251" spans="30:32" x14ac:dyDescent="0.2">
      <c r="AD251" s="98">
        <f t="shared" ca="1" si="11"/>
        <v>4.7529089664613275</v>
      </c>
      <c r="AE251" s="99">
        <f t="shared" ca="1" si="10"/>
        <v>43721</v>
      </c>
      <c r="AF251" s="6">
        <v>1.2217578110963319</v>
      </c>
    </row>
    <row r="252" spans="30:32" x14ac:dyDescent="0.2">
      <c r="AD252" s="98">
        <f t="shared" ca="1" si="11"/>
        <v>4.7720739219712529</v>
      </c>
      <c r="AE252" s="99">
        <f t="shared" ca="1" si="10"/>
        <v>43728</v>
      </c>
      <c r="AF252" s="6">
        <v>1.2253163624432049</v>
      </c>
    </row>
    <row r="253" spans="30:32" x14ac:dyDescent="0.2">
      <c r="AD253" s="98">
        <f t="shared" ca="1" si="11"/>
        <v>4.7912388774811774</v>
      </c>
      <c r="AE253" s="99">
        <f t="shared" ca="1" si="10"/>
        <v>43735</v>
      </c>
      <c r="AF253" s="6">
        <v>1.2288615971151882</v>
      </c>
    </row>
    <row r="254" spans="30:32" x14ac:dyDescent="0.2">
      <c r="AD254" s="98">
        <f t="shared" ca="1" si="11"/>
        <v>4.8104038329911019</v>
      </c>
      <c r="AE254" s="99">
        <f t="shared" ca="1" si="10"/>
        <v>43742</v>
      </c>
      <c r="AF254" s="6">
        <v>1.2323942255913871</v>
      </c>
    </row>
    <row r="255" spans="30:32" x14ac:dyDescent="0.2">
      <c r="AD255" s="98">
        <f t="shared" ca="1" si="11"/>
        <v>4.8295687885010263</v>
      </c>
      <c r="AE255" s="99">
        <f t="shared" ca="1" si="10"/>
        <v>43749</v>
      </c>
      <c r="AF255" s="6">
        <v>1.2359149500466657</v>
      </c>
    </row>
    <row r="256" spans="30:32" x14ac:dyDescent="0.2">
      <c r="AD256" s="98">
        <f t="shared" ca="1" si="11"/>
        <v>4.8487337440109517</v>
      </c>
      <c r="AE256" s="99">
        <f t="shared" ca="1" si="10"/>
        <v>43756</v>
      </c>
      <c r="AF256" s="6">
        <v>1.2394244633077607</v>
      </c>
    </row>
    <row r="257" spans="30:32" x14ac:dyDescent="0.2">
      <c r="AD257" s="98">
        <f t="shared" ca="1" si="11"/>
        <v>4.8678986995208762</v>
      </c>
      <c r="AE257" s="99">
        <f t="shared" ca="1" si="10"/>
        <v>43763</v>
      </c>
      <c r="AF257" s="6">
        <v>1.2429234478886864</v>
      </c>
    </row>
    <row r="258" spans="30:32" x14ac:dyDescent="0.2">
      <c r="AD258" s="98">
        <f t="shared" ca="1" si="11"/>
        <v>4.8870636550308006</v>
      </c>
      <c r="AE258" s="99">
        <f t="shared" ca="1" si="10"/>
        <v>43770</v>
      </c>
      <c r="AF258" s="6">
        <v>1.246412575104735</v>
      </c>
    </row>
    <row r="259" spans="30:32" x14ac:dyDescent="0.2">
      <c r="AD259" s="98">
        <f t="shared" ca="1" si="11"/>
        <v>4.9062286105407251</v>
      </c>
      <c r="AE259" s="99">
        <f t="shared" ca="1" si="10"/>
        <v>43777</v>
      </c>
      <c r="AF259" s="6">
        <v>1.2498925042640303</v>
      </c>
    </row>
    <row r="260" spans="30:32" x14ac:dyDescent="0.2">
      <c r="AD260" s="98">
        <f t="shared" ca="1" si="11"/>
        <v>4.9253935660506505</v>
      </c>
      <c r="AE260" s="99">
        <f t="shared" ref="AE260:AE323" ca="1" si="12">AE259+7</f>
        <v>43784</v>
      </c>
      <c r="AF260" s="6">
        <v>1.2533638819352331</v>
      </c>
    </row>
    <row r="261" spans="30:32" x14ac:dyDescent="0.2">
      <c r="AD261" s="98">
        <f t="shared" ref="AD261:AD324" ca="1" si="13">(AE261-$B$3)/365.25</f>
        <v>4.944558521560575</v>
      </c>
      <c r="AE261" s="99">
        <f t="shared" ca="1" si="12"/>
        <v>43791</v>
      </c>
      <c r="AF261" s="6">
        <v>1.2568273412896951</v>
      </c>
    </row>
    <row r="262" spans="30:32" x14ac:dyDescent="0.2">
      <c r="AD262" s="98">
        <f t="shared" ca="1" si="13"/>
        <v>4.9637234770704994</v>
      </c>
      <c r="AE262" s="99">
        <f t="shared" ca="1" si="12"/>
        <v>43798</v>
      </c>
      <c r="AF262" s="6">
        <v>1.2602835015160865</v>
      </c>
    </row>
    <row r="263" spans="30:32" x14ac:dyDescent="0.2">
      <c r="AD263" s="98">
        <f t="shared" ca="1" si="13"/>
        <v>4.9828884325804248</v>
      </c>
      <c r="AE263" s="99">
        <f t="shared" ca="1" si="12"/>
        <v>43805</v>
      </c>
      <c r="AF263" s="6">
        <v>1.2637329673052791</v>
      </c>
    </row>
    <row r="264" spans="30:32" x14ac:dyDescent="0.2">
      <c r="AD264" s="98">
        <f t="shared" ca="1" si="13"/>
        <v>5.0020533880903493</v>
      </c>
      <c r="AE264" s="99">
        <f t="shared" ca="1" si="12"/>
        <v>43812</v>
      </c>
      <c r="AF264" s="6">
        <v>1.267176260817821</v>
      </c>
    </row>
    <row r="265" spans="30:32" x14ac:dyDescent="0.2">
      <c r="AD265" s="98">
        <f t="shared" ca="1" si="13"/>
        <v>5.0212183436002737</v>
      </c>
      <c r="AE265" s="99">
        <f t="shared" ca="1" si="12"/>
        <v>43819</v>
      </c>
      <c r="AF265" s="6">
        <v>1.2706067112248527</v>
      </c>
    </row>
    <row r="266" spans="30:32" x14ac:dyDescent="0.2">
      <c r="AD266" s="98">
        <f t="shared" ca="1" si="13"/>
        <v>5.0403832991101982</v>
      </c>
      <c r="AE266" s="99">
        <f t="shared" ca="1" si="12"/>
        <v>43826</v>
      </c>
      <c r="AF266" s="6">
        <v>1.2740192067739278</v>
      </c>
    </row>
    <row r="267" spans="30:32" x14ac:dyDescent="0.2">
      <c r="AD267" s="98">
        <f t="shared" ca="1" si="13"/>
        <v>5.0595482546201236</v>
      </c>
      <c r="AE267" s="99">
        <f t="shared" ca="1" si="12"/>
        <v>43833</v>
      </c>
      <c r="AF267" s="6">
        <v>1.2774131761388685</v>
      </c>
    </row>
    <row r="268" spans="30:32" x14ac:dyDescent="0.2">
      <c r="AD268" s="98">
        <f t="shared" ca="1" si="13"/>
        <v>5.0787132101300481</v>
      </c>
      <c r="AE268" s="99">
        <f t="shared" ca="1" si="12"/>
        <v>43840</v>
      </c>
      <c r="AF268" s="6">
        <v>1.2807880473691111</v>
      </c>
    </row>
    <row r="269" spans="30:32" x14ac:dyDescent="0.2">
      <c r="AD269" s="98">
        <f t="shared" ca="1" si="13"/>
        <v>5.0978781656399725</v>
      </c>
      <c r="AE269" s="99">
        <f t="shared" ca="1" si="12"/>
        <v>43847</v>
      </c>
      <c r="AF269" s="6">
        <v>1.2841432489615472</v>
      </c>
    </row>
    <row r="270" spans="30:32" x14ac:dyDescent="0.2">
      <c r="AD270" s="98">
        <f t="shared" ca="1" si="13"/>
        <v>5.117043121149897</v>
      </c>
      <c r="AE270" s="99">
        <f t="shared" ca="1" si="12"/>
        <v>43854</v>
      </c>
      <c r="AF270" s="6">
        <v>1.2874782109923961</v>
      </c>
    </row>
    <row r="271" spans="30:32" x14ac:dyDescent="0.2">
      <c r="AD271" s="98">
        <f t="shared" ca="1" si="13"/>
        <v>5.1362080766598224</v>
      </c>
      <c r="AE271" s="99">
        <f t="shared" ca="1" si="12"/>
        <v>43861</v>
      </c>
      <c r="AF271" s="6">
        <v>1.290792366308446</v>
      </c>
    </row>
    <row r="272" spans="30:32" x14ac:dyDescent="0.2">
      <c r="AD272" s="98">
        <f t="shared" ca="1" si="13"/>
        <v>5.1553730321697468</v>
      </c>
      <c r="AE272" s="99">
        <f t="shared" ca="1" si="12"/>
        <v>43868</v>
      </c>
      <c r="AF272" s="6">
        <v>1.2940851517766361</v>
      </c>
    </row>
    <row r="273" spans="30:32" x14ac:dyDescent="0.2">
      <c r="AD273" s="98">
        <f t="shared" ca="1" si="13"/>
        <v>5.1745379876796713</v>
      </c>
      <c r="AE273" s="99">
        <f t="shared" ca="1" si="12"/>
        <v>43875</v>
      </c>
      <c r="AF273" s="6">
        <v>1.2973560095905243</v>
      </c>
    </row>
    <row r="274" spans="30:32" x14ac:dyDescent="0.2">
      <c r="AD274" s="98">
        <f t="shared" ca="1" si="13"/>
        <v>5.1937029431895958</v>
      </c>
      <c r="AE274" s="99">
        <f t="shared" ca="1" si="12"/>
        <v>43882</v>
      </c>
      <c r="AF274" s="6">
        <v>1.3006043886317815</v>
      </c>
    </row>
    <row r="275" spans="30:32" x14ac:dyDescent="0.2">
      <c r="AD275" s="98">
        <f t="shared" ca="1" si="13"/>
        <v>5.2128678986995212</v>
      </c>
      <c r="AE275" s="99">
        <f t="shared" ca="1" si="12"/>
        <v>43889</v>
      </c>
      <c r="AF275" s="6">
        <v>1.3038297458843933</v>
      </c>
    </row>
    <row r="276" spans="30:32" x14ac:dyDescent="0.2">
      <c r="AD276" s="98">
        <f t="shared" ca="1" si="13"/>
        <v>5.2320328542094456</v>
      </c>
      <c r="AE276" s="99">
        <f t="shared" ca="1" si="12"/>
        <v>43896</v>
      </c>
      <c r="AF276" s="6">
        <v>1.3070315478987742</v>
      </c>
    </row>
    <row r="277" spans="30:32" x14ac:dyDescent="0.2">
      <c r="AD277" s="98">
        <f t="shared" ca="1" si="13"/>
        <v>5.2511978097193701</v>
      </c>
      <c r="AE277" s="99">
        <f t="shared" ca="1" si="12"/>
        <v>43903</v>
      </c>
      <c r="AF277" s="6">
        <v>1.3102092723025296</v>
      </c>
    </row>
    <row r="278" spans="30:32" x14ac:dyDescent="0.2">
      <c r="AD278" s="98">
        <f t="shared" ca="1" si="13"/>
        <v>5.2703627652292946</v>
      </c>
      <c r="AE278" s="99">
        <f t="shared" ca="1" si="12"/>
        <v>43910</v>
      </c>
      <c r="AF278" s="6">
        <v>1.3133624093540843</v>
      </c>
    </row>
    <row r="279" spans="30:32" x14ac:dyDescent="0.2">
      <c r="AD279" s="98">
        <f t="shared" ca="1" si="13"/>
        <v>5.28952772073922</v>
      </c>
      <c r="AE279" s="99">
        <f t="shared" ca="1" si="12"/>
        <v>43917</v>
      </c>
      <c r="AF279" s="6">
        <v>1.316490463534892</v>
      </c>
    </row>
    <row r="280" spans="30:32" x14ac:dyDescent="0.2">
      <c r="AD280" s="98">
        <f t="shared" ca="1" si="13"/>
        <v>5.3086926762491444</v>
      </c>
      <c r="AE280" s="99">
        <f t="shared" ca="1" si="12"/>
        <v>43924</v>
      </c>
      <c r="AF280" s="6">
        <v>1.3195929551754215</v>
      </c>
    </row>
    <row r="281" spans="30:32" x14ac:dyDescent="0.2">
      <c r="AD281" s="98">
        <f t="shared" ca="1" si="13"/>
        <v>5.3278576317590689</v>
      </c>
      <c r="AE281" s="99">
        <f t="shared" ca="1" si="12"/>
        <v>43931</v>
      </c>
      <c r="AF281" s="6">
        <v>1.3226694221095932</v>
      </c>
    </row>
    <row r="282" spans="30:32" x14ac:dyDescent="0.2">
      <c r="AD282" s="98">
        <f t="shared" ca="1" si="13"/>
        <v>5.3470225872689943</v>
      </c>
      <c r="AE282" s="99">
        <f t="shared" ca="1" si="12"/>
        <v>43938</v>
      </c>
      <c r="AF282" s="6">
        <v>1.3257194213518217</v>
      </c>
    </row>
    <row r="283" spans="30:32" x14ac:dyDescent="0.2">
      <c r="AD283" s="98">
        <f t="shared" ca="1" si="13"/>
        <v>5.3661875427789187</v>
      </c>
      <c r="AE283" s="99">
        <f t="shared" ca="1" si="12"/>
        <v>43945</v>
      </c>
      <c r="AF283" s="6">
        <v>1.3287425307903131</v>
      </c>
    </row>
    <row r="284" spans="30:32" x14ac:dyDescent="0.2">
      <c r="AD284" s="98">
        <f t="shared" ca="1" si="13"/>
        <v>5.3853524982888432</v>
      </c>
      <c r="AE284" s="99">
        <f t="shared" ca="1" si="12"/>
        <v>43952</v>
      </c>
      <c r="AF284" s="6">
        <v>1.3317383508897498</v>
      </c>
    </row>
    <row r="285" spans="30:32" x14ac:dyDescent="0.2">
      <c r="AD285" s="98">
        <f t="shared" ca="1" si="13"/>
        <v>5.4045174537987677</v>
      </c>
      <c r="AE285" s="99">
        <f t="shared" ca="1" si="12"/>
        <v>43959</v>
      </c>
      <c r="AF285" s="6">
        <v>1.3347065063960506</v>
      </c>
    </row>
    <row r="286" spans="30:32" x14ac:dyDescent="0.2">
      <c r="AD286" s="98">
        <f t="shared" ca="1" si="13"/>
        <v>5.4236824093086931</v>
      </c>
      <c r="AE286" s="99">
        <f t="shared" ca="1" si="12"/>
        <v>43966</v>
      </c>
      <c r="AF286" s="6">
        <v>1.337646648035407</v>
      </c>
    </row>
    <row r="287" spans="30:32" x14ac:dyDescent="0.2">
      <c r="AD287" s="98">
        <f t="shared" ca="1" si="13"/>
        <v>5.4428473648186175</v>
      </c>
      <c r="AE287" s="99">
        <f t="shared" ca="1" si="12"/>
        <v>43973</v>
      </c>
      <c r="AF287" s="6">
        <v>1.3405584541993905</v>
      </c>
    </row>
    <row r="288" spans="30:32" x14ac:dyDescent="0.2">
      <c r="AD288" s="98">
        <f t="shared" ca="1" si="13"/>
        <v>5.462012320328542</v>
      </c>
      <c r="AE288" s="99">
        <f t="shared" ca="1" si="12"/>
        <v>43980</v>
      </c>
      <c r="AF288" s="6">
        <v>1.3434416326075456</v>
      </c>
    </row>
    <row r="289" spans="30:32" x14ac:dyDescent="0.2">
      <c r="AD289" s="98">
        <f t="shared" ca="1" si="13"/>
        <v>5.4811772758384665</v>
      </c>
      <c r="AE289" s="99">
        <f t="shared" ca="1" si="12"/>
        <v>43987</v>
      </c>
      <c r="AF289" s="6">
        <v>1.3462959219385384</v>
      </c>
    </row>
    <row r="290" spans="30:32" x14ac:dyDescent="0.2">
      <c r="AD290" s="98">
        <f t="shared" ca="1" si="13"/>
        <v>5.5003422313483918</v>
      </c>
      <c r="AE290" s="99">
        <f t="shared" ca="1" si="12"/>
        <v>43994</v>
      </c>
      <c r="AF290" s="6">
        <v>1.3491210934206439</v>
      </c>
    </row>
    <row r="291" spans="30:32" x14ac:dyDescent="0.2">
      <c r="AD291" s="98">
        <f t="shared" ca="1" si="13"/>
        <v>5.5195071868583163</v>
      </c>
      <c r="AE291" s="99">
        <f t="shared" ca="1" si="12"/>
        <v>44001</v>
      </c>
      <c r="AF291" s="6">
        <v>1.3519169523721313</v>
      </c>
    </row>
    <row r="292" spans="30:32" x14ac:dyDescent="0.2">
      <c r="AD292" s="98">
        <f t="shared" ca="1" si="13"/>
        <v>5.5386721423682408</v>
      </c>
      <c r="AE292" s="99">
        <f t="shared" ca="1" si="12"/>
        <v>44008</v>
      </c>
      <c r="AF292" s="6">
        <v>1.3546833396819409</v>
      </c>
    </row>
    <row r="293" spans="30:32" x14ac:dyDescent="0.2">
      <c r="AD293" s="98">
        <f t="shared" ca="1" si="13"/>
        <v>5.5578370978781653</v>
      </c>
      <c r="AE293" s="99">
        <f t="shared" ca="1" si="12"/>
        <v>44015</v>
      </c>
      <c r="AF293" s="6">
        <v>1.3574201332209486</v>
      </c>
    </row>
    <row r="294" spans="30:32" x14ac:dyDescent="0.2">
      <c r="AD294" s="98">
        <f t="shared" ca="1" si="13"/>
        <v>5.5770020533880906</v>
      </c>
      <c r="AE294" s="99">
        <f t="shared" ca="1" si="12"/>
        <v>44022</v>
      </c>
      <c r="AF294" s="6">
        <v>1.3601272491741005</v>
      </c>
    </row>
    <row r="295" spans="30:32" x14ac:dyDescent="0.2">
      <c r="AD295" s="98">
        <f t="shared" ca="1" si="13"/>
        <v>5.5961670088980151</v>
      </c>
      <c r="AE295" s="99">
        <f t="shared" ca="1" si="12"/>
        <v>44029</v>
      </c>
      <c r="AF295" s="6">
        <v>1.3628046432837611</v>
      </c>
    </row>
    <row r="296" spans="30:32" x14ac:dyDescent="0.2">
      <c r="AD296" s="98">
        <f t="shared" ca="1" si="13"/>
        <v>5.6153319644079396</v>
      </c>
      <c r="AE296" s="99">
        <f t="shared" ca="1" si="12"/>
        <v>44036</v>
      </c>
      <c r="AF296" s="6">
        <v>1.365452311994761</v>
      </c>
    </row>
    <row r="297" spans="30:32" x14ac:dyDescent="0.2">
      <c r="AD297" s="98">
        <f t="shared" ca="1" si="13"/>
        <v>5.6344969199178641</v>
      </c>
      <c r="AE297" s="99">
        <f t="shared" ca="1" si="12"/>
        <v>44043</v>
      </c>
      <c r="AF297" s="6">
        <v>1.3680702934918638</v>
      </c>
    </row>
    <row r="298" spans="30:32" x14ac:dyDescent="0.2">
      <c r="AD298" s="98">
        <f t="shared" ca="1" si="13"/>
        <v>5.6536618754277894</v>
      </c>
      <c r="AE298" s="99">
        <f t="shared" ca="1" si="12"/>
        <v>44050</v>
      </c>
      <c r="AF298" s="6">
        <v>1.3706586686207085</v>
      </c>
    </row>
    <row r="299" spans="30:32" x14ac:dyDescent="0.2">
      <c r="AD299" s="98">
        <f t="shared" ca="1" si="13"/>
        <v>5.6728268309377139</v>
      </c>
      <c r="AE299" s="99">
        <f t="shared" ca="1" si="12"/>
        <v>44057</v>
      </c>
      <c r="AF299" s="6">
        <v>1.3732175616836757</v>
      </c>
    </row>
    <row r="300" spans="30:32" x14ac:dyDescent="0.2">
      <c r="AD300" s="98">
        <f t="shared" ca="1" si="13"/>
        <v>5.6919917864476384</v>
      </c>
      <c r="AE300" s="99">
        <f t="shared" ca="1" si="12"/>
        <v>44064</v>
      </c>
      <c r="AF300" s="6">
        <v>1.3757471411026445</v>
      </c>
    </row>
    <row r="301" spans="30:32" x14ac:dyDescent="0.2">
      <c r="AD301" s="98">
        <f t="shared" ca="1" si="13"/>
        <v>5.7111567419575637</v>
      </c>
      <c r="AE301" s="99">
        <f t="shared" ca="1" si="12"/>
        <v>44071</v>
      </c>
      <c r="AF301" s="6">
        <v>1.3782476199412135</v>
      </c>
    </row>
    <row r="302" spans="30:32" x14ac:dyDescent="0.2">
      <c r="AD302" s="98">
        <f t="shared" ca="1" si="13"/>
        <v>5.7303216974674882</v>
      </c>
      <c r="AE302" s="99">
        <f t="shared" ca="1" si="12"/>
        <v>44078</v>
      </c>
      <c r="AF302" s="6">
        <v>1.3807192562796193</v>
      </c>
    </row>
    <row r="303" spans="30:32" x14ac:dyDescent="0.2">
      <c r="AD303" s="98">
        <f t="shared" ca="1" si="13"/>
        <v>5.7494866529774127</v>
      </c>
      <c r="AE303" s="99">
        <f t="shared" ca="1" si="12"/>
        <v>44085</v>
      </c>
      <c r="AF303" s="6">
        <v>1.3831623534363657</v>
      </c>
    </row>
    <row r="304" spans="30:32" x14ac:dyDescent="0.2">
      <c r="AD304" s="98">
        <f t="shared" ca="1" si="13"/>
        <v>5.7686516084873372</v>
      </c>
      <c r="AE304" s="99">
        <f t="shared" ca="1" si="12"/>
        <v>44092</v>
      </c>
      <c r="AF304" s="6">
        <v>1.3855772600314376</v>
      </c>
    </row>
    <row r="305" spans="30:32" x14ac:dyDescent="0.2">
      <c r="AD305" s="98">
        <f t="shared" ca="1" si="13"/>
        <v>5.7878165639972625</v>
      </c>
      <c r="AE305" s="99">
        <f t="shared" ca="1" si="12"/>
        <v>44099</v>
      </c>
      <c r="AF305" s="6">
        <v>1.3879643698868653</v>
      </c>
    </row>
    <row r="306" spans="30:32" x14ac:dyDescent="0.2">
      <c r="AD306" s="98">
        <f t="shared" ca="1" si="13"/>
        <v>5.806981519507187</v>
      </c>
      <c r="AE306" s="99">
        <f t="shared" ca="1" si="12"/>
        <v>44106</v>
      </c>
      <c r="AF306" s="6">
        <v>1.3903241217614177</v>
      </c>
    </row>
    <row r="307" spans="30:32" x14ac:dyDescent="0.2">
      <c r="AD307" s="98">
        <f t="shared" ca="1" si="13"/>
        <v>5.8261464750171115</v>
      </c>
      <c r="AE307" s="99">
        <f t="shared" ca="1" si="12"/>
        <v>44113</v>
      </c>
      <c r="AF307" s="6">
        <v>1.3926569989172297</v>
      </c>
    </row>
    <row r="308" spans="30:32" x14ac:dyDescent="0.2">
      <c r="AD308" s="98">
        <f t="shared" ca="1" si="13"/>
        <v>5.8453114305270359</v>
      </c>
      <c r="AE308" s="99">
        <f t="shared" ca="1" si="12"/>
        <v>44120</v>
      </c>
      <c r="AF308" s="6">
        <v>1.394963528517273</v>
      </c>
    </row>
    <row r="309" spans="30:32" x14ac:dyDescent="0.2">
      <c r="AD309" s="98">
        <f t="shared" ca="1" si="13"/>
        <v>5.8644763860369613</v>
      </c>
      <c r="AE309" s="99">
        <f t="shared" ca="1" si="12"/>
        <v>44127</v>
      </c>
      <c r="AF309" s="6">
        <v>1.3972442808537018</v>
      </c>
    </row>
    <row r="310" spans="30:32" x14ac:dyDescent="0.2">
      <c r="AD310" s="98">
        <f t="shared" ca="1" si="13"/>
        <v>5.8836413415468858</v>
      </c>
      <c r="AE310" s="99">
        <f t="shared" ca="1" si="12"/>
        <v>44134</v>
      </c>
      <c r="AF310" s="6">
        <v>1.3994998684082594</v>
      </c>
    </row>
    <row r="311" spans="30:32" x14ac:dyDescent="0.2">
      <c r="AD311" s="98">
        <f t="shared" ca="1" si="13"/>
        <v>5.9028062970568103</v>
      </c>
      <c r="AE311" s="99">
        <f t="shared" ca="1" si="12"/>
        <v>44141</v>
      </c>
      <c r="AF311" s="6">
        <v>1.4017309447471009</v>
      </c>
    </row>
    <row r="312" spans="30:32" x14ac:dyDescent="0.2">
      <c r="AD312" s="98">
        <f t="shared" ca="1" si="13"/>
        <v>5.9219712525667347</v>
      </c>
      <c r="AE312" s="99">
        <f t="shared" ca="1" si="12"/>
        <v>44148</v>
      </c>
      <c r="AF312" s="6">
        <v>1.4039382032535686</v>
      </c>
    </row>
    <row r="313" spans="30:32" x14ac:dyDescent="0.2">
      <c r="AD313" s="98">
        <f t="shared" ca="1" si="13"/>
        <v>5.9411362080766601</v>
      </c>
      <c r="AE313" s="99">
        <f t="shared" ca="1" si="12"/>
        <v>44155</v>
      </c>
      <c r="AF313" s="6">
        <v>1.406122375703591</v>
      </c>
    </row>
    <row r="314" spans="30:32" x14ac:dyDescent="0.2">
      <c r="AD314" s="98">
        <f t="shared" ca="1" si="13"/>
        <v>5.9603011635865846</v>
      </c>
      <c r="AE314" s="99">
        <f t="shared" ca="1" si="12"/>
        <v>44162</v>
      </c>
      <c r="AF314" s="6">
        <v>1.4082842306895373</v>
      </c>
    </row>
    <row r="315" spans="30:32" x14ac:dyDescent="0.2">
      <c r="AD315" s="98">
        <f t="shared" ca="1" si="13"/>
        <v>5.979466119096509</v>
      </c>
      <c r="AE315" s="99">
        <f t="shared" ca="1" si="12"/>
        <v>44169</v>
      </c>
      <c r="AF315" s="6">
        <v>1.4104245718994395</v>
      </c>
    </row>
    <row r="316" spans="30:32" x14ac:dyDescent="0.2">
      <c r="AD316" s="98">
        <f t="shared" ca="1" si="13"/>
        <v>5.9986310746064335</v>
      </c>
      <c r="AE316" s="99">
        <f t="shared" ca="1" si="12"/>
        <v>44176</v>
      </c>
      <c r="AF316" s="6">
        <v>1.4125442362595397</v>
      </c>
    </row>
    <row r="317" spans="30:32" x14ac:dyDescent="0.2">
      <c r="AD317" s="98">
        <f t="shared" ca="1" si="13"/>
        <v>6.0177960301163589</v>
      </c>
      <c r="AE317" s="99">
        <f t="shared" ca="1" si="12"/>
        <v>44183</v>
      </c>
      <c r="AF317" s="6">
        <v>1.4146440919491241</v>
      </c>
    </row>
    <row r="318" spans="30:32" x14ac:dyDescent="0.2">
      <c r="AD318" s="98">
        <f t="shared" ca="1" si="13"/>
        <v>6.0369609856262834</v>
      </c>
      <c r="AE318" s="99">
        <f t="shared" ca="1" si="12"/>
        <v>44190</v>
      </c>
      <c r="AF318" s="6">
        <v>1.4167250362974855</v>
      </c>
    </row>
    <row r="319" spans="30:32" x14ac:dyDescent="0.2">
      <c r="AD319" s="98">
        <f t="shared" ca="1" si="13"/>
        <v>6.0561259411362078</v>
      </c>
      <c r="AE319" s="99">
        <f t="shared" ca="1" si="12"/>
        <v>44197</v>
      </c>
      <c r="AF319" s="6">
        <v>1.4187879935737184</v>
      </c>
    </row>
    <row r="320" spans="30:32" x14ac:dyDescent="0.2">
      <c r="AD320" s="98">
        <f t="shared" ca="1" si="13"/>
        <v>6.0752908966461332</v>
      </c>
      <c r="AE320" s="99">
        <f t="shared" ca="1" si="12"/>
        <v>44204</v>
      </c>
      <c r="AF320" s="6">
        <v>1.4208339126807559</v>
      </c>
    </row>
    <row r="321" spans="30:32" x14ac:dyDescent="0.2">
      <c r="AD321" s="98">
        <f t="shared" ca="1" si="13"/>
        <v>6.0944558521560577</v>
      </c>
      <c r="AE321" s="99">
        <f t="shared" ca="1" si="12"/>
        <v>44211</v>
      </c>
      <c r="AF321" s="6">
        <v>1.4228637647657154</v>
      </c>
    </row>
    <row r="322" spans="30:32" x14ac:dyDescent="0.2">
      <c r="AD322" s="98">
        <f t="shared" ca="1" si="13"/>
        <v>6.1136208076659821</v>
      </c>
      <c r="AE322" s="99">
        <f t="shared" ca="1" si="12"/>
        <v>44218</v>
      </c>
      <c r="AF322" s="6">
        <v>1.4248785407591249</v>
      </c>
    </row>
    <row r="323" spans="30:32" x14ac:dyDescent="0.2">
      <c r="AD323" s="98">
        <f t="shared" ca="1" si="13"/>
        <v>6.1327857631759066</v>
      </c>
      <c r="AE323" s="99">
        <f t="shared" ca="1" si="12"/>
        <v>44225</v>
      </c>
      <c r="AF323" s="6">
        <v>1.4268792488560382</v>
      </c>
    </row>
    <row r="324" spans="30:32" x14ac:dyDescent="0.2">
      <c r="AD324" s="98">
        <f t="shared" ca="1" si="13"/>
        <v>6.151950718685832</v>
      </c>
      <c r="AE324" s="99">
        <f t="shared" ref="AE324:AE387" ca="1" si="14">AE323+7</f>
        <v>44232</v>
      </c>
      <c r="AF324" s="6">
        <v>1.4288669119523107</v>
      </c>
    </row>
    <row r="325" spans="30:32" x14ac:dyDescent="0.2">
      <c r="AD325" s="98">
        <f t="shared" ref="AD325:AD388" ca="1" si="15">(AE325-$B$3)/365.25</f>
        <v>6.1711156741957565</v>
      </c>
      <c r="AE325" s="99">
        <f t="shared" ca="1" si="14"/>
        <v>44239</v>
      </c>
      <c r="AF325" s="6">
        <v>1.430842565049528</v>
      </c>
    </row>
    <row r="326" spans="30:32" x14ac:dyDescent="0.2">
      <c r="AD326" s="98">
        <f t="shared" ca="1" si="15"/>
        <v>6.1902806297056809</v>
      </c>
      <c r="AE326" s="99">
        <f t="shared" ca="1" si="14"/>
        <v>44246</v>
      </c>
      <c r="AF326" s="6">
        <v>1.4328072526420947</v>
      </c>
    </row>
    <row r="327" spans="30:32" x14ac:dyDescent="0.2">
      <c r="AD327" s="98">
        <f t="shared" ca="1" si="15"/>
        <v>6.2094455852156054</v>
      </c>
      <c r="AE327" s="99">
        <f t="shared" ca="1" si="14"/>
        <v>44253</v>
      </c>
      <c r="AF327" s="6">
        <v>1.4347620260999614</v>
      </c>
    </row>
    <row r="328" spans="30:32" x14ac:dyDescent="0.2">
      <c r="AD328" s="98">
        <f t="shared" ca="1" si="15"/>
        <v>6.2286105407255308</v>
      </c>
      <c r="AE328" s="99">
        <f t="shared" ca="1" si="14"/>
        <v>44260</v>
      </c>
      <c r="AF328" s="6">
        <v>1.4367079410602697</v>
      </c>
    </row>
    <row r="329" spans="30:32" x14ac:dyDescent="0.2">
      <c r="AD329" s="98">
        <f t="shared" ca="1" si="15"/>
        <v>6.2477754962354553</v>
      </c>
      <c r="AE329" s="99">
        <f t="shared" ca="1" si="14"/>
        <v>44267</v>
      </c>
      <c r="AF329" s="6">
        <v>1.4386460548409299</v>
      </c>
    </row>
    <row r="330" spans="30:32" x14ac:dyDescent="0.2">
      <c r="AD330" s="98">
        <f t="shared" ca="1" si="15"/>
        <v>6.2669404517453797</v>
      </c>
      <c r="AE330" s="99">
        <f t="shared" ca="1" si="14"/>
        <v>44274</v>
      </c>
      <c r="AF330" s="6">
        <v>1.4405774238887263</v>
      </c>
    </row>
    <row r="331" spans="30:32" x14ac:dyDescent="0.2">
      <c r="AD331" s="98">
        <f t="shared" ca="1" si="15"/>
        <v>6.2861054072553042</v>
      </c>
      <c r="AE331" s="99">
        <f t="shared" ca="1" si="14"/>
        <v>44281</v>
      </c>
      <c r="AF331" s="6">
        <v>1.4425031012740783</v>
      </c>
    </row>
    <row r="332" spans="30:32" x14ac:dyDescent="0.2">
      <c r="AD332" s="98">
        <f t="shared" ca="1" si="15"/>
        <v>6.3052703627652296</v>
      </c>
      <c r="AE332" s="99">
        <f t="shared" ca="1" si="14"/>
        <v>44288</v>
      </c>
      <c r="AF332" s="6">
        <v>1.4444241342439741</v>
      </c>
    </row>
    <row r="333" spans="30:32" x14ac:dyDescent="0.2">
      <c r="AD333" s="98">
        <f t="shared" ca="1" si="15"/>
        <v>6.324435318275154</v>
      </c>
      <c r="AE333" s="99">
        <f t="shared" ca="1" si="14"/>
        <v>44295</v>
      </c>
      <c r="AF333" s="6">
        <v>1.4463415618439521</v>
      </c>
    </row>
    <row r="334" spans="30:32" x14ac:dyDescent="0.2">
      <c r="AD334" s="98">
        <f t="shared" ca="1" si="15"/>
        <v>6.3436002737850785</v>
      </c>
      <c r="AE334" s="99">
        <f t="shared" ca="1" si="14"/>
        <v>44302</v>
      </c>
      <c r="AF334" s="6">
        <v>1.448256412619247</v>
      </c>
    </row>
    <row r="335" spans="30:32" x14ac:dyDescent="0.2">
      <c r="AD335" s="98">
        <f t="shared" ca="1" si="15"/>
        <v>6.362765229295003</v>
      </c>
      <c r="AE335" s="99">
        <f t="shared" ca="1" si="14"/>
        <v>44309</v>
      </c>
      <c r="AF335" s="6">
        <v>1.4501697024044145</v>
      </c>
    </row>
    <row r="336" spans="30:32" x14ac:dyDescent="0.2">
      <c r="AD336" s="98">
        <f t="shared" ca="1" si="15"/>
        <v>6.3819301848049284</v>
      </c>
      <c r="AE336" s="99">
        <f t="shared" ca="1" si="14"/>
        <v>44316</v>
      </c>
      <c r="AF336" s="6">
        <v>1.4520824322099077</v>
      </c>
    </row>
    <row r="337" spans="30:32" x14ac:dyDescent="0.2">
      <c r="AD337" s="98">
        <f t="shared" ca="1" si="15"/>
        <v>6.4010951403148528</v>
      </c>
      <c r="AE337" s="99">
        <f t="shared" ca="1" si="14"/>
        <v>44323</v>
      </c>
      <c r="AF337" s="6">
        <v>1.4539955862131644</v>
      </c>
    </row>
    <row r="338" spans="30:32" x14ac:dyDescent="0.2">
      <c r="AD338" s="98">
        <f t="shared" ca="1" si="15"/>
        <v>6.4202600958247773</v>
      </c>
      <c r="AE338" s="99">
        <f t="shared" ca="1" si="14"/>
        <v>44330</v>
      </c>
      <c r="AF338" s="6">
        <v>1.455910129860841</v>
      </c>
    </row>
    <row r="339" spans="30:32" x14ac:dyDescent="0.2">
      <c r="AD339" s="98">
        <f t="shared" ca="1" si="15"/>
        <v>6.4394250513347027</v>
      </c>
      <c r="AE339" s="99">
        <f t="shared" ca="1" si="14"/>
        <v>44337</v>
      </c>
      <c r="AF339" s="6">
        <v>1.4578270080878919</v>
      </c>
    </row>
    <row r="340" spans="30:32" x14ac:dyDescent="0.2">
      <c r="AD340" s="98">
        <f t="shared" ca="1" si="15"/>
        <v>6.4585900068446271</v>
      </c>
      <c r="AE340" s="99">
        <f t="shared" ca="1" si="14"/>
        <v>44344</v>
      </c>
      <c r="AF340" s="6">
        <v>1.4597471436582221</v>
      </c>
    </row>
    <row r="341" spans="30:32" x14ac:dyDescent="0.2">
      <c r="AD341" s="98">
        <f t="shared" ca="1" si="15"/>
        <v>6.4777549623545516</v>
      </c>
      <c r="AE341" s="99">
        <f t="shared" ca="1" si="14"/>
        <v>44351</v>
      </c>
      <c r="AF341" s="6">
        <v>1.4616714356306957</v>
      </c>
    </row>
    <row r="342" spans="30:32" x14ac:dyDescent="0.2">
      <c r="AD342" s="98">
        <f t="shared" ca="1" si="15"/>
        <v>6.4969199178644761</v>
      </c>
      <c r="AE342" s="99">
        <f t="shared" ca="1" si="14"/>
        <v>44358</v>
      </c>
      <c r="AF342" s="6">
        <v>1.4636007579533319</v>
      </c>
    </row>
    <row r="343" spans="30:32" x14ac:dyDescent="0.2">
      <c r="AD343" s="98">
        <f t="shared" ca="1" si="15"/>
        <v>6.5160848733744015</v>
      </c>
      <c r="AE343" s="99">
        <f t="shared" ca="1" si="14"/>
        <v>44365</v>
      </c>
      <c r="AF343" s="6">
        <v>1.4655359581876104</v>
      </c>
    </row>
    <row r="344" spans="30:32" x14ac:dyDescent="0.2">
      <c r="AD344" s="98">
        <f t="shared" ca="1" si="15"/>
        <v>6.5352498288843259</v>
      </c>
      <c r="AE344" s="99">
        <f t="shared" ca="1" si="14"/>
        <v>44372</v>
      </c>
      <c r="AF344" s="6">
        <v>1.4674778563638864</v>
      </c>
    </row>
    <row r="345" spans="30:32" x14ac:dyDescent="0.2">
      <c r="AD345" s="98">
        <f t="shared" ca="1" si="15"/>
        <v>6.5544147843942504</v>
      </c>
      <c r="AE345" s="99">
        <f t="shared" ca="1" si="14"/>
        <v>44379</v>
      </c>
      <c r="AF345" s="6">
        <v>1.4694272439680791</v>
      </c>
    </row>
    <row r="346" spans="30:32" x14ac:dyDescent="0.2">
      <c r="AD346" s="98">
        <f t="shared" ca="1" si="15"/>
        <v>6.5735797399041749</v>
      </c>
      <c r="AE346" s="99">
        <f t="shared" ca="1" si="14"/>
        <v>44386</v>
      </c>
      <c r="AF346" s="6">
        <v>1.4713848830589753</v>
      </c>
    </row>
    <row r="347" spans="30:32" x14ac:dyDescent="0.2">
      <c r="AD347" s="98">
        <f t="shared" ca="1" si="15"/>
        <v>6.5927446954141002</v>
      </c>
      <c r="AE347" s="99">
        <f t="shared" ca="1" si="14"/>
        <v>44393</v>
      </c>
      <c r="AF347" s="6">
        <v>1.4733515055146984</v>
      </c>
    </row>
    <row r="348" spans="30:32" x14ac:dyDescent="0.2">
      <c r="AD348" s="98">
        <f t="shared" ca="1" si="15"/>
        <v>6.6119096509240247</v>
      </c>
      <c r="AE348" s="99">
        <f t="shared" ca="1" si="14"/>
        <v>44400</v>
      </c>
      <c r="AF348" s="6">
        <v>1.4753278124062101</v>
      </c>
    </row>
    <row r="349" spans="30:32" x14ac:dyDescent="0.2">
      <c r="AD349" s="98">
        <f t="shared" ca="1" si="15"/>
        <v>6.6310746064339492</v>
      </c>
      <c r="AE349" s="99">
        <f t="shared" ca="1" si="14"/>
        <v>44407</v>
      </c>
      <c r="AF349" s="6">
        <v>1.4773144734950177</v>
      </c>
    </row>
    <row r="350" spans="30:32" x14ac:dyDescent="0.2">
      <c r="AD350" s="98">
        <f t="shared" ca="1" si="15"/>
        <v>6.6502395619438737</v>
      </c>
      <c r="AE350" s="99">
        <f t="shared" ca="1" si="14"/>
        <v>44414</v>
      </c>
      <c r="AF350" s="6">
        <v>1.4793121268516842</v>
      </c>
    </row>
    <row r="351" spans="30:32" x14ac:dyDescent="0.2">
      <c r="AD351" s="98">
        <f t="shared" ca="1" si="15"/>
        <v>6.669404517453799</v>
      </c>
      <c r="AE351" s="99">
        <f t="shared" ca="1" si="14"/>
        <v>44421</v>
      </c>
      <c r="AF351" s="6">
        <v>1.4813213785911741</v>
      </c>
    </row>
    <row r="352" spans="30:32" x14ac:dyDescent="0.2">
      <c r="AD352" s="98">
        <f t="shared" ca="1" si="15"/>
        <v>6.6885694729637235</v>
      </c>
      <c r="AE352" s="99">
        <f t="shared" ca="1" si="14"/>
        <v>44428</v>
      </c>
      <c r="AF352" s="6">
        <v>1.4833428027206155</v>
      </c>
    </row>
    <row r="353" spans="30:32" x14ac:dyDescent="0.2">
      <c r="AD353" s="98">
        <f t="shared" ca="1" si="15"/>
        <v>6.707734428473648</v>
      </c>
      <c r="AE353" s="99">
        <f t="shared" ca="1" si="14"/>
        <v>44435</v>
      </c>
      <c r="AF353" s="6">
        <v>1.4853769410946174</v>
      </c>
    </row>
    <row r="354" spans="30:32" x14ac:dyDescent="0.2">
      <c r="AD354" s="98">
        <f t="shared" ca="1" si="15"/>
        <v>6.7268993839835725</v>
      </c>
      <c r="AE354" s="99">
        <f t="shared" ca="1" si="14"/>
        <v>44442</v>
      </c>
      <c r="AF354" s="6">
        <v>1.4874243034729493</v>
      </c>
    </row>
    <row r="355" spans="30:32" x14ac:dyDescent="0.2">
      <c r="AD355" s="98">
        <f t="shared" ca="1" si="15"/>
        <v>6.7460643394934978</v>
      </c>
      <c r="AE355" s="99">
        <f t="shared" ca="1" si="14"/>
        <v>44449</v>
      </c>
      <c r="AF355" s="6">
        <v>1.489485367675087</v>
      </c>
    </row>
    <row r="356" spans="30:32" x14ac:dyDescent="0.2">
      <c r="AD356" s="98">
        <f t="shared" ca="1" si="15"/>
        <v>6.7652292950034223</v>
      </c>
      <c r="AE356" s="99">
        <f t="shared" ca="1" si="14"/>
        <v>44456</v>
      </c>
      <c r="AF356" s="6">
        <v>1.4915605798258973</v>
      </c>
    </row>
    <row r="357" spans="30:32" x14ac:dyDescent="0.2">
      <c r="AD357" s="98">
        <f t="shared" ca="1" si="15"/>
        <v>6.7843942505133468</v>
      </c>
      <c r="AE357" s="99">
        <f t="shared" ca="1" si="14"/>
        <v>44463</v>
      </c>
      <c r="AF357" s="6">
        <v>1.4936503546865623</v>
      </c>
    </row>
    <row r="358" spans="30:32" x14ac:dyDescent="0.2">
      <c r="AD358" s="98">
        <f t="shared" ca="1" si="15"/>
        <v>6.8035592060232721</v>
      </c>
      <c r="AE358" s="99">
        <f t="shared" ca="1" si="14"/>
        <v>44470</v>
      </c>
      <c r="AF358" s="6">
        <v>1.4957550760647282</v>
      </c>
    </row>
    <row r="359" spans="30:32" x14ac:dyDescent="0.2">
      <c r="AD359" s="98">
        <f t="shared" ca="1" si="15"/>
        <v>6.8227241615331966</v>
      </c>
      <c r="AE359" s="99">
        <f t="shared" ca="1" si="14"/>
        <v>44477</v>
      </c>
      <c r="AF359" s="6">
        <v>1.4978750972977792</v>
      </c>
    </row>
    <row r="360" spans="30:32" x14ac:dyDescent="0.2">
      <c r="AD360" s="98">
        <f t="shared" ca="1" si="15"/>
        <v>6.8418891170431211</v>
      </c>
      <c r="AE360" s="99">
        <f t="shared" ca="1" si="14"/>
        <v>44484</v>
      </c>
      <c r="AF360" s="6">
        <v>1.5000107418031352</v>
      </c>
    </row>
    <row r="361" spans="30:32" x14ac:dyDescent="0.2">
      <c r="AD361" s="98">
        <f t="shared" ca="1" si="15"/>
        <v>6.8610540725530456</v>
      </c>
      <c r="AE361" s="99">
        <f t="shared" ca="1" si="14"/>
        <v>44491</v>
      </c>
      <c r="AF361" s="6">
        <v>1.5021623036894867</v>
      </c>
    </row>
    <row r="362" spans="30:32" x14ac:dyDescent="0.2">
      <c r="AD362" s="98">
        <f t="shared" ca="1" si="15"/>
        <v>6.8802190280629709</v>
      </c>
      <c r="AE362" s="99">
        <f t="shared" ca="1" si="14"/>
        <v>44498</v>
      </c>
      <c r="AF362" s="6">
        <v>1.5043300484229438</v>
      </c>
    </row>
    <row r="363" spans="30:32" x14ac:dyDescent="0.2">
      <c r="AD363" s="98">
        <f t="shared" ca="1" si="15"/>
        <v>6.8993839835728954</v>
      </c>
      <c r="AE363" s="99">
        <f t="shared" ca="1" si="14"/>
        <v>44505</v>
      </c>
      <c r="AF363" s="6">
        <v>1.506514213542187</v>
      </c>
    </row>
    <row r="364" spans="30:32" x14ac:dyDescent="0.2">
      <c r="AD364" s="98">
        <f t="shared" ca="1" si="15"/>
        <v>6.9185489390828199</v>
      </c>
      <c r="AE364" s="99">
        <f t="shared" ca="1" si="14"/>
        <v>44512</v>
      </c>
      <c r="AF364" s="6">
        <v>1.5087150094168307</v>
      </c>
    </row>
    <row r="365" spans="30:32" x14ac:dyDescent="0.2">
      <c r="AD365" s="98">
        <f t="shared" ca="1" si="15"/>
        <v>6.9377138945927443</v>
      </c>
      <c r="AE365" s="99">
        <f t="shared" ca="1" si="14"/>
        <v>44519</v>
      </c>
      <c r="AF365" s="6">
        <v>1.510932620043387</v>
      </c>
    </row>
    <row r="366" spans="30:32" x14ac:dyDescent="0.2">
      <c r="AD366" s="98">
        <f t="shared" ca="1" si="15"/>
        <v>6.9568788501026697</v>
      </c>
      <c r="AE366" s="99">
        <f t="shared" ca="1" si="14"/>
        <v>44526</v>
      </c>
      <c r="AF366" s="6">
        <v>1.513167203873399</v>
      </c>
    </row>
    <row r="367" spans="30:32" x14ac:dyDescent="0.2">
      <c r="AD367" s="98">
        <f t="shared" ca="1" si="15"/>
        <v>6.9760438056125942</v>
      </c>
      <c r="AE367" s="99">
        <f t="shared" ca="1" si="14"/>
        <v>44533</v>
      </c>
      <c r="AF367" s="6">
        <v>1.5154188946685256</v>
      </c>
    </row>
    <row r="368" spans="30:32" x14ac:dyDescent="0.2">
      <c r="AD368" s="98">
        <f t="shared" ca="1" si="15"/>
        <v>6.9952087611225187</v>
      </c>
      <c r="AE368" s="99">
        <f t="shared" ca="1" si="14"/>
        <v>44540</v>
      </c>
      <c r="AF368" s="6">
        <v>1.5176878023775957</v>
      </c>
    </row>
    <row r="369" spans="30:32" x14ac:dyDescent="0.2">
      <c r="AD369" s="98">
        <f t="shared" ca="1" si="15"/>
        <v>7.0143737166324431</v>
      </c>
      <c r="AE369" s="99">
        <f t="shared" ca="1" si="14"/>
        <v>44547</v>
      </c>
      <c r="AF369" s="6">
        <v>1.5199698955069283</v>
      </c>
    </row>
    <row r="370" spans="30:32" x14ac:dyDescent="0.2">
      <c r="AD370" s="98">
        <f t="shared" ca="1" si="15"/>
        <v>7.0335386721423685</v>
      </c>
      <c r="AE370" s="99">
        <f t="shared" ca="1" si="14"/>
        <v>44554</v>
      </c>
      <c r="AF370" s="6">
        <v>1.5222551258776031</v>
      </c>
    </row>
    <row r="371" spans="30:32" x14ac:dyDescent="0.2">
      <c r="AD371" s="98">
        <f t="shared" ca="1" si="15"/>
        <v>7.052703627652293</v>
      </c>
      <c r="AE371" s="99">
        <f t="shared" ca="1" si="14"/>
        <v>44561</v>
      </c>
      <c r="AF371" s="6">
        <v>1.5245430029624694</v>
      </c>
    </row>
    <row r="372" spans="30:32" x14ac:dyDescent="0.2">
      <c r="AD372" s="98">
        <f t="shared" ca="1" si="15"/>
        <v>7.0718685831622174</v>
      </c>
      <c r="AE372" s="99">
        <f t="shared" ca="1" si="14"/>
        <v>44568</v>
      </c>
      <c r="AF372" s="6">
        <v>1.5268334906199053</v>
      </c>
    </row>
    <row r="373" spans="30:32" x14ac:dyDescent="0.2">
      <c r="AD373" s="98">
        <f t="shared" ca="1" si="15"/>
        <v>7.0910335386721428</v>
      </c>
      <c r="AE373" s="99">
        <f t="shared" ca="1" si="14"/>
        <v>44575</v>
      </c>
      <c r="AF373" s="6">
        <v>1.5291265504729601</v>
      </c>
    </row>
    <row r="374" spans="30:32" x14ac:dyDescent="0.2">
      <c r="AD374" s="98">
        <f t="shared" ca="1" si="15"/>
        <v>7.1101984941820673</v>
      </c>
      <c r="AE374" s="99">
        <f t="shared" ca="1" si="14"/>
        <v>44582</v>
      </c>
      <c r="AF374" s="6">
        <v>1.5314221418708831</v>
      </c>
    </row>
    <row r="375" spans="30:32" x14ac:dyDescent="0.2">
      <c r="AD375" s="98">
        <f t="shared" ca="1" si="15"/>
        <v>7.1293634496919918</v>
      </c>
      <c r="AE375" s="99">
        <f t="shared" ca="1" si="14"/>
        <v>44589</v>
      </c>
      <c r="AF375" s="6">
        <v>1.533720221852088</v>
      </c>
    </row>
    <row r="376" spans="30:32" x14ac:dyDescent="0.2">
      <c r="AD376" s="98">
        <f t="shared" ca="1" si="15"/>
        <v>7.1485284052019162</v>
      </c>
      <c r="AE376" s="99">
        <f t="shared" ca="1" si="14"/>
        <v>44596</v>
      </c>
      <c r="AF376" s="6">
        <v>1.5360207451086918</v>
      </c>
    </row>
    <row r="377" spans="30:32" x14ac:dyDescent="0.2">
      <c r="AD377" s="98">
        <f t="shared" ca="1" si="15"/>
        <v>7.1676933607118416</v>
      </c>
      <c r="AE377" s="99">
        <f t="shared" ca="1" si="14"/>
        <v>44603</v>
      </c>
      <c r="AF377" s="6">
        <v>1.5383236639527538</v>
      </c>
    </row>
    <row r="378" spans="30:32" x14ac:dyDescent="0.2">
      <c r="AD378" s="98">
        <f t="shared" ca="1" si="15"/>
        <v>7.1868583162217661</v>
      </c>
      <c r="AE378" s="99">
        <f t="shared" ca="1" si="14"/>
        <v>44610</v>
      </c>
      <c r="AF378" s="6">
        <v>1.5406289282843504</v>
      </c>
    </row>
    <row r="379" spans="30:32" x14ac:dyDescent="0.2">
      <c r="AD379" s="98">
        <f t="shared" ca="1" si="15"/>
        <v>7.2060232717316905</v>
      </c>
      <c r="AE379" s="99">
        <f t="shared" ca="1" si="14"/>
        <v>44617</v>
      </c>
      <c r="AF379" s="6">
        <v>1.542936485561635</v>
      </c>
    </row>
    <row r="380" spans="30:32" x14ac:dyDescent="0.2">
      <c r="AD380" s="98">
        <f t="shared" ca="1" si="15"/>
        <v>7.225188227241615</v>
      </c>
      <c r="AE380" s="99">
        <f t="shared" ca="1" si="14"/>
        <v>44624</v>
      </c>
      <c r="AF380" s="6">
        <v>1.5452462807730067</v>
      </c>
    </row>
    <row r="381" spans="30:32" x14ac:dyDescent="0.2">
      <c r="AD381" s="98">
        <f t="shared" ca="1" si="15"/>
        <v>7.2443531827515404</v>
      </c>
      <c r="AE381" s="99">
        <f t="shared" ca="1" si="14"/>
        <v>44631</v>
      </c>
      <c r="AF381" s="6">
        <v>1.5475582564115451</v>
      </c>
    </row>
    <row r="382" spans="30:32" x14ac:dyDescent="0.2">
      <c r="AD382" s="98">
        <f t="shared" ca="1" si="15"/>
        <v>7.2635181382614649</v>
      </c>
      <c r="AE382" s="99">
        <f t="shared" ca="1" si="14"/>
        <v>44638</v>
      </c>
      <c r="AF382" s="6">
        <v>1.5498723524518412</v>
      </c>
    </row>
    <row r="383" spans="30:32" x14ac:dyDescent="0.2">
      <c r="AD383" s="98">
        <f t="shared" ca="1" si="15"/>
        <v>7.2826830937713893</v>
      </c>
      <c r="AE383" s="99">
        <f t="shared" ca="1" si="14"/>
        <v>44645</v>
      </c>
      <c r="AF383" s="6">
        <v>1.5521885063293799</v>
      </c>
    </row>
    <row r="384" spans="30:32" x14ac:dyDescent="0.2">
      <c r="AD384" s="98">
        <f t="shared" ca="1" si="15"/>
        <v>7.3018480492813138</v>
      </c>
      <c r="AE384" s="99">
        <f t="shared" ca="1" si="14"/>
        <v>44652</v>
      </c>
      <c r="AF384" s="6">
        <v>1.5545066529226068</v>
      </c>
    </row>
    <row r="385" spans="30:32" x14ac:dyDescent="0.2">
      <c r="AD385" s="98">
        <f t="shared" ca="1" si="15"/>
        <v>7.3210130047912392</v>
      </c>
      <c r="AE385" s="99">
        <f t="shared" ca="1" si="14"/>
        <v>44659</v>
      </c>
      <c r="AF385" s="6">
        <v>1.5568267245378373</v>
      </c>
    </row>
    <row r="386" spans="30:32" x14ac:dyDescent="0.2">
      <c r="AD386" s="98">
        <f t="shared" ca="1" si="15"/>
        <v>7.3401779603011637</v>
      </c>
      <c r="AE386" s="99">
        <f t="shared" ca="1" si="14"/>
        <v>44666</v>
      </c>
      <c r="AF386" s="6">
        <v>1.5591486508971366</v>
      </c>
    </row>
    <row r="387" spans="30:32" x14ac:dyDescent="0.2">
      <c r="AD387" s="98">
        <f t="shared" ca="1" si="15"/>
        <v>7.3593429158110881</v>
      </c>
      <c r="AE387" s="99">
        <f t="shared" ca="1" si="14"/>
        <v>44673</v>
      </c>
      <c r="AF387" s="6">
        <v>1.5614723591293316</v>
      </c>
    </row>
    <row r="388" spans="30:32" x14ac:dyDescent="0.2">
      <c r="AD388" s="98">
        <f t="shared" ca="1" si="15"/>
        <v>7.3785078713210126</v>
      </c>
      <c r="AE388" s="99">
        <f t="shared" ref="AE388:AE451" ca="1" si="16">AE387+7</f>
        <v>44680</v>
      </c>
      <c r="AF388" s="6">
        <v>1.5637977737642774</v>
      </c>
    </row>
    <row r="389" spans="30:32" x14ac:dyDescent="0.2">
      <c r="AD389" s="98">
        <f t="shared" ref="AD389:AD452" ca="1" si="17">(AE389-$B$3)/365.25</f>
        <v>7.397672826830938</v>
      </c>
      <c r="AE389" s="99">
        <f t="shared" ca="1" si="16"/>
        <v>44687</v>
      </c>
      <c r="AF389" s="6">
        <v>1.5661248167305308</v>
      </c>
    </row>
    <row r="390" spans="30:32" x14ac:dyDescent="0.2">
      <c r="AD390" s="98">
        <f t="shared" ca="1" si="17"/>
        <v>7.4168377823408624</v>
      </c>
      <c r="AE390" s="99">
        <f t="shared" ca="1" si="16"/>
        <v>44694</v>
      </c>
      <c r="AF390" s="6">
        <v>1.5684534073565677</v>
      </c>
    </row>
    <row r="391" spans="30:32" x14ac:dyDescent="0.2">
      <c r="AD391" s="98">
        <f t="shared" ca="1" si="17"/>
        <v>7.4360027378507869</v>
      </c>
      <c r="AE391" s="99">
        <f t="shared" ca="1" si="16"/>
        <v>44701</v>
      </c>
      <c r="AF391" s="6">
        <v>1.5707834623756687</v>
      </c>
    </row>
    <row r="392" spans="30:32" x14ac:dyDescent="0.2">
      <c r="AD392" s="98">
        <f t="shared" ca="1" si="17"/>
        <v>7.4551676933607123</v>
      </c>
      <c r="AE392" s="99">
        <f t="shared" ca="1" si="16"/>
        <v>44708</v>
      </c>
      <c r="AF392" s="6">
        <v>1.5731148959346177</v>
      </c>
    </row>
    <row r="393" spans="30:32" x14ac:dyDescent="0.2">
      <c r="AD393" s="98">
        <f t="shared" ca="1" si="17"/>
        <v>7.4743326488706368</v>
      </c>
      <c r="AE393" s="99">
        <f t="shared" ca="1" si="16"/>
        <v>44715</v>
      </c>
      <c r="AF393" s="6">
        <v>1.5754476196063218</v>
      </c>
    </row>
    <row r="394" spans="30:32" x14ac:dyDescent="0.2">
      <c r="AD394" s="98">
        <f t="shared" ca="1" si="17"/>
        <v>7.4934976043805612</v>
      </c>
      <c r="AE394" s="99">
        <f t="shared" ca="1" si="16"/>
        <v>44722</v>
      </c>
      <c r="AF394" s="6">
        <v>1.5777815424064883</v>
      </c>
    </row>
    <row r="395" spans="30:32" x14ac:dyDescent="0.2">
      <c r="AD395" s="98">
        <f t="shared" ca="1" si="17"/>
        <v>7.5126625598904857</v>
      </c>
      <c r="AE395" s="99">
        <f t="shared" ca="1" si="16"/>
        <v>44729</v>
      </c>
      <c r="AF395" s="6">
        <v>1.5801165708144673</v>
      </c>
    </row>
    <row r="396" spans="30:32" x14ac:dyDescent="0.2">
      <c r="AD396" s="98">
        <f t="shared" ca="1" si="17"/>
        <v>7.5318275154004111</v>
      </c>
      <c r="AE396" s="99">
        <f t="shared" ca="1" si="16"/>
        <v>44736</v>
      </c>
      <c r="AF396" s="6">
        <v>1.5824526087983675</v>
      </c>
    </row>
    <row r="397" spans="30:32" x14ac:dyDescent="0.2">
      <c r="AD397" s="98">
        <f t="shared" ca="1" si="17"/>
        <v>7.5509924709103355</v>
      </c>
      <c r="AE397" s="99">
        <f t="shared" ca="1" si="16"/>
        <v>44743</v>
      </c>
      <c r="AF397" s="6">
        <v>1.5847895578445523</v>
      </c>
    </row>
    <row r="398" spans="30:32" x14ac:dyDescent="0.2">
      <c r="AD398" s="98">
        <f t="shared" ca="1" si="17"/>
        <v>7.57015742642026</v>
      </c>
      <c r="AE398" s="99">
        <f t="shared" ca="1" si="16"/>
        <v>44750</v>
      </c>
      <c r="AF398" s="6">
        <v>1.5871273169916016</v>
      </c>
    </row>
    <row r="399" spans="30:32" x14ac:dyDescent="0.2">
      <c r="AD399" s="98">
        <f t="shared" ca="1" si="17"/>
        <v>7.5893223819301845</v>
      </c>
      <c r="AE399" s="99">
        <f t="shared" ca="1" si="16"/>
        <v>44757</v>
      </c>
      <c r="AF399" s="6">
        <v>1.5894657828688341</v>
      </c>
    </row>
    <row r="400" spans="30:32" x14ac:dyDescent="0.2">
      <c r="AD400" s="98">
        <f t="shared" ca="1" si="17"/>
        <v>7.6084873374401099</v>
      </c>
      <c r="AE400" s="99">
        <f t="shared" ca="1" si="16"/>
        <v>44764</v>
      </c>
      <c r="AF400" s="6">
        <v>1.5918048497394628</v>
      </c>
    </row>
    <row r="401" spans="30:32" x14ac:dyDescent="0.2">
      <c r="AD401" s="98">
        <f t="shared" ca="1" si="17"/>
        <v>7.6276522929500343</v>
      </c>
      <c r="AE401" s="99">
        <f t="shared" ca="1" si="16"/>
        <v>44771</v>
      </c>
      <c r="AF401" s="6">
        <v>1.5941444095484461</v>
      </c>
    </row>
    <row r="402" spans="30:32" x14ac:dyDescent="0.2">
      <c r="AD402" s="98">
        <f t="shared" ca="1" si="17"/>
        <v>7.6468172484599588</v>
      </c>
      <c r="AE402" s="99">
        <f t="shared" ca="1" si="16"/>
        <v>44778</v>
      </c>
      <c r="AF402" s="6">
        <v>1.5964843519750975</v>
      </c>
    </row>
    <row r="403" spans="30:32" x14ac:dyDescent="0.2">
      <c r="AD403" s="98">
        <f t="shared" ca="1" si="17"/>
        <v>7.6659822039698833</v>
      </c>
      <c r="AE403" s="99">
        <f t="shared" ca="1" si="16"/>
        <v>44785</v>
      </c>
      <c r="AF403" s="6">
        <v>1.5988245644905015</v>
      </c>
    </row>
    <row r="404" spans="30:32" x14ac:dyDescent="0.2">
      <c r="AD404" s="98">
        <f t="shared" ca="1" si="17"/>
        <v>7.6851471594798086</v>
      </c>
      <c r="AE404" s="99">
        <f t="shared" ca="1" si="16"/>
        <v>44792</v>
      </c>
      <c r="AF404" s="6">
        <v>1.6011649324197543</v>
      </c>
    </row>
    <row r="405" spans="30:32" x14ac:dyDescent="0.2">
      <c r="AD405" s="98">
        <f t="shared" ca="1" si="17"/>
        <v>7.7043121149897331</v>
      </c>
      <c r="AE405" s="99">
        <f t="shared" ca="1" si="16"/>
        <v>44799</v>
      </c>
      <c r="AF405" s="6">
        <v>1.6035053390090739</v>
      </c>
    </row>
    <row r="406" spans="30:32" x14ac:dyDescent="0.2">
      <c r="AD406" s="98">
        <f t="shared" ca="1" si="17"/>
        <v>7.7234770704996576</v>
      </c>
      <c r="AE406" s="99">
        <f t="shared" ca="1" si="16"/>
        <v>44806</v>
      </c>
      <c r="AF406" s="6">
        <v>1.605845665497766</v>
      </c>
    </row>
    <row r="407" spans="30:32" x14ac:dyDescent="0.2">
      <c r="AD407" s="98">
        <f t="shared" ca="1" si="17"/>
        <v>7.7426420260095821</v>
      </c>
      <c r="AE407" s="99">
        <f t="shared" ca="1" si="16"/>
        <v>44813</v>
      </c>
      <c r="AF407" s="6">
        <v>1.6081857911950586</v>
      </c>
    </row>
    <row r="408" spans="30:32" x14ac:dyDescent="0.2">
      <c r="AD408" s="98">
        <f t="shared" ca="1" si="17"/>
        <v>7.7618069815195074</v>
      </c>
      <c r="AE408" s="99">
        <f t="shared" ca="1" si="16"/>
        <v>44820</v>
      </c>
      <c r="AF408" s="6">
        <v>1.6105255935617715</v>
      </c>
    </row>
    <row r="409" spans="30:32" x14ac:dyDescent="0.2">
      <c r="AD409" s="98">
        <f t="shared" ca="1" si="17"/>
        <v>7.7809719370294319</v>
      </c>
      <c r="AE409" s="99">
        <f t="shared" ca="1" si="16"/>
        <v>44827</v>
      </c>
      <c r="AF409" s="6">
        <v>1.6128649482968038</v>
      </c>
    </row>
    <row r="410" spans="30:32" x14ac:dyDescent="0.2">
      <c r="AD410" s="98">
        <f t="shared" ca="1" si="17"/>
        <v>7.8001368925393564</v>
      </c>
      <c r="AE410" s="99">
        <f t="shared" ca="1" si="16"/>
        <v>44834</v>
      </c>
      <c r="AF410" s="6">
        <v>1.6152037294283779</v>
      </c>
    </row>
    <row r="411" spans="30:32" x14ac:dyDescent="0.2">
      <c r="AD411" s="98">
        <f t="shared" ca="1" si="17"/>
        <v>7.8193018480492817</v>
      </c>
      <c r="AE411" s="99">
        <f t="shared" ca="1" si="16"/>
        <v>44841</v>
      </c>
      <c r="AF411" s="6">
        <v>1.6175418094099843</v>
      </c>
    </row>
    <row r="412" spans="30:32" x14ac:dyDescent="0.2">
      <c r="AD412" s="98">
        <f t="shared" ca="1" si="17"/>
        <v>7.8384668035592062</v>
      </c>
      <c r="AE412" s="99">
        <f t="shared" ca="1" si="16"/>
        <v>44848</v>
      </c>
      <c r="AF412" s="6">
        <v>1.6198790592209491</v>
      </c>
    </row>
    <row r="413" spans="30:32" x14ac:dyDescent="0.2">
      <c r="AD413" s="98">
        <f t="shared" ca="1" si="17"/>
        <v>7.8576317590691307</v>
      </c>
      <c r="AE413" s="99">
        <f t="shared" ca="1" si="16"/>
        <v>44855</v>
      </c>
      <c r="AF413" s="6">
        <v>1.6222153484715289</v>
      </c>
    </row>
    <row r="414" spans="30:32" x14ac:dyDescent="0.2">
      <c r="AD414" s="98">
        <f t="shared" ca="1" si="17"/>
        <v>7.8767967145790552</v>
      </c>
      <c r="AE414" s="99">
        <f t="shared" ca="1" si="16"/>
        <v>44862</v>
      </c>
      <c r="AF414" s="6">
        <v>1.6245505455124247</v>
      </c>
    </row>
    <row r="415" spans="30:32" x14ac:dyDescent="0.2">
      <c r="AD415" s="98">
        <f t="shared" ca="1" si="17"/>
        <v>7.8959616700889805</v>
      </c>
      <c r="AE415" s="99">
        <f t="shared" ca="1" si="16"/>
        <v>44869</v>
      </c>
      <c r="AF415" s="6">
        <v>1.6268845175485831</v>
      </c>
    </row>
    <row r="416" spans="30:32" x14ac:dyDescent="0.2">
      <c r="AD416" s="98">
        <f t="shared" ca="1" si="17"/>
        <v>7.915126625598905</v>
      </c>
      <c r="AE416" s="99">
        <f t="shared" ca="1" si="16"/>
        <v>44876</v>
      </c>
      <c r="AF416" s="6">
        <v>1.6292171307571557</v>
      </c>
    </row>
    <row r="417" spans="30:32" x14ac:dyDescent="0.2">
      <c r="AD417" s="98">
        <f t="shared" ca="1" si="17"/>
        <v>7.9342915811088295</v>
      </c>
      <c r="AE417" s="99">
        <f t="shared" ca="1" si="16"/>
        <v>44883</v>
      </c>
      <c r="AF417" s="6">
        <v>1.6315482504094467</v>
      </c>
    </row>
    <row r="418" spans="30:32" x14ac:dyDescent="0.2">
      <c r="AD418" s="98">
        <f t="shared" ca="1" si="17"/>
        <v>7.953456536618754</v>
      </c>
      <c r="AE418" s="99">
        <f t="shared" ca="1" si="16"/>
        <v>44890</v>
      </c>
      <c r="AF418" s="6">
        <v>1.6338777409966807</v>
      </c>
    </row>
    <row r="419" spans="30:32" x14ac:dyDescent="0.2">
      <c r="AD419" s="98">
        <f t="shared" ca="1" si="17"/>
        <v>7.9726214921286793</v>
      </c>
      <c r="AE419" s="99">
        <f t="shared" ca="1" si="16"/>
        <v>44897</v>
      </c>
      <c r="AF419" s="6">
        <v>1.6362054663594017</v>
      </c>
    </row>
    <row r="420" spans="30:32" x14ac:dyDescent="0.2">
      <c r="AD420" s="98">
        <f t="shared" ca="1" si="17"/>
        <v>7.9917864476386038</v>
      </c>
      <c r="AE420" s="99">
        <f t="shared" ca="1" si="16"/>
        <v>44904</v>
      </c>
      <c r="AF420" s="6">
        <v>1.6385312898202968</v>
      </c>
    </row>
    <row r="421" spans="30:32" x14ac:dyDescent="0.2">
      <c r="AD421" s="98">
        <f t="shared" ca="1" si="17"/>
        <v>8.0109514031485283</v>
      </c>
      <c r="AE421" s="99">
        <f t="shared" ca="1" si="16"/>
        <v>44911</v>
      </c>
      <c r="AF421" s="6">
        <v>1.640855074320225</v>
      </c>
    </row>
    <row r="422" spans="30:32" x14ac:dyDescent="0.2">
      <c r="AD422" s="98">
        <f t="shared" ca="1" si="17"/>
        <v>8.0301163586584536</v>
      </c>
      <c r="AE422" s="99">
        <f t="shared" ca="1" si="16"/>
        <v>44918</v>
      </c>
      <c r="AF422" s="6">
        <v>1.6431766825572152</v>
      </c>
    </row>
    <row r="423" spans="30:32" x14ac:dyDescent="0.2">
      <c r="AD423" s="98">
        <f t="shared" ca="1" si="17"/>
        <v>8.0492813141683772</v>
      </c>
      <c r="AE423" s="99">
        <f t="shared" ca="1" si="16"/>
        <v>44925</v>
      </c>
      <c r="AF423" s="6">
        <v>1.6454959771281874</v>
      </c>
    </row>
    <row r="424" spans="30:32" x14ac:dyDescent="0.2">
      <c r="AD424" s="98">
        <f t="shared" ca="1" si="17"/>
        <v>8.0684462696783026</v>
      </c>
      <c r="AE424" s="99">
        <f t="shared" ca="1" si="16"/>
        <v>44932</v>
      </c>
      <c r="AF424" s="6">
        <v>1.6478128206731311</v>
      </c>
    </row>
    <row r="425" spans="30:32" x14ac:dyDescent="0.2">
      <c r="AD425" s="98">
        <f t="shared" ca="1" si="17"/>
        <v>8.0876112251882279</v>
      </c>
      <c r="AE425" s="99">
        <f t="shared" ca="1" si="16"/>
        <v>44939</v>
      </c>
      <c r="AF425" s="6">
        <v>1.6501270760214684</v>
      </c>
    </row>
    <row r="426" spans="30:32" x14ac:dyDescent="0.2">
      <c r="AD426" s="98">
        <f t="shared" ca="1" si="17"/>
        <v>8.1067761806981515</v>
      </c>
      <c r="AE426" s="99">
        <f t="shared" ca="1" si="16"/>
        <v>44946</v>
      </c>
      <c r="AF426" s="6">
        <v>1.6524386063403098</v>
      </c>
    </row>
    <row r="427" spans="30:32" x14ac:dyDescent="0.2">
      <c r="AD427" s="98">
        <f t="shared" ca="1" si="17"/>
        <v>8.1259411362080769</v>
      </c>
      <c r="AE427" s="99">
        <f t="shared" ca="1" si="16"/>
        <v>44953</v>
      </c>
      <c r="AF427" s="6">
        <v>1.6547472752843071</v>
      </c>
    </row>
    <row r="428" spans="30:32" x14ac:dyDescent="0.2">
      <c r="AD428" s="98">
        <f t="shared" ca="1" si="17"/>
        <v>8.1451060917180005</v>
      </c>
      <c r="AE428" s="99">
        <f t="shared" ca="1" si="16"/>
        <v>44960</v>
      </c>
      <c r="AF428" s="6">
        <v>1.6570529471467912</v>
      </c>
    </row>
    <row r="429" spans="30:32" x14ac:dyDescent="0.2">
      <c r="AD429" s="98">
        <f t="shared" ca="1" si="17"/>
        <v>8.1642710472279258</v>
      </c>
      <c r="AE429" s="99">
        <f t="shared" ca="1" si="16"/>
        <v>44967</v>
      </c>
      <c r="AF429" s="6">
        <v>1.6593554870118759</v>
      </c>
    </row>
    <row r="430" spans="30:32" x14ac:dyDescent="0.2">
      <c r="AD430" s="98">
        <f t="shared" ca="1" si="17"/>
        <v>8.1834360027378512</v>
      </c>
      <c r="AE430" s="99">
        <f t="shared" ca="1" si="16"/>
        <v>44974</v>
      </c>
      <c r="AF430" s="6">
        <v>1.6616547609072014</v>
      </c>
    </row>
    <row r="431" spans="30:32" x14ac:dyDescent="0.2">
      <c r="AD431" s="98">
        <f t="shared" ca="1" si="17"/>
        <v>8.2026009582477748</v>
      </c>
      <c r="AE431" s="99">
        <f t="shared" ca="1" si="16"/>
        <v>44981</v>
      </c>
      <c r="AF431" s="6">
        <v>1.663950635956978</v>
      </c>
    </row>
    <row r="432" spans="30:32" x14ac:dyDescent="0.2">
      <c r="AD432" s="98">
        <f t="shared" ca="1" si="17"/>
        <v>8.2217659137577002</v>
      </c>
      <c r="AE432" s="99">
        <f t="shared" ca="1" si="16"/>
        <v>44988</v>
      </c>
      <c r="AF432" s="6">
        <v>1.6662429805349943</v>
      </c>
    </row>
    <row r="433" spans="30:32" x14ac:dyDescent="0.2">
      <c r="AD433" s="98">
        <f t="shared" ca="1" si="17"/>
        <v>8.2409308692676255</v>
      </c>
      <c r="AE433" s="99">
        <f t="shared" ca="1" si="16"/>
        <v>44995</v>
      </c>
      <c r="AF433" s="6">
        <v>1.6685316644172337</v>
      </c>
    </row>
    <row r="434" spans="30:32" x14ac:dyDescent="0.2">
      <c r="AD434" s="98">
        <f t="shared" ca="1" si="17"/>
        <v>8.2600958247775491</v>
      </c>
      <c r="AE434" s="99">
        <f t="shared" ca="1" si="16"/>
        <v>45002</v>
      </c>
      <c r="AF434" s="6">
        <v>1.6708165589337636</v>
      </c>
    </row>
    <row r="435" spans="30:32" x14ac:dyDescent="0.2">
      <c r="AD435" s="98">
        <f t="shared" ca="1" si="17"/>
        <v>8.2792607802874745</v>
      </c>
      <c r="AE435" s="99">
        <f t="shared" ca="1" si="16"/>
        <v>45009</v>
      </c>
      <c r="AF435" s="6">
        <v>1.6730975371195251</v>
      </c>
    </row>
    <row r="436" spans="30:32" x14ac:dyDescent="0.2">
      <c r="AD436" s="98">
        <f t="shared" ca="1" si="17"/>
        <v>8.2984257357973998</v>
      </c>
      <c r="AE436" s="99">
        <f t="shared" ca="1" si="16"/>
        <v>45016</v>
      </c>
      <c r="AF436" s="6">
        <v>1.6753744738636882</v>
      </c>
    </row>
    <row r="437" spans="30:32" x14ac:dyDescent="0.2">
      <c r="AD437" s="98">
        <f t="shared" ca="1" si="17"/>
        <v>8.3175906913073234</v>
      </c>
      <c r="AE437" s="99">
        <f t="shared" ca="1" si="16"/>
        <v>45023</v>
      </c>
      <c r="AF437" s="6">
        <v>1.6776472460572045</v>
      </c>
    </row>
    <row r="438" spans="30:32" x14ac:dyDescent="0.2">
      <c r="AD438" s="98">
        <f t="shared" ca="1" si="17"/>
        <v>8.3367556468172488</v>
      </c>
      <c r="AE438" s="99">
        <f t="shared" ca="1" si="16"/>
        <v>45030</v>
      </c>
      <c r="AF438" s="6">
        <v>1.6799157327382122</v>
      </c>
    </row>
    <row r="439" spans="30:32" x14ac:dyDescent="0.2">
      <c r="AD439" s="98">
        <f t="shared" ca="1" si="17"/>
        <v>8.3559206023271724</v>
      </c>
      <c r="AE439" s="99">
        <f t="shared" ca="1" si="16"/>
        <v>45037</v>
      </c>
      <c r="AF439" s="6">
        <v>1.6821798152349401</v>
      </c>
    </row>
    <row r="440" spans="30:32" x14ac:dyDescent="0.2">
      <c r="AD440" s="98">
        <f t="shared" ca="1" si="17"/>
        <v>8.3750855578370977</v>
      </c>
      <c r="AE440" s="99">
        <f t="shared" ca="1" si="16"/>
        <v>45044</v>
      </c>
      <c r="AF440" s="6">
        <v>1.6844393773057746</v>
      </c>
    </row>
    <row r="441" spans="30:32" x14ac:dyDescent="0.2">
      <c r="AD441" s="98">
        <f t="shared" ca="1" si="17"/>
        <v>8.3942505133470231</v>
      </c>
      <c r="AE441" s="99">
        <f t="shared" ca="1" si="16"/>
        <v>45051</v>
      </c>
      <c r="AF441" s="6">
        <v>1.6866943052761321</v>
      </c>
    </row>
    <row r="442" spans="30:32" x14ac:dyDescent="0.2">
      <c r="AD442" s="98">
        <f t="shared" ca="1" si="17"/>
        <v>8.4134154688569467</v>
      </c>
      <c r="AE442" s="99">
        <f t="shared" ca="1" si="16"/>
        <v>45058</v>
      </c>
      <c r="AF442" s="6">
        <v>1.688944488171831</v>
      </c>
    </row>
    <row r="443" spans="30:32" x14ac:dyDescent="0.2">
      <c r="AD443" s="98">
        <f t="shared" ca="1" si="17"/>
        <v>8.4325804243668721</v>
      </c>
      <c r="AE443" s="99">
        <f t="shared" ca="1" si="16"/>
        <v>45065</v>
      </c>
      <c r="AF443" s="6">
        <v>1.6911898178486136</v>
      </c>
    </row>
    <row r="444" spans="30:32" x14ac:dyDescent="0.2">
      <c r="AD444" s="98">
        <f t="shared" ca="1" si="17"/>
        <v>8.4517453798767974</v>
      </c>
      <c r="AE444" s="99">
        <f t="shared" ca="1" si="16"/>
        <v>45072</v>
      </c>
      <c r="AF444" s="6">
        <v>1.6934301891175219</v>
      </c>
    </row>
    <row r="445" spans="30:32" x14ac:dyDescent="0.2">
      <c r="AD445" s="98">
        <f t="shared" ca="1" si="17"/>
        <v>8.470910335386721</v>
      </c>
      <c r="AE445" s="99">
        <f t="shared" ca="1" si="16"/>
        <v>45079</v>
      </c>
      <c r="AF445" s="6">
        <v>1.69566549986582</v>
      </c>
    </row>
    <row r="446" spans="30:32" x14ac:dyDescent="0.2">
      <c r="AD446" s="98">
        <f t="shared" ca="1" si="17"/>
        <v>8.4900752908966464</v>
      </c>
      <c r="AE446" s="99">
        <f t="shared" ca="1" si="16"/>
        <v>45086</v>
      </c>
      <c r="AF446" s="6">
        <v>1.6978956511731729</v>
      </c>
    </row>
    <row r="447" spans="30:32" x14ac:dyDescent="0.2">
      <c r="AD447" s="98">
        <f t="shared" ca="1" si="17"/>
        <v>8.5092402464065717</v>
      </c>
      <c r="AE447" s="99">
        <f t="shared" ca="1" si="16"/>
        <v>45093</v>
      </c>
      <c r="AF447" s="6">
        <v>1.7001205474228014</v>
      </c>
    </row>
    <row r="448" spans="30:32" x14ac:dyDescent="0.2">
      <c r="AD448" s="98">
        <f t="shared" ca="1" si="17"/>
        <v>8.5284052019164953</v>
      </c>
      <c r="AE448" s="99">
        <f t="shared" ca="1" si="16"/>
        <v>45100</v>
      </c>
      <c r="AF448" s="6">
        <v>1.7023400964073558</v>
      </c>
    </row>
    <row r="449" spans="30:32" x14ac:dyDescent="0.2">
      <c r="AD449" s="98">
        <f t="shared" ca="1" si="17"/>
        <v>8.5475701574264207</v>
      </c>
      <c r="AE449" s="99">
        <f t="shared" ca="1" si="16"/>
        <v>45107</v>
      </c>
      <c r="AF449" s="6">
        <v>1.7045542094292687</v>
      </c>
    </row>
    <row r="450" spans="30:32" x14ac:dyDescent="0.2">
      <c r="AD450" s="98">
        <f t="shared" ca="1" si="17"/>
        <v>8.5667351129363443</v>
      </c>
      <c r="AE450" s="99">
        <f t="shared" ca="1" si="16"/>
        <v>45114</v>
      </c>
      <c r="AF450" s="6">
        <v>1.7067628013953378</v>
      </c>
    </row>
    <row r="451" spans="30:32" x14ac:dyDescent="0.2">
      <c r="AD451" s="98">
        <f t="shared" ca="1" si="17"/>
        <v>8.5859000684462696</v>
      </c>
      <c r="AE451" s="99">
        <f t="shared" ca="1" si="16"/>
        <v>45121</v>
      </c>
      <c r="AF451" s="6">
        <v>1.7089657909053531</v>
      </c>
    </row>
    <row r="452" spans="30:32" x14ac:dyDescent="0.2">
      <c r="AD452" s="98">
        <f t="shared" ca="1" si="17"/>
        <v>8.605065023956195</v>
      </c>
      <c r="AE452" s="99">
        <f t="shared" ref="AE452:AE515" ca="1" si="18">AE451+7</f>
        <v>45128</v>
      </c>
      <c r="AF452" s="6">
        <v>1.7111631003345538</v>
      </c>
    </row>
    <row r="453" spans="30:32" x14ac:dyDescent="0.2">
      <c r="AD453" s="98">
        <f t="shared" ref="AD453:AD516" ca="1" si="19">(AE453-$B$3)/365.25</f>
        <v>8.6242299794661186</v>
      </c>
      <c r="AE453" s="99">
        <f t="shared" ca="1" si="18"/>
        <v>45135</v>
      </c>
      <c r="AF453" s="6">
        <v>1.7133546559097481</v>
      </c>
    </row>
    <row r="454" spans="30:32" x14ac:dyDescent="0.2">
      <c r="AD454" s="98">
        <f t="shared" ca="1" si="19"/>
        <v>8.6433949349760439</v>
      </c>
      <c r="AE454" s="99">
        <f t="shared" ca="1" si="18"/>
        <v>45142</v>
      </c>
      <c r="AF454" s="6">
        <v>1.7155403877789501</v>
      </c>
    </row>
    <row r="455" spans="30:32" x14ac:dyDescent="0.2">
      <c r="AD455" s="98">
        <f t="shared" ca="1" si="19"/>
        <v>8.6625598904859693</v>
      </c>
      <c r="AE455" s="99">
        <f t="shared" ca="1" si="18"/>
        <v>45149</v>
      </c>
      <c r="AF455" s="6">
        <v>1.7177202300743863</v>
      </c>
    </row>
    <row r="456" spans="30:32" x14ac:dyDescent="0.2">
      <c r="AD456" s="98">
        <f t="shared" ca="1" si="19"/>
        <v>8.6817248459958929</v>
      </c>
      <c r="AE456" s="99">
        <f t="shared" ca="1" si="18"/>
        <v>45156</v>
      </c>
      <c r="AF456" s="6">
        <v>1.7198941209687639</v>
      </c>
    </row>
    <row r="457" spans="30:32" x14ac:dyDescent="0.2">
      <c r="AD457" s="98">
        <f t="shared" ca="1" si="19"/>
        <v>8.7008898015058183</v>
      </c>
      <c r="AE457" s="99">
        <f t="shared" ca="1" si="18"/>
        <v>45163</v>
      </c>
      <c r="AF457" s="6">
        <v>1.7220620027247142</v>
      </c>
    </row>
    <row r="458" spans="30:32" x14ac:dyDescent="0.2">
      <c r="AD458" s="98">
        <f t="shared" ca="1" si="19"/>
        <v>8.7200547570157418</v>
      </c>
      <c r="AE458" s="99">
        <f t="shared" ca="1" si="18"/>
        <v>45170</v>
      </c>
      <c r="AF458" s="6">
        <v>1.7242238217373311</v>
      </c>
    </row>
    <row r="459" spans="30:32" x14ac:dyDescent="0.2">
      <c r="AD459" s="98">
        <f t="shared" ca="1" si="19"/>
        <v>8.7392197125256672</v>
      </c>
      <c r="AE459" s="99">
        <f t="shared" ca="1" si="18"/>
        <v>45177</v>
      </c>
      <c r="AF459" s="6">
        <v>1.7263795285697596</v>
      </c>
    </row>
    <row r="460" spans="30:32" x14ac:dyDescent="0.2">
      <c r="AD460" s="98">
        <f t="shared" ca="1" si="19"/>
        <v>8.7583846680355926</v>
      </c>
      <c r="AE460" s="99">
        <f t="shared" ca="1" si="18"/>
        <v>45184</v>
      </c>
      <c r="AF460" s="6">
        <v>1.7285290779818083</v>
      </c>
    </row>
    <row r="461" spans="30:32" x14ac:dyDescent="0.2">
      <c r="AD461" s="98">
        <f t="shared" ca="1" si="19"/>
        <v>8.7775496235455162</v>
      </c>
      <c r="AE461" s="99">
        <f t="shared" ca="1" si="18"/>
        <v>45191</v>
      </c>
      <c r="AF461" s="6">
        <v>1.7306724289515738</v>
      </c>
    </row>
    <row r="462" spans="30:32" x14ac:dyDescent="0.2">
      <c r="AD462" s="98">
        <f t="shared" ca="1" si="19"/>
        <v>8.7967145790554415</v>
      </c>
      <c r="AE462" s="99">
        <f t="shared" ca="1" si="18"/>
        <v>45198</v>
      </c>
      <c r="AF462" s="6">
        <v>1.7328095446900924</v>
      </c>
    </row>
    <row r="463" spans="30:32" x14ac:dyDescent="0.2">
      <c r="AD463" s="98">
        <f t="shared" ca="1" si="19"/>
        <v>8.8158795345653669</v>
      </c>
      <c r="AE463" s="99">
        <f t="shared" ca="1" si="18"/>
        <v>45205</v>
      </c>
      <c r="AF463" s="6">
        <v>1.7349403926490616</v>
      </c>
    </row>
    <row r="464" spans="30:32" x14ac:dyDescent="0.2">
      <c r="AD464" s="98">
        <f t="shared" ca="1" si="19"/>
        <v>8.8350444900752905</v>
      </c>
      <c r="AE464" s="99">
        <f t="shared" ca="1" si="18"/>
        <v>45212</v>
      </c>
      <c r="AF464" s="6">
        <v>1.7370649445216728</v>
      </c>
    </row>
    <row r="465" spans="30:32" x14ac:dyDescent="0.2">
      <c r="AD465" s="98">
        <f t="shared" ca="1" si="19"/>
        <v>8.8542094455852158</v>
      </c>
      <c r="AE465" s="99">
        <f t="shared" ca="1" si="18"/>
        <v>45219</v>
      </c>
      <c r="AF465" s="6">
        <v>1.7391831762366439</v>
      </c>
    </row>
    <row r="466" spans="30:32" x14ac:dyDescent="0.2">
      <c r="AD466" s="98">
        <f t="shared" ca="1" si="19"/>
        <v>8.8733744010951412</v>
      </c>
      <c r="AE466" s="99">
        <f t="shared" ca="1" si="18"/>
        <v>45226</v>
      </c>
      <c r="AF466" s="6">
        <v>1.7412950679455366</v>
      </c>
    </row>
    <row r="467" spans="30:32" x14ac:dyDescent="0.2">
      <c r="AD467" s="98">
        <f t="shared" ca="1" si="19"/>
        <v>8.8925393566050648</v>
      </c>
      <c r="AE467" s="99">
        <f t="shared" ca="1" si="18"/>
        <v>45233</v>
      </c>
      <c r="AF467" s="6">
        <v>1.7434006040034791</v>
      </c>
    </row>
    <row r="468" spans="30:32" x14ac:dyDescent="0.2">
      <c r="AD468" s="98">
        <f t="shared" ca="1" si="19"/>
        <v>8.9117043121149901</v>
      </c>
      <c r="AE468" s="99">
        <f t="shared" ca="1" si="18"/>
        <v>45240</v>
      </c>
      <c r="AF468" s="6">
        <v>1.7454997729434178</v>
      </c>
    </row>
    <row r="469" spans="30:32" x14ac:dyDescent="0.2">
      <c r="AD469" s="98">
        <f t="shared" ca="1" si="19"/>
        <v>8.9308692676249137</v>
      </c>
      <c r="AE469" s="99">
        <f t="shared" ca="1" si="18"/>
        <v>45247</v>
      </c>
      <c r="AF469" s="6">
        <v>1.7475925674440584</v>
      </c>
    </row>
    <row r="470" spans="30:32" x14ac:dyDescent="0.2">
      <c r="AD470" s="98">
        <f t="shared" ca="1" si="19"/>
        <v>8.9500342231348391</v>
      </c>
      <c r="AE470" s="99">
        <f t="shared" ca="1" si="18"/>
        <v>45254</v>
      </c>
      <c r="AF470" s="6">
        <v>1.7496789842916385</v>
      </c>
    </row>
    <row r="471" spans="30:32" x14ac:dyDescent="0.2">
      <c r="AD471" s="98">
        <f t="shared" ca="1" si="19"/>
        <v>8.9691991786447645</v>
      </c>
      <c r="AE471" s="99">
        <f t="shared" ca="1" si="18"/>
        <v>45261</v>
      </c>
      <c r="AF471" s="6">
        <v>1.7517590243357415</v>
      </c>
    </row>
    <row r="472" spans="30:32" x14ac:dyDescent="0.2">
      <c r="AD472" s="98">
        <f t="shared" ca="1" si="19"/>
        <v>8.988364134154688</v>
      </c>
      <c r="AE472" s="99">
        <f t="shared" ca="1" si="18"/>
        <v>45268</v>
      </c>
      <c r="AF472" s="6">
        <v>1.7538326924393193</v>
      </c>
    </row>
    <row r="473" spans="30:32" x14ac:dyDescent="0.2">
      <c r="AD473" s="98">
        <f t="shared" ca="1" si="19"/>
        <v>9.0075290896646134</v>
      </c>
      <c r="AE473" s="99">
        <f t="shared" ca="1" si="18"/>
        <v>45275</v>
      </c>
      <c r="AF473" s="6">
        <v>1.7558999974231499</v>
      </c>
    </row>
    <row r="474" spans="30:32" x14ac:dyDescent="0.2">
      <c r="AD474" s="98">
        <f t="shared" ca="1" si="19"/>
        <v>9.0266940451745388</v>
      </c>
      <c r="AE474" s="99">
        <f t="shared" ca="1" si="18"/>
        <v>45282</v>
      </c>
      <c r="AF474" s="6">
        <v>1.7579609520049368</v>
      </c>
    </row>
    <row r="475" spans="30:32" x14ac:dyDescent="0.2">
      <c r="AD475" s="98">
        <f t="shared" ca="1" si="19"/>
        <v>9.0458590006844624</v>
      </c>
      <c r="AE475" s="99">
        <f t="shared" ca="1" si="18"/>
        <v>45289</v>
      </c>
      <c r="AF475" s="6">
        <v>1.7600155727332885</v>
      </c>
    </row>
    <row r="476" spans="30:32" x14ac:dyDescent="0.2">
      <c r="AD476" s="98">
        <f t="shared" ca="1" si="19"/>
        <v>9.0650239561943877</v>
      </c>
      <c r="AE476" s="99">
        <f t="shared" ca="1" si="18"/>
        <v>45296</v>
      </c>
      <c r="AF476" s="6">
        <v>1.7620638799168142</v>
      </c>
    </row>
    <row r="477" spans="30:32" x14ac:dyDescent="0.2">
      <c r="AD477" s="98">
        <f t="shared" ca="1" si="19"/>
        <v>9.0841889117043113</v>
      </c>
      <c r="AE477" s="99">
        <f t="shared" ca="1" si="18"/>
        <v>45303</v>
      </c>
      <c r="AF477" s="6">
        <v>1.7641058975485964</v>
      </c>
    </row>
    <row r="478" spans="30:32" x14ac:dyDescent="0.2">
      <c r="AD478" s="98">
        <f t="shared" ca="1" si="19"/>
        <v>9.1033538672142367</v>
      </c>
      <c r="AE478" s="99">
        <f t="shared" ca="1" si="18"/>
        <v>45310</v>
      </c>
      <c r="AF478" s="6">
        <v>1.7661416532262788</v>
      </c>
    </row>
    <row r="479" spans="30:32" x14ac:dyDescent="0.2">
      <c r="AD479" s="98">
        <f t="shared" ca="1" si="19"/>
        <v>9.122518822724162</v>
      </c>
      <c r="AE479" s="99">
        <f t="shared" ca="1" si="18"/>
        <v>45317</v>
      </c>
      <c r="AF479" s="6">
        <v>1.7681711780680487</v>
      </c>
    </row>
    <row r="480" spans="30:32" x14ac:dyDescent="0.2">
      <c r="AD480" s="98">
        <f t="shared" ca="1" si="19"/>
        <v>9.1416837782340856</v>
      </c>
      <c r="AE480" s="99">
        <f t="shared" ca="1" si="18"/>
        <v>45324</v>
      </c>
      <c r="AF480" s="6">
        <v>1.7701945066247842</v>
      </c>
    </row>
    <row r="481" spans="30:32" x14ac:dyDescent="0.2">
      <c r="AD481" s="98">
        <f t="shared" ca="1" si="19"/>
        <v>9.160848733744011</v>
      </c>
      <c r="AE481" s="99">
        <f t="shared" ca="1" si="18"/>
        <v>45331</v>
      </c>
      <c r="AF481" s="6">
        <v>1.7722116767886231</v>
      </c>
    </row>
    <row r="482" spans="30:32" x14ac:dyDescent="0.2">
      <c r="AD482" s="98">
        <f t="shared" ca="1" si="19"/>
        <v>9.1800136892539363</v>
      </c>
      <c r="AE482" s="99">
        <f t="shared" ca="1" si="18"/>
        <v>45338</v>
      </c>
      <c r="AF482" s="6">
        <v>1.7742227296982551</v>
      </c>
    </row>
    <row r="483" spans="30:32" x14ac:dyDescent="0.2">
      <c r="AD483" s="98">
        <f t="shared" ca="1" si="19"/>
        <v>9.1991786447638599</v>
      </c>
      <c r="AE483" s="99">
        <f t="shared" ca="1" si="18"/>
        <v>45345</v>
      </c>
      <c r="AF483" s="6">
        <v>1.7762277096411918</v>
      </c>
    </row>
    <row r="484" spans="30:32" x14ac:dyDescent="0.2">
      <c r="AD484" s="98">
        <f t="shared" ca="1" si="19"/>
        <v>9.2183436002737853</v>
      </c>
      <c r="AE484" s="99">
        <f t="shared" ca="1" si="18"/>
        <v>45352</v>
      </c>
      <c r="AF484" s="6">
        <v>1.7782266639533111</v>
      </c>
    </row>
    <row r="485" spans="30:32" x14ac:dyDescent="0.2">
      <c r="AD485" s="98">
        <f t="shared" ca="1" si="19"/>
        <v>9.2375085557837107</v>
      </c>
      <c r="AE485" s="99">
        <f t="shared" ca="1" si="18"/>
        <v>45359</v>
      </c>
      <c r="AF485" s="6">
        <v>1.7802196429159534</v>
      </c>
    </row>
    <row r="486" spans="30:32" x14ac:dyDescent="0.2">
      <c r="AD486" s="98">
        <f t="shared" ca="1" si="19"/>
        <v>9.2566735112936342</v>
      </c>
      <c r="AE486" s="99">
        <f t="shared" ca="1" si="18"/>
        <v>45366</v>
      </c>
      <c r="AF486" s="6">
        <v>1.7822066996508363</v>
      </c>
    </row>
    <row r="487" spans="30:32" x14ac:dyDescent="0.2">
      <c r="AD487" s="98">
        <f t="shared" ca="1" si="19"/>
        <v>9.2758384668035596</v>
      </c>
      <c r="AE487" s="99">
        <f t="shared" ca="1" si="18"/>
        <v>45373</v>
      </c>
      <c r="AF487" s="6">
        <v>1.7841878900130816</v>
      </c>
    </row>
    <row r="488" spans="30:32" x14ac:dyDescent="0.2">
      <c r="AD488" s="98">
        <f t="shared" ca="1" si="19"/>
        <v>9.2950034223134832</v>
      </c>
      <c r="AE488" s="99">
        <f t="shared" ca="1" si="18"/>
        <v>45380</v>
      </c>
      <c r="AF488" s="6">
        <v>1.786163272482616</v>
      </c>
    </row>
    <row r="489" spans="30:32" x14ac:dyDescent="0.2">
      <c r="AD489" s="98">
        <f t="shared" ca="1" si="19"/>
        <v>9.3141683778234086</v>
      </c>
      <c r="AE489" s="99">
        <f t="shared" ca="1" si="18"/>
        <v>45387</v>
      </c>
      <c r="AF489" s="6">
        <v>1.7881329080542225</v>
      </c>
    </row>
    <row r="490" spans="30:32" x14ac:dyDescent="0.2">
      <c r="AD490" s="98">
        <f t="shared" ca="1" si="19"/>
        <v>9.3333333333333339</v>
      </c>
      <c r="AE490" s="99">
        <f t="shared" ca="1" si="18"/>
        <v>45394</v>
      </c>
      <c r="AF490" s="6">
        <v>1.7900968601264995</v>
      </c>
    </row>
    <row r="491" spans="30:32" x14ac:dyDescent="0.2">
      <c r="AD491" s="98">
        <f t="shared" ca="1" si="19"/>
        <v>9.3524982888432575</v>
      </c>
      <c r="AE491" s="99">
        <f t="shared" ca="1" si="18"/>
        <v>45401</v>
      </c>
      <c r="AF491" s="6">
        <v>1.7920551943899998</v>
      </c>
    </row>
    <row r="492" spans="30:32" x14ac:dyDescent="0.2">
      <c r="AD492" s="98">
        <f t="shared" ca="1" si="19"/>
        <v>9.3716632443531829</v>
      </c>
      <c r="AE492" s="99">
        <f t="shared" ca="1" si="18"/>
        <v>45408</v>
      </c>
      <c r="AF492" s="6">
        <v>1.7940079787147896</v>
      </c>
    </row>
    <row r="493" spans="30:32" x14ac:dyDescent="0.2">
      <c r="AD493" s="98">
        <f t="shared" ca="1" si="19"/>
        <v>9.3908281998631082</v>
      </c>
      <c r="AE493" s="99">
        <f t="shared" ca="1" si="18"/>
        <v>45415</v>
      </c>
      <c r="AF493" s="6">
        <v>1.7959552830376853</v>
      </c>
    </row>
    <row r="494" spans="30:32" x14ac:dyDescent="0.2">
      <c r="AD494" s="98">
        <f t="shared" ca="1" si="19"/>
        <v>9.4099931553730318</v>
      </c>
      <c r="AE494" s="99">
        <f t="shared" ca="1" si="18"/>
        <v>45422</v>
      </c>
      <c r="AF494" s="6">
        <v>1.7978971792493963</v>
      </c>
    </row>
    <row r="495" spans="30:32" x14ac:dyDescent="0.2">
      <c r="AD495" s="98">
        <f t="shared" ca="1" si="19"/>
        <v>9.4291581108829572</v>
      </c>
      <c r="AE495" s="99">
        <f t="shared" ca="1" si="18"/>
        <v>45429</v>
      </c>
      <c r="AF495" s="6">
        <v>1.7998337410818179</v>
      </c>
    </row>
    <row r="496" spans="30:32" x14ac:dyDescent="0.2">
      <c r="AD496" s="98">
        <f t="shared" ca="1" si="19"/>
        <v>9.4483230663928808</v>
      </c>
      <c r="AE496" s="99">
        <f t="shared" ca="1" si="18"/>
        <v>45436</v>
      </c>
      <c r="AF496" s="6">
        <v>1.8017650439956892</v>
      </c>
    </row>
    <row r="497" spans="30:32" x14ac:dyDescent="0.2">
      <c r="AD497" s="98">
        <f t="shared" ca="1" si="19"/>
        <v>9.4674880219028061</v>
      </c>
      <c r="AE497" s="99">
        <f t="shared" ca="1" si="18"/>
        <v>45443</v>
      </c>
      <c r="AF497" s="6">
        <v>1.8036911650688272</v>
      </c>
    </row>
    <row r="498" spans="30:32" x14ac:dyDescent="0.2">
      <c r="AD498" s="98">
        <f t="shared" ca="1" si="19"/>
        <v>9.4866529774127315</v>
      </c>
      <c r="AE498" s="99">
        <f t="shared" ca="1" si="18"/>
        <v>45450</v>
      </c>
      <c r="AF498" s="6">
        <v>1.8056121828851512</v>
      </c>
    </row>
    <row r="499" spans="30:32" x14ac:dyDescent="0.2">
      <c r="AD499" s="98">
        <f t="shared" ca="1" si="19"/>
        <v>9.5058179329226551</v>
      </c>
      <c r="AE499" s="99">
        <f t="shared" ca="1" si="18"/>
        <v>45457</v>
      </c>
      <c r="AF499" s="6">
        <v>1.8075281774246852</v>
      </c>
    </row>
    <row r="500" spans="30:32" x14ac:dyDescent="0.2">
      <c r="AD500" s="98">
        <f t="shared" ca="1" si="19"/>
        <v>9.5249828884325805</v>
      </c>
      <c r="AE500" s="99">
        <f t="shared" ca="1" si="18"/>
        <v>45464</v>
      </c>
      <c r="AF500" s="6">
        <v>1.8094392299547264</v>
      </c>
    </row>
    <row r="501" spans="30:32" x14ac:dyDescent="0.2">
      <c r="AD501" s="98">
        <f t="shared" ca="1" si="19"/>
        <v>9.5441478439425058</v>
      </c>
      <c r="AE501" s="99">
        <f t="shared" ca="1" si="18"/>
        <v>45471</v>
      </c>
      <c r="AF501" s="6">
        <v>1.8113454229223502</v>
      </c>
    </row>
    <row r="502" spans="30:32" x14ac:dyDescent="0.2">
      <c r="AD502" s="98">
        <f t="shared" ca="1" si="19"/>
        <v>9.5633127994524294</v>
      </c>
      <c r="AE502" s="99">
        <f t="shared" ca="1" si="18"/>
        <v>45478</v>
      </c>
      <c r="AF502" s="6">
        <v>1.8132468398484298</v>
      </c>
    </row>
    <row r="503" spans="30:32" x14ac:dyDescent="0.2">
      <c r="AD503" s="98">
        <f t="shared" ca="1" si="19"/>
        <v>9.5824777549623548</v>
      </c>
      <c r="AE503" s="99">
        <f t="shared" ca="1" si="18"/>
        <v>45485</v>
      </c>
      <c r="AF503" s="6">
        <v>1.815143565223307</v>
      </c>
    </row>
    <row r="504" spans="30:32" x14ac:dyDescent="0.2">
      <c r="AD504" s="98">
        <f t="shared" ca="1" si="19"/>
        <v>9.6016427104722801</v>
      </c>
      <c r="AE504" s="99">
        <f t="shared" ca="1" si="18"/>
        <v>45492</v>
      </c>
      <c r="AF504" s="6">
        <v>1.8170356844042719</v>
      </c>
    </row>
    <row r="505" spans="30:32" x14ac:dyDescent="0.2">
      <c r="AD505" s="98">
        <f t="shared" ca="1" si="19"/>
        <v>9.6208076659822037</v>
      </c>
      <c r="AE505" s="99">
        <f t="shared" ca="1" si="18"/>
        <v>45499</v>
      </c>
      <c r="AF505" s="6">
        <v>1.8189232835149804</v>
      </c>
    </row>
    <row r="506" spans="30:32" x14ac:dyDescent="0.2">
      <c r="AD506" s="98">
        <f t="shared" ca="1" si="19"/>
        <v>9.6399726214921291</v>
      </c>
      <c r="AE506" s="99">
        <f t="shared" ca="1" si="18"/>
        <v>45506</v>
      </c>
      <c r="AF506" s="6">
        <v>1.8208064493469314</v>
      </c>
    </row>
    <row r="507" spans="30:32" x14ac:dyDescent="0.2">
      <c r="AD507" s="98">
        <f t="shared" ca="1" si="19"/>
        <v>9.6591375770020527</v>
      </c>
      <c r="AE507" s="99">
        <f t="shared" ca="1" si="18"/>
        <v>45513</v>
      </c>
      <c r="AF507" s="6">
        <v>1.8226852692631215</v>
      </c>
    </row>
    <row r="508" spans="30:32" x14ac:dyDescent="0.2">
      <c r="AD508" s="98">
        <f t="shared" ca="1" si="19"/>
        <v>9.678302532511978</v>
      </c>
      <c r="AE508" s="99">
        <f t="shared" ca="1" si="18"/>
        <v>45520</v>
      </c>
      <c r="AF508" s="6">
        <v>1.8245598311039757</v>
      </c>
    </row>
    <row r="509" spans="30:32" x14ac:dyDescent="0.2">
      <c r="AD509" s="98">
        <f t="shared" ca="1" si="19"/>
        <v>9.6974674880219034</v>
      </c>
      <c r="AE509" s="99">
        <f t="shared" ca="1" si="18"/>
        <v>45527</v>
      </c>
      <c r="AF509" s="6">
        <v>1.8264302230956497</v>
      </c>
    </row>
    <row r="510" spans="30:32" x14ac:dyDescent="0.2">
      <c r="AD510" s="98">
        <f t="shared" ca="1" si="19"/>
        <v>9.716632443531827</v>
      </c>
      <c r="AE510" s="99">
        <f t="shared" ca="1" si="18"/>
        <v>45534</v>
      </c>
      <c r="AF510" s="6">
        <v>1.8282965337607857</v>
      </c>
    </row>
    <row r="511" spans="30:32" x14ac:dyDescent="0.2">
      <c r="AD511" s="98">
        <f t="shared" ca="1" si="19"/>
        <v>9.7357973990417523</v>
      </c>
      <c r="AE511" s="99">
        <f t="shared" ca="1" si="18"/>
        <v>45541</v>
      </c>
      <c r="AF511" s="6">
        <v>1.8301588518317931</v>
      </c>
    </row>
    <row r="512" spans="30:32" x14ac:dyDescent="0.2">
      <c r="AD512" s="98">
        <f t="shared" ca="1" si="19"/>
        <v>9.7549623545516777</v>
      </c>
      <c r="AE512" s="99">
        <f t="shared" ca="1" si="18"/>
        <v>45548</v>
      </c>
      <c r="AF512" s="6">
        <v>1.8320172661667249</v>
      </c>
    </row>
    <row r="513" spans="30:32" x14ac:dyDescent="0.2">
      <c r="AD513" s="98">
        <f t="shared" ca="1" si="19"/>
        <v>9.7741273100616013</v>
      </c>
      <c r="AE513" s="99">
        <f t="shared" ca="1" si="18"/>
        <v>45555</v>
      </c>
      <c r="AF513" s="6">
        <v>1.8338718656677944</v>
      </c>
    </row>
    <row r="514" spans="30:32" x14ac:dyDescent="0.2">
      <c r="AD514" s="98">
        <f t="shared" ca="1" si="19"/>
        <v>9.7932922655715267</v>
      </c>
      <c r="AE514" s="99">
        <f t="shared" ca="1" si="18"/>
        <v>45562</v>
      </c>
      <c r="AF514" s="6">
        <v>1.8357227392025885</v>
      </c>
    </row>
    <row r="515" spans="30:32" x14ac:dyDescent="0.2">
      <c r="AD515" s="98">
        <f t="shared" ca="1" si="19"/>
        <v>9.8124572210814502</v>
      </c>
      <c r="AE515" s="99">
        <f t="shared" ca="1" si="18"/>
        <v>45569</v>
      </c>
      <c r="AF515" s="6">
        <v>1.8375699755280064</v>
      </c>
    </row>
    <row r="516" spans="30:32" x14ac:dyDescent="0.2">
      <c r="AD516" s="98">
        <f t="shared" ca="1" si="19"/>
        <v>9.8316221765913756</v>
      </c>
      <c r="AE516" s="99">
        <f t="shared" ref="AE516:AE579" ca="1" si="20">AE515+7</f>
        <v>45576</v>
      </c>
      <c r="AF516" s="6">
        <v>1.8394136632169589</v>
      </c>
    </row>
    <row r="517" spans="30:32" x14ac:dyDescent="0.2">
      <c r="AD517" s="98">
        <f t="shared" ref="AD517:AD580" ca="1" si="21">(AE517-$B$3)/365.25</f>
        <v>9.850787132101301</v>
      </c>
      <c r="AE517" s="99">
        <f t="shared" ca="1" si="20"/>
        <v>45583</v>
      </c>
      <c r="AF517" s="6">
        <v>1.8412538905878426</v>
      </c>
    </row>
    <row r="518" spans="30:32" x14ac:dyDescent="0.2">
      <c r="AD518" s="98">
        <f t="shared" ca="1" si="21"/>
        <v>9.8699520876112246</v>
      </c>
      <c r="AE518" s="99">
        <f t="shared" ca="1" si="20"/>
        <v>45590</v>
      </c>
      <c r="AF518" s="6">
        <v>1.8430907456368135</v>
      </c>
    </row>
    <row r="519" spans="30:32" x14ac:dyDescent="0.2">
      <c r="AD519" s="98">
        <f t="shared" ca="1" si="21"/>
        <v>9.8891170431211499</v>
      </c>
      <c r="AE519" s="99">
        <f t="shared" ca="1" si="20"/>
        <v>45597</v>
      </c>
      <c r="AF519" s="6">
        <v>1.8449243159728537</v>
      </c>
    </row>
    <row r="520" spans="30:32" x14ac:dyDescent="0.2">
      <c r="AD520" s="98">
        <f t="shared" ca="1" si="21"/>
        <v>9.9082819986310753</v>
      </c>
      <c r="AE520" s="99">
        <f t="shared" ca="1" si="20"/>
        <v>45604</v>
      </c>
      <c r="AF520" s="6">
        <v>1.8467546887556365</v>
      </c>
    </row>
    <row r="521" spans="30:32" x14ac:dyDescent="0.2">
      <c r="AD521" s="98">
        <f t="shared" ca="1" si="21"/>
        <v>9.9274469541409989</v>
      </c>
      <c r="AE521" s="99">
        <f t="shared" ca="1" si="20"/>
        <v>45611</v>
      </c>
      <c r="AF521" s="6">
        <v>1.8485819506361876</v>
      </c>
    </row>
    <row r="522" spans="30:32" x14ac:dyDescent="0.2">
      <c r="AD522" s="98">
        <f t="shared" ca="1" si="21"/>
        <v>9.9466119096509242</v>
      </c>
      <c r="AE522" s="99">
        <f t="shared" ca="1" si="20"/>
        <v>45618</v>
      </c>
      <c r="AF522" s="6">
        <v>1.8504061877003175</v>
      </c>
    </row>
    <row r="523" spans="30:32" x14ac:dyDescent="0.2">
      <c r="AD523" s="98">
        <f t="shared" ca="1" si="21"/>
        <v>9.9657768651608496</v>
      </c>
      <c r="AE523" s="99">
        <f t="shared" ca="1" si="20"/>
        <v>45625</v>
      </c>
      <c r="AF523" s="6">
        <v>1.8522274854148169</v>
      </c>
    </row>
    <row r="524" spans="30:32" x14ac:dyDescent="0.2">
      <c r="AD524" s="98">
        <f t="shared" ca="1" si="21"/>
        <v>9.9849418206707732</v>
      </c>
      <c r="AE524" s="99">
        <f t="shared" ca="1" si="20"/>
        <v>45632</v>
      </c>
      <c r="AF524" s="6">
        <v>1.8540459285763862</v>
      </c>
    </row>
    <row r="525" spans="30:32" x14ac:dyDescent="0.2">
      <c r="AD525" s="98">
        <f t="shared" ca="1" si="21"/>
        <v>10.004106776180699</v>
      </c>
      <c r="AE525" s="99">
        <f t="shared" ca="1" si="20"/>
        <v>45639</v>
      </c>
      <c r="AF525" s="6">
        <v>1.8558615001393275</v>
      </c>
    </row>
    <row r="526" spans="30:32" x14ac:dyDescent="0.2">
      <c r="AD526" s="98">
        <f t="shared" ca="1" si="21"/>
        <v>10.023271731690622</v>
      </c>
      <c r="AE526" s="99">
        <f t="shared" ca="1" si="20"/>
        <v>45646</v>
      </c>
      <c r="AF526" s="6">
        <v>1.8576712733586216</v>
      </c>
    </row>
    <row r="527" spans="30:32" x14ac:dyDescent="0.2">
      <c r="AD527" s="98">
        <f t="shared" ca="1" si="21"/>
        <v>10.042436687200547</v>
      </c>
      <c r="AE527" s="99">
        <f t="shared" ca="1" si="20"/>
        <v>45653</v>
      </c>
      <c r="AF527" s="6">
        <v>1.8594737301328905</v>
      </c>
    </row>
    <row r="528" spans="30:32" x14ac:dyDescent="0.2">
      <c r="AD528" s="98">
        <f t="shared" ca="1" si="21"/>
        <v>10.061601642710473</v>
      </c>
      <c r="AE528" s="99">
        <f t="shared" ca="1" si="20"/>
        <v>45660</v>
      </c>
      <c r="AF528" s="6">
        <v>1.8612686852283975</v>
      </c>
    </row>
    <row r="529" spans="30:32" x14ac:dyDescent="0.2">
      <c r="AD529" s="98">
        <f t="shared" ca="1" si="21"/>
        <v>10.080766598220396</v>
      </c>
      <c r="AE529" s="99">
        <f t="shared" ca="1" si="20"/>
        <v>45667</v>
      </c>
      <c r="AF529" s="6">
        <v>1.863055954937866</v>
      </c>
    </row>
    <row r="530" spans="30:32" x14ac:dyDescent="0.2">
      <c r="AD530" s="98">
        <f t="shared" ca="1" si="21"/>
        <v>10.099931553730322</v>
      </c>
      <c r="AE530" s="99">
        <f t="shared" ca="1" si="20"/>
        <v>45674</v>
      </c>
      <c r="AF530" s="6">
        <v>1.864835357507455</v>
      </c>
    </row>
    <row r="531" spans="30:32" x14ac:dyDescent="0.2">
      <c r="AD531" s="98">
        <f t="shared" ca="1" si="21"/>
        <v>10.119096509240247</v>
      </c>
      <c r="AE531" s="99">
        <f t="shared" ca="1" si="20"/>
        <v>45681</v>
      </c>
      <c r="AF531" s="6">
        <v>1.8666067135824354</v>
      </c>
    </row>
    <row r="532" spans="30:32" x14ac:dyDescent="0.2">
      <c r="AD532" s="98">
        <f t="shared" ca="1" si="21"/>
        <v>10.138261464750171</v>
      </c>
      <c r="AE532" s="99">
        <f t="shared" ca="1" si="20"/>
        <v>45688</v>
      </c>
      <c r="AF532" s="6">
        <v>1.8683698466709784</v>
      </c>
    </row>
    <row r="533" spans="30:32" x14ac:dyDescent="0.2">
      <c r="AD533" s="98">
        <f t="shared" ca="1" si="21"/>
        <v>10.157426420260096</v>
      </c>
      <c r="AE533" s="99">
        <f t="shared" ca="1" si="20"/>
        <v>45695</v>
      </c>
      <c r="AF533" s="6">
        <v>1.8701245836253177</v>
      </c>
    </row>
    <row r="534" spans="30:32" x14ac:dyDescent="0.2">
      <c r="AD534" s="98">
        <f t="shared" ca="1" si="21"/>
        <v>10.17659137577002</v>
      </c>
      <c r="AE534" s="99">
        <f t="shared" ca="1" si="20"/>
        <v>45702</v>
      </c>
      <c r="AF534" s="6">
        <v>1.8718707551393978</v>
      </c>
    </row>
    <row r="535" spans="30:32" x14ac:dyDescent="0.2">
      <c r="AD535" s="98">
        <f t="shared" ca="1" si="21"/>
        <v>10.195756331279945</v>
      </c>
      <c r="AE535" s="99">
        <f t="shared" ca="1" si="20"/>
        <v>45709</v>
      </c>
      <c r="AF535" s="6">
        <v>1.8736081962619573</v>
      </c>
    </row>
    <row r="536" spans="30:32" x14ac:dyDescent="0.2">
      <c r="AD536" s="98">
        <f t="shared" ca="1" si="21"/>
        <v>10.21492128678987</v>
      </c>
      <c r="AE536" s="99">
        <f t="shared" ca="1" si="20"/>
        <v>45716</v>
      </c>
      <c r="AF536" s="6">
        <v>1.8753367469238353</v>
      </c>
    </row>
    <row r="537" spans="30:32" x14ac:dyDescent="0.2">
      <c r="AD537" s="98">
        <f t="shared" ca="1" si="21"/>
        <v>10.234086242299794</v>
      </c>
      <c r="AE537" s="99">
        <f t="shared" ca="1" si="20"/>
        <v>45723</v>
      </c>
      <c r="AF537" s="6">
        <v>1.8770562524781211</v>
      </c>
    </row>
    <row r="538" spans="30:32" x14ac:dyDescent="0.2">
      <c r="AD538" s="98">
        <f t="shared" ca="1" si="21"/>
        <v>10.253251197809719</v>
      </c>
      <c r="AE538" s="99">
        <f t="shared" ca="1" si="20"/>
        <v>45730</v>
      </c>
      <c r="AF538" s="6">
        <v>1.8787665642515898</v>
      </c>
    </row>
    <row r="539" spans="30:32" x14ac:dyDescent="0.2">
      <c r="AD539" s="98">
        <f t="shared" ca="1" si="21"/>
        <v>10.272416153319645</v>
      </c>
      <c r="AE539" s="99">
        <f t="shared" ca="1" si="20"/>
        <v>45737</v>
      </c>
      <c r="AF539" s="6">
        <v>1.8804675401057043</v>
      </c>
    </row>
    <row r="540" spans="30:32" x14ac:dyDescent="0.2">
      <c r="AD540" s="98">
        <f t="shared" ca="1" si="21"/>
        <v>10.291581108829568</v>
      </c>
      <c r="AE540" s="99">
        <f t="shared" ca="1" si="20"/>
        <v>45744</v>
      </c>
      <c r="AF540" s="6">
        <v>1.8821590450052625</v>
      </c>
    </row>
    <row r="541" spans="30:32" x14ac:dyDescent="0.2">
      <c r="AD541" s="98">
        <f t="shared" ca="1" si="21"/>
        <v>10.310746064339494</v>
      </c>
      <c r="AE541" s="99">
        <f t="shared" ca="1" si="20"/>
        <v>45751</v>
      </c>
      <c r="AF541" s="6">
        <v>1.8838409515926344</v>
      </c>
    </row>
    <row r="542" spans="30:32" x14ac:dyDescent="0.2">
      <c r="AD542" s="98">
        <f t="shared" ca="1" si="21"/>
        <v>10.329911019849419</v>
      </c>
      <c r="AE542" s="99">
        <f t="shared" ca="1" si="20"/>
        <v>45758</v>
      </c>
      <c r="AF542" s="6">
        <v>1.8855131407653232</v>
      </c>
    </row>
    <row r="543" spans="30:32" x14ac:dyDescent="0.2">
      <c r="AD543" s="98">
        <f t="shared" ca="1" si="21"/>
        <v>10.349075975359343</v>
      </c>
      <c r="AE543" s="99">
        <f t="shared" ca="1" si="20"/>
        <v>45765</v>
      </c>
      <c r="AF543" s="6">
        <v>1.8871755022544447</v>
      </c>
    </row>
    <row r="544" spans="30:32" x14ac:dyDescent="0.2">
      <c r="AD544" s="98">
        <f t="shared" ca="1" si="21"/>
        <v>10.368240930869268</v>
      </c>
      <c r="AE544" s="99">
        <f t="shared" ca="1" si="20"/>
        <v>45772</v>
      </c>
      <c r="AF544" s="6">
        <v>1.8888279352015471</v>
      </c>
    </row>
    <row r="545" spans="30:32" x14ac:dyDescent="0.2">
      <c r="AD545" s="98">
        <f t="shared" ca="1" si="21"/>
        <v>10.387405886379192</v>
      </c>
      <c r="AE545" s="99">
        <f t="shared" ca="1" si="20"/>
        <v>45779</v>
      </c>
      <c r="AF545" s="6">
        <v>1.8904703487310499</v>
      </c>
    </row>
    <row r="546" spans="30:32" x14ac:dyDescent="0.2">
      <c r="AD546" s="98">
        <f t="shared" ca="1" si="21"/>
        <v>10.406570841889117</v>
      </c>
      <c r="AE546" s="99">
        <f t="shared" ca="1" si="20"/>
        <v>45786</v>
      </c>
      <c r="AF546" s="6">
        <v>1.8921026625154216</v>
      </c>
    </row>
    <row r="547" spans="30:32" x14ac:dyDescent="0.2">
      <c r="AD547" s="98">
        <f t="shared" ca="1" si="21"/>
        <v>10.425735797399042</v>
      </c>
      <c r="AE547" s="99">
        <f t="shared" ca="1" si="20"/>
        <v>45793</v>
      </c>
      <c r="AF547" s="6">
        <v>1.8937248073301245</v>
      </c>
    </row>
    <row r="548" spans="30:32" x14ac:dyDescent="0.2">
      <c r="AD548" s="98">
        <f t="shared" ca="1" si="21"/>
        <v>10.444900752908966</v>
      </c>
      <c r="AE548" s="99">
        <f t="shared" ca="1" si="20"/>
        <v>45800</v>
      </c>
      <c r="AF548" s="6">
        <v>1.8953367255952034</v>
      </c>
    </row>
    <row r="549" spans="30:32" x14ac:dyDescent="0.2">
      <c r="AD549" s="98">
        <f t="shared" ca="1" si="21"/>
        <v>10.464065708418891</v>
      </c>
      <c r="AE549" s="99">
        <f t="shared" ca="1" si="20"/>
        <v>45807</v>
      </c>
      <c r="AF549" s="6">
        <v>1.8969383719003292</v>
      </c>
    </row>
    <row r="550" spans="30:32" x14ac:dyDescent="0.2">
      <c r="AD550" s="98">
        <f t="shared" ca="1" si="21"/>
        <v>10.483230663928817</v>
      </c>
      <c r="AE550" s="99">
        <f t="shared" ca="1" si="20"/>
        <v>45814</v>
      </c>
      <c r="AF550" s="6">
        <v>1.8985297135100225</v>
      </c>
    </row>
    <row r="551" spans="30:32" x14ac:dyDescent="0.2">
      <c r="AD551" s="98">
        <f t="shared" ca="1" si="21"/>
        <v>10.50239561943874</v>
      </c>
      <c r="AE551" s="99">
        <f t="shared" ca="1" si="20"/>
        <v>45821</v>
      </c>
      <c r="AF551" s="6">
        <v>1.9001107308457315</v>
      </c>
    </row>
    <row r="552" spans="30:32" x14ac:dyDescent="0.2">
      <c r="AD552" s="98">
        <f t="shared" ca="1" si="21"/>
        <v>10.521560574948666</v>
      </c>
      <c r="AE552" s="99">
        <f t="shared" ca="1" si="20"/>
        <v>45828</v>
      </c>
      <c r="AF552" s="6">
        <v>1.9016814179414137</v>
      </c>
    </row>
    <row r="553" spans="30:32" x14ac:dyDescent="0.2">
      <c r="AD553" s="98">
        <f t="shared" ca="1" si="21"/>
        <v>10.540725530458589</v>
      </c>
      <c r="AE553" s="99">
        <f t="shared" ca="1" si="20"/>
        <v>45835</v>
      </c>
      <c r="AF553" s="6">
        <v>1.9032417828692649</v>
      </c>
    </row>
    <row r="554" spans="30:32" x14ac:dyDescent="0.2">
      <c r="AD554" s="98">
        <f t="shared" ca="1" si="21"/>
        <v>10.559890485968515</v>
      </c>
      <c r="AE554" s="99">
        <f t="shared" ca="1" si="20"/>
        <v>45842</v>
      </c>
      <c r="AF554" s="6">
        <v>1.9047918481322725</v>
      </c>
    </row>
    <row r="555" spans="30:32" x14ac:dyDescent="0.2">
      <c r="AD555" s="98">
        <f t="shared" ca="1" si="21"/>
        <v>10.57905544147844</v>
      </c>
      <c r="AE555" s="99">
        <f t="shared" ca="1" si="20"/>
        <v>45849</v>
      </c>
      <c r="AF555" s="6">
        <v>1.9063316510203088</v>
      </c>
    </row>
    <row r="556" spans="30:32" x14ac:dyDescent="0.2">
      <c r="AD556" s="98">
        <f t="shared" ca="1" si="21"/>
        <v>10.598220396988363</v>
      </c>
      <c r="AE556" s="99">
        <f t="shared" ca="1" si="20"/>
        <v>45856</v>
      </c>
      <c r="AF556" s="6">
        <v>1.9078612439265916</v>
      </c>
    </row>
    <row r="557" spans="30:32" x14ac:dyDescent="0.2">
      <c r="AD557" s="98">
        <f t="shared" ca="1" si="21"/>
        <v>10.617385352498289</v>
      </c>
      <c r="AE557" s="99">
        <f t="shared" ca="1" si="20"/>
        <v>45863</v>
      </c>
      <c r="AF557" s="6">
        <v>1.9093806946214276</v>
      </c>
    </row>
    <row r="558" spans="30:32" x14ac:dyDescent="0.2">
      <c r="AD558" s="98">
        <f t="shared" ca="1" si="21"/>
        <v>10.636550308008214</v>
      </c>
      <c r="AE558" s="99">
        <f t="shared" ca="1" si="20"/>
        <v>45870</v>
      </c>
      <c r="AF558" s="6">
        <v>1.9108900864803169</v>
      </c>
    </row>
    <row r="559" spans="30:32" x14ac:dyDescent="0.2">
      <c r="AD559" s="98">
        <f t="shared" ca="1" si="21"/>
        <v>10.655715263518138</v>
      </c>
      <c r="AE559" s="99">
        <f t="shared" ca="1" si="20"/>
        <v>45877</v>
      </c>
      <c r="AF559" s="6">
        <v>1.9123895186636828</v>
      </c>
    </row>
    <row r="560" spans="30:32" x14ac:dyDescent="0.2">
      <c r="AD560" s="98">
        <f t="shared" ca="1" si="21"/>
        <v>10.674880219028063</v>
      </c>
      <c r="AE560" s="99">
        <f t="shared" ca="1" si="20"/>
        <v>45884</v>
      </c>
      <c r="AF560" s="6">
        <v>1.9138791062456866</v>
      </c>
    </row>
    <row r="561" spans="30:32" x14ac:dyDescent="0.2">
      <c r="AD561" s="98">
        <f t="shared" ca="1" si="21"/>
        <v>10.694045174537989</v>
      </c>
      <c r="AE561" s="99">
        <f t="shared" ca="1" si="20"/>
        <v>45891</v>
      </c>
      <c r="AF561" s="6">
        <v>1.9153589802898436</v>
      </c>
    </row>
    <row r="562" spans="30:32" x14ac:dyDescent="0.2">
      <c r="AD562" s="98">
        <f t="shared" ca="1" si="21"/>
        <v>10.713210130047912</v>
      </c>
      <c r="AE562" s="99">
        <f t="shared" ca="1" si="20"/>
        <v>45898</v>
      </c>
      <c r="AF562" s="6">
        <v>1.9168292878694191</v>
      </c>
    </row>
    <row r="563" spans="30:32" x14ac:dyDescent="0.2">
      <c r="AD563" s="98">
        <f t="shared" ca="1" si="21"/>
        <v>10.732375085557837</v>
      </c>
      <c r="AE563" s="99">
        <f t="shared" ca="1" si="20"/>
        <v>45905</v>
      </c>
      <c r="AF563" s="6">
        <v>1.9182901920308844</v>
      </c>
    </row>
    <row r="564" spans="30:32" x14ac:dyDescent="0.2">
      <c r="AD564" s="98">
        <f t="shared" ca="1" si="21"/>
        <v>10.751540041067761</v>
      </c>
      <c r="AE564" s="99">
        <f t="shared" ca="1" si="20"/>
        <v>45912</v>
      </c>
      <c r="AF564" s="6">
        <v>1.9197418716990551</v>
      </c>
    </row>
    <row r="565" spans="30:32" x14ac:dyDescent="0.2">
      <c r="AD565" s="98">
        <f t="shared" ca="1" si="21"/>
        <v>10.770704996577686</v>
      </c>
      <c r="AE565" s="99">
        <f t="shared" ca="1" si="20"/>
        <v>45919</v>
      </c>
      <c r="AF565" s="6">
        <v>1.9211845215228622</v>
      </c>
    </row>
    <row r="566" spans="30:32" x14ac:dyDescent="0.2">
      <c r="AD566" s="98">
        <f t="shared" ca="1" si="21"/>
        <v>10.789869952087612</v>
      </c>
      <c r="AE566" s="99">
        <f t="shared" ca="1" si="20"/>
        <v>45926</v>
      </c>
      <c r="AF566" s="6">
        <v>1.9226183516610802</v>
      </c>
    </row>
    <row r="567" spans="30:32" x14ac:dyDescent="0.2">
      <c r="AD567" s="98">
        <f t="shared" ca="1" si="21"/>
        <v>10.809034907597535</v>
      </c>
      <c r="AE567" s="99">
        <f t="shared" ca="1" si="20"/>
        <v>45933</v>
      </c>
      <c r="AF567" s="6">
        <v>1.9240435875077515</v>
      </c>
    </row>
    <row r="568" spans="30:32" x14ac:dyDescent="0.2">
      <c r="AD568" s="98">
        <f t="shared" ca="1" si="21"/>
        <v>10.828199863107461</v>
      </c>
      <c r="AE568" s="99">
        <f t="shared" ca="1" si="20"/>
        <v>45940</v>
      </c>
      <c r="AF568" s="6">
        <v>1.9254604693574124</v>
      </c>
    </row>
    <row r="569" spans="30:32" x14ac:dyDescent="0.2">
      <c r="AD569" s="98">
        <f t="shared" ca="1" si="21"/>
        <v>10.847364818617386</v>
      </c>
      <c r="AE569" s="99">
        <f t="shared" ca="1" si="20"/>
        <v>45947</v>
      </c>
      <c r="AF569" s="6">
        <v>1.9268692520106587</v>
      </c>
    </row>
    <row r="570" spans="30:32" x14ac:dyDescent="0.2">
      <c r="AD570" s="98">
        <f t="shared" ca="1" si="21"/>
        <v>10.86652977412731</v>
      </c>
      <c r="AE570" s="99">
        <f t="shared" ca="1" si="20"/>
        <v>45954</v>
      </c>
      <c r="AF570" s="6">
        <v>1.9282702043210125</v>
      </c>
    </row>
    <row r="571" spans="30:32" x14ac:dyDescent="0.2">
      <c r="AD571" s="98">
        <f t="shared" ca="1" si="21"/>
        <v>10.885694729637235</v>
      </c>
      <c r="AE571" s="99">
        <f t="shared" ca="1" si="20"/>
        <v>45961</v>
      </c>
      <c r="AF571" s="6">
        <v>1.9296636086844481</v>
      </c>
    </row>
    <row r="572" spans="30:32" x14ac:dyDescent="0.2">
      <c r="AD572" s="98">
        <f t="shared" ca="1" si="21"/>
        <v>10.904859685147159</v>
      </c>
      <c r="AE572" s="99">
        <f t="shared" ca="1" si="20"/>
        <v>45968</v>
      </c>
      <c r="AF572" s="6">
        <v>1.9310497604733747</v>
      </c>
    </row>
    <row r="573" spans="30:32" x14ac:dyDescent="0.2">
      <c r="AD573" s="98">
        <f t="shared" ca="1" si="21"/>
        <v>10.924024640657084</v>
      </c>
      <c r="AE573" s="99">
        <f t="shared" ca="1" si="20"/>
        <v>45975</v>
      </c>
      <c r="AF573" s="6">
        <v>1.9324289674172712</v>
      </c>
    </row>
    <row r="574" spans="30:32" x14ac:dyDescent="0.2">
      <c r="AD574" s="98">
        <f t="shared" ca="1" si="21"/>
        <v>10.943189596167009</v>
      </c>
      <c r="AE574" s="99">
        <f t="shared" ca="1" si="20"/>
        <v>45982</v>
      </c>
      <c r="AF574" s="6">
        <v>1.9338015489325548</v>
      </c>
    </row>
    <row r="575" spans="30:32" x14ac:dyDescent="0.2">
      <c r="AD575" s="98">
        <f t="shared" ca="1" si="21"/>
        <v>10.962354551676933</v>
      </c>
      <c r="AE575" s="99">
        <f t="shared" ca="1" si="20"/>
        <v>45989</v>
      </c>
      <c r="AF575" s="6">
        <v>1.9351678354046635</v>
      </c>
    </row>
    <row r="576" spans="30:32" x14ac:dyDescent="0.2">
      <c r="AD576" s="98">
        <f t="shared" ca="1" si="21"/>
        <v>10.981519507186858</v>
      </c>
      <c r="AE576" s="99">
        <f t="shared" ca="1" si="20"/>
        <v>45996</v>
      </c>
      <c r="AF576" s="6">
        <v>1.9365281674256756</v>
      </c>
    </row>
    <row r="577" spans="30:32" x14ac:dyDescent="0.2">
      <c r="AD577" s="98">
        <f t="shared" ca="1" si="21"/>
        <v>11.000684462696784</v>
      </c>
      <c r="AE577" s="99">
        <f t="shared" ca="1" si="20"/>
        <v>46003</v>
      </c>
      <c r="AF577" s="6">
        <v>1.9378828949911149</v>
      </c>
    </row>
    <row r="578" spans="30:32" x14ac:dyDescent="0.2">
      <c r="AD578" s="98">
        <f t="shared" ca="1" si="21"/>
        <v>11.019849418206707</v>
      </c>
      <c r="AE578" s="99">
        <f t="shared" ca="1" si="20"/>
        <v>46010</v>
      </c>
      <c r="AF578" s="6">
        <v>1.9392323766599078</v>
      </c>
    </row>
    <row r="579" spans="30:32" x14ac:dyDescent="0.2">
      <c r="AD579" s="98">
        <f t="shared" ca="1" si="21"/>
        <v>11.039014373716633</v>
      </c>
      <c r="AE579" s="99">
        <f t="shared" ca="1" si="20"/>
        <v>46017</v>
      </c>
      <c r="AF579" s="6">
        <v>1.9405769786817131</v>
      </c>
    </row>
    <row r="580" spans="30:32" x14ac:dyDescent="0.2">
      <c r="AD580" s="98">
        <f t="shared" ca="1" si="21"/>
        <v>11.058179329226558</v>
      </c>
      <c r="AE580" s="99">
        <f t="shared" ref="AE580:AE643" ca="1" si="22">AE579+7</f>
        <v>46024</v>
      </c>
      <c r="AF580" s="6">
        <v>1.9419170740960827</v>
      </c>
    </row>
    <row r="581" spans="30:32" x14ac:dyDescent="0.2">
      <c r="AD581" s="98">
        <f t="shared" ref="AD581:AD644" ca="1" si="23">(AE581-$B$3)/365.25</f>
        <v>11.077344284736482</v>
      </c>
      <c r="AE581" s="99">
        <f t="shared" ca="1" si="22"/>
        <v>46031</v>
      </c>
      <c r="AF581" s="6">
        <v>1.9432530418080991</v>
      </c>
    </row>
    <row r="582" spans="30:32" x14ac:dyDescent="0.2">
      <c r="AD582" s="98">
        <f t="shared" ca="1" si="23"/>
        <v>11.096509240246407</v>
      </c>
      <c r="AE582" s="99">
        <f t="shared" ca="1" si="22"/>
        <v>46038</v>
      </c>
      <c r="AF582" s="6">
        <v>1.9445852656452929</v>
      </c>
    </row>
    <row r="583" spans="30:32" x14ac:dyDescent="0.2">
      <c r="AD583" s="98">
        <f t="shared" ca="1" si="23"/>
        <v>11.115674195756331</v>
      </c>
      <c r="AE583" s="99">
        <f t="shared" ca="1" si="22"/>
        <v>46045</v>
      </c>
      <c r="AF583" s="6">
        <v>1.9459141334007488</v>
      </c>
    </row>
    <row r="584" spans="30:32" x14ac:dyDescent="0.2">
      <c r="AD584" s="98">
        <f t="shared" ca="1" si="23"/>
        <v>11.134839151266256</v>
      </c>
      <c r="AE584" s="99">
        <f t="shared" ca="1" si="22"/>
        <v>46052</v>
      </c>
      <c r="AF584" s="6">
        <v>1.9472400358673723</v>
      </c>
    </row>
    <row r="585" spans="30:32" x14ac:dyDescent="0.2">
      <c r="AD585" s="98">
        <f t="shared" ca="1" si="23"/>
        <v>11.154004106776181</v>
      </c>
      <c r="AE585" s="99">
        <f t="shared" ca="1" si="22"/>
        <v>46059</v>
      </c>
      <c r="AF585" s="6">
        <v>1.9485633658683117</v>
      </c>
    </row>
    <row r="586" spans="30:32" x14ac:dyDescent="0.2">
      <c r="AD586" s="98">
        <f t="shared" ca="1" si="23"/>
        <v>11.173169062286105</v>
      </c>
      <c r="AE586" s="99">
        <f t="shared" ca="1" si="22"/>
        <v>46066</v>
      </c>
      <c r="AF586" s="6">
        <v>1.9498845172885164</v>
      </c>
    </row>
    <row r="587" spans="30:32" x14ac:dyDescent="0.2">
      <c r="AD587" s="98">
        <f t="shared" ca="1" si="23"/>
        <v>11.19233401779603</v>
      </c>
      <c r="AE587" s="99">
        <f t="shared" ca="1" si="22"/>
        <v>46073</v>
      </c>
      <c r="AF587" s="6">
        <v>1.951203884112322</v>
      </c>
    </row>
    <row r="588" spans="30:32" x14ac:dyDescent="0.2">
      <c r="AD588" s="98">
        <f t="shared" ca="1" si="23"/>
        <v>11.211498973305956</v>
      </c>
      <c r="AE588" s="99">
        <f t="shared" ca="1" si="22"/>
        <v>46080</v>
      </c>
      <c r="AF588" s="6">
        <v>1.9525218594718781</v>
      </c>
    </row>
    <row r="589" spans="30:32" x14ac:dyDescent="0.2">
      <c r="AD589" s="98">
        <f t="shared" ca="1" si="23"/>
        <v>11.230663928815879</v>
      </c>
      <c r="AE589" s="99">
        <f t="shared" ca="1" si="22"/>
        <v>46087</v>
      </c>
      <c r="AF589" s="6">
        <v>1.9538388347110602</v>
      </c>
    </row>
    <row r="590" spans="30:32" x14ac:dyDescent="0.2">
      <c r="AD590" s="98">
        <f t="shared" ca="1" si="23"/>
        <v>11.249828884325805</v>
      </c>
      <c r="AE590" s="99">
        <f t="shared" ca="1" si="22"/>
        <v>46094</v>
      </c>
      <c r="AF590" s="6">
        <v>1.9551551984693405</v>
      </c>
    </row>
    <row r="591" spans="30:32" x14ac:dyDescent="0.2">
      <c r="AD591" s="98">
        <f t="shared" ca="1" si="23"/>
        <v>11.268993839835728</v>
      </c>
      <c r="AE591" s="99">
        <f t="shared" ca="1" si="22"/>
        <v>46101</v>
      </c>
      <c r="AF591" s="6">
        <v>1.9564713357898549</v>
      </c>
    </row>
    <row r="592" spans="30:32" x14ac:dyDescent="0.2">
      <c r="AD592" s="98">
        <f t="shared" ca="1" si="23"/>
        <v>11.288158795345653</v>
      </c>
      <c r="AE592" s="99">
        <f t="shared" ca="1" si="22"/>
        <v>46108</v>
      </c>
      <c r="AF592" s="6">
        <v>1.9577876272556762</v>
      </c>
    </row>
    <row r="593" spans="30:32" x14ac:dyDescent="0.2">
      <c r="AD593" s="98">
        <f t="shared" ca="1" si="23"/>
        <v>11.307323750855579</v>
      </c>
      <c r="AE593" s="99">
        <f t="shared" ca="1" si="22"/>
        <v>46115</v>
      </c>
      <c r="AF593" s="6">
        <v>1.9591044481580058</v>
      </c>
    </row>
    <row r="594" spans="30:32" x14ac:dyDescent="0.2">
      <c r="AD594" s="98">
        <f t="shared" ca="1" si="23"/>
        <v>11.326488706365502</v>
      </c>
      <c r="AE594" s="99">
        <f t="shared" ca="1" si="22"/>
        <v>46122</v>
      </c>
      <c r="AF594" s="6">
        <v>1.9604221676996945</v>
      </c>
    </row>
    <row r="595" spans="30:32" x14ac:dyDescent="0.2">
      <c r="AD595" s="98">
        <f t="shared" ca="1" si="23"/>
        <v>11.345653661875428</v>
      </c>
      <c r="AE595" s="99">
        <f t="shared" ca="1" si="22"/>
        <v>46129</v>
      </c>
      <c r="AF595" s="6">
        <v>1.9617411482371974</v>
      </c>
    </row>
    <row r="596" spans="30:32" x14ac:dyDescent="0.2">
      <c r="AD596" s="98">
        <f t="shared" ca="1" si="23"/>
        <v>11.364818617385353</v>
      </c>
      <c r="AE596" s="99">
        <f t="shared" ca="1" si="22"/>
        <v>46136</v>
      </c>
      <c r="AF596" s="6">
        <v>1.9630617445636971</v>
      </c>
    </row>
    <row r="597" spans="30:32" x14ac:dyDescent="0.2">
      <c r="AD597" s="98">
        <f t="shared" ca="1" si="23"/>
        <v>11.383983572895277</v>
      </c>
      <c r="AE597" s="99">
        <f t="shared" ca="1" si="22"/>
        <v>46143</v>
      </c>
      <c r="AF597" s="6">
        <v>1.9643843032358195</v>
      </c>
    </row>
    <row r="598" spans="30:32" x14ac:dyDescent="0.2">
      <c r="AD598" s="98">
        <f t="shared" ca="1" si="23"/>
        <v>11.403148528405202</v>
      </c>
      <c r="AE598" s="99">
        <f t="shared" ca="1" si="22"/>
        <v>46150</v>
      </c>
      <c r="AF598" s="6">
        <v>1.9657091619459617</v>
      </c>
    </row>
    <row r="599" spans="30:32" x14ac:dyDescent="0.2">
      <c r="AD599" s="98">
        <f t="shared" ca="1" si="23"/>
        <v>11.422313483915127</v>
      </c>
      <c r="AE599" s="99">
        <f t="shared" ca="1" si="22"/>
        <v>46157</v>
      </c>
      <c r="AF599" s="6">
        <v>1.9670366489419191</v>
      </c>
    </row>
    <row r="600" spans="30:32" x14ac:dyDescent="0.2">
      <c r="AD600" s="98">
        <f t="shared" ca="1" si="23"/>
        <v>11.441478439425051</v>
      </c>
      <c r="AE600" s="99">
        <f t="shared" ca="1" si="22"/>
        <v>46164</v>
      </c>
      <c r="AF600" s="6">
        <v>1.968367082495138</v>
      </c>
    </row>
    <row r="601" spans="30:32" x14ac:dyDescent="0.2">
      <c r="AD601" s="98">
        <f t="shared" ca="1" si="23"/>
        <v>11.460643394934976</v>
      </c>
      <c r="AE601" s="99">
        <f t="shared" ca="1" si="22"/>
        <v>46171</v>
      </c>
      <c r="AF601" s="6">
        <v>1.9697007704185261</v>
      </c>
    </row>
    <row r="602" spans="30:32" x14ac:dyDescent="0.2">
      <c r="AD602" s="98">
        <f t="shared" ca="1" si="23"/>
        <v>11.4798083504449</v>
      </c>
      <c r="AE602" s="99">
        <f t="shared" ca="1" si="22"/>
        <v>46178</v>
      </c>
      <c r="AF602" s="6">
        <v>1.9710380096344466</v>
      </c>
    </row>
    <row r="603" spans="30:32" x14ac:dyDescent="0.2">
      <c r="AD603" s="98">
        <f t="shared" ca="1" si="23"/>
        <v>11.498973305954825</v>
      </c>
      <c r="AE603" s="99">
        <f t="shared" ca="1" si="22"/>
        <v>46185</v>
      </c>
      <c r="AF603" s="6">
        <v>1.9723790857931411</v>
      </c>
    </row>
    <row r="604" spans="30:32" x14ac:dyDescent="0.2">
      <c r="AD604" s="98">
        <f t="shared" ca="1" si="23"/>
        <v>11.518138261464751</v>
      </c>
      <c r="AE604" s="99">
        <f t="shared" ca="1" si="22"/>
        <v>46192</v>
      </c>
      <c r="AF604" s="6">
        <v>1.9737242729415265</v>
      </c>
    </row>
    <row r="605" spans="30:32" x14ac:dyDescent="0.2">
      <c r="AD605" s="98">
        <f t="shared" ca="1" si="23"/>
        <v>11.537303216974674</v>
      </c>
      <c r="AE605" s="99">
        <f t="shared" ca="1" si="22"/>
        <v>46199</v>
      </c>
      <c r="AF605" s="6">
        <v>1.9750738332419784</v>
      </c>
    </row>
    <row r="606" spans="30:32" x14ac:dyDescent="0.2">
      <c r="AD606" s="98">
        <f t="shared" ca="1" si="23"/>
        <v>11.5564681724846</v>
      </c>
      <c r="AE606" s="99">
        <f t="shared" ca="1" si="22"/>
        <v>46206</v>
      </c>
      <c r="AF606" s="6">
        <v>1.9764280167404331</v>
      </c>
    </row>
    <row r="607" spans="30:32" x14ac:dyDescent="0.2">
      <c r="AD607" s="98">
        <f t="shared" ca="1" si="23"/>
        <v>11.575633127994525</v>
      </c>
      <c r="AE607" s="99">
        <f t="shared" ca="1" si="22"/>
        <v>46213</v>
      </c>
      <c r="AF607" s="6">
        <v>1.9777870611828661</v>
      </c>
    </row>
    <row r="608" spans="30:32" x14ac:dyDescent="0.2">
      <c r="AD608" s="98">
        <f t="shared" ca="1" si="23"/>
        <v>11.594798083504449</v>
      </c>
      <c r="AE608" s="99">
        <f t="shared" ca="1" si="22"/>
        <v>46220</v>
      </c>
      <c r="AF608" s="6">
        <v>1.9791511918789337</v>
      </c>
    </row>
    <row r="609" spans="30:32" x14ac:dyDescent="0.2">
      <c r="AD609" s="98">
        <f t="shared" ca="1" si="23"/>
        <v>11.613963039014374</v>
      </c>
      <c r="AE609" s="99">
        <f t="shared" ca="1" si="22"/>
        <v>46227</v>
      </c>
      <c r="AF609" s="6">
        <v>1.9805206216113718</v>
      </c>
    </row>
    <row r="610" spans="30:32" x14ac:dyDescent="0.2">
      <c r="AD610" s="98">
        <f t="shared" ca="1" si="23"/>
        <v>11.633127994524298</v>
      </c>
      <c r="AE610" s="99">
        <f t="shared" ca="1" si="22"/>
        <v>46234</v>
      </c>
      <c r="AF610" s="6">
        <v>1.9818955505895028</v>
      </c>
    </row>
    <row r="611" spans="30:32" x14ac:dyDescent="0.2">
      <c r="AD611" s="98">
        <f t="shared" ca="1" si="23"/>
        <v>11.652292950034223</v>
      </c>
      <c r="AE611" s="99">
        <f t="shared" ca="1" si="22"/>
        <v>46241</v>
      </c>
      <c r="AF611" s="6">
        <v>1.9832761664450458</v>
      </c>
    </row>
    <row r="612" spans="30:32" x14ac:dyDescent="0.2">
      <c r="AD612" s="98">
        <f t="shared" ca="1" si="23"/>
        <v>11.671457905544148</v>
      </c>
      <c r="AE612" s="99">
        <f t="shared" ca="1" si="22"/>
        <v>46248</v>
      </c>
      <c r="AF612" s="6">
        <v>1.9846626442682611</v>
      </c>
    </row>
    <row r="613" spans="30:32" x14ac:dyDescent="0.2">
      <c r="AD613" s="98">
        <f t="shared" ca="1" si="23"/>
        <v>11.690622861054072</v>
      </c>
      <c r="AE613" s="99">
        <f t="shared" ca="1" si="22"/>
        <v>46255</v>
      </c>
      <c r="AF613" s="6">
        <v>1.9860551466823262</v>
      </c>
    </row>
    <row r="614" spans="30:32" x14ac:dyDescent="0.2">
      <c r="AD614" s="98">
        <f t="shared" ca="1" si="23"/>
        <v>11.709787816563997</v>
      </c>
      <c r="AE614" s="99">
        <f t="shared" ca="1" si="22"/>
        <v>46262</v>
      </c>
      <c r="AF614" s="6">
        <v>1.9874538239537298</v>
      </c>
    </row>
    <row r="615" spans="30:32" x14ac:dyDescent="0.2">
      <c r="AD615" s="98">
        <f t="shared" ca="1" si="23"/>
        <v>11.728952772073923</v>
      </c>
      <c r="AE615" s="99">
        <f t="shared" ca="1" si="22"/>
        <v>46269</v>
      </c>
      <c r="AF615" s="6">
        <v>1.988858814136403</v>
      </c>
    </row>
    <row r="616" spans="30:32" x14ac:dyDescent="0.2">
      <c r="AD616" s="98">
        <f t="shared" ca="1" si="23"/>
        <v>11.748117727583846</v>
      </c>
      <c r="AE616" s="99">
        <f t="shared" ca="1" si="22"/>
        <v>46276</v>
      </c>
      <c r="AF616" s="6">
        <v>1.9902702432472135</v>
      </c>
    </row>
    <row r="617" spans="30:32" x14ac:dyDescent="0.2">
      <c r="AD617" s="98">
        <f t="shared" ca="1" si="23"/>
        <v>11.767282683093772</v>
      </c>
      <c r="AE617" s="99">
        <f t="shared" ca="1" si="22"/>
        <v>46283</v>
      </c>
      <c r="AF617" s="6">
        <v>1.9916882254704447</v>
      </c>
    </row>
    <row r="618" spans="30:32" x14ac:dyDescent="0.2">
      <c r="AD618" s="98">
        <f t="shared" ca="1" si="23"/>
        <v>11.786447638603697</v>
      </c>
      <c r="AE618" s="99">
        <f t="shared" ca="1" si="22"/>
        <v>46290</v>
      </c>
      <c r="AF618" s="6">
        <v>1.9931128633888293</v>
      </c>
    </row>
    <row r="619" spans="30:32" x14ac:dyDescent="0.2">
      <c r="AD619" s="98">
        <f t="shared" ca="1" si="23"/>
        <v>11.805612594113621</v>
      </c>
      <c r="AE619" s="99">
        <f t="shared" ca="1" si="22"/>
        <v>46297</v>
      </c>
      <c r="AF619" s="6">
        <v>1.9945442482387181</v>
      </c>
    </row>
    <row r="620" spans="30:32" x14ac:dyDescent="0.2">
      <c r="AD620" s="98">
        <f t="shared" ca="1" si="23"/>
        <v>11.824777549623546</v>
      </c>
      <c r="AE620" s="99">
        <f t="shared" ca="1" si="22"/>
        <v>46304</v>
      </c>
      <c r="AF620" s="6">
        <v>1.9959824601869991</v>
      </c>
    </row>
    <row r="621" spans="30:32" x14ac:dyDescent="0.2">
      <c r="AD621" s="98">
        <f t="shared" ca="1" si="23"/>
        <v>11.843942505133469</v>
      </c>
      <c r="AE621" s="99">
        <f t="shared" ca="1" si="22"/>
        <v>46311</v>
      </c>
      <c r="AF621" s="6">
        <v>1.9974275686273637</v>
      </c>
    </row>
    <row r="622" spans="30:32" x14ac:dyDescent="0.2">
      <c r="AD622" s="98">
        <f t="shared" ca="1" si="23"/>
        <v>11.863107460643395</v>
      </c>
      <c r="AE622" s="99">
        <f t="shared" ca="1" si="22"/>
        <v>46318</v>
      </c>
      <c r="AF622" s="6">
        <v>1.9988796324936302</v>
      </c>
    </row>
    <row r="623" spans="30:32" x14ac:dyDescent="0.2">
      <c r="AD623" s="98">
        <f t="shared" ca="1" si="23"/>
        <v>11.88227241615332</v>
      </c>
      <c r="AE623" s="99">
        <f t="shared" ca="1" si="22"/>
        <v>46325</v>
      </c>
      <c r="AF623" s="6">
        <v>2.000338700587831</v>
      </c>
    </row>
    <row r="624" spans="30:32" x14ac:dyDescent="0.2">
      <c r="AD624" s="98">
        <f t="shared" ca="1" si="23"/>
        <v>11.901437371663244</v>
      </c>
      <c r="AE624" s="99">
        <f t="shared" ca="1" si="22"/>
        <v>46332</v>
      </c>
      <c r="AF624" s="6">
        <v>2.0018048119208829</v>
      </c>
    </row>
    <row r="625" spans="30:32" x14ac:dyDescent="0.2">
      <c r="AD625" s="98">
        <f t="shared" ca="1" si="23"/>
        <v>11.920602327173169</v>
      </c>
      <c r="AE625" s="99">
        <f t="shared" ca="1" si="22"/>
        <v>46339</v>
      </c>
      <c r="AF625" s="6">
        <v>2.0032779960637286</v>
      </c>
    </row>
    <row r="626" spans="30:32" x14ac:dyDescent="0.2">
      <c r="AD626" s="98">
        <f t="shared" ca="1" si="23"/>
        <v>11.939767282683095</v>
      </c>
      <c r="AE626" s="99">
        <f t="shared" ca="1" si="22"/>
        <v>46346</v>
      </c>
      <c r="AF626" s="6">
        <v>2.0047582735069054</v>
      </c>
    </row>
    <row r="627" spans="30:32" x14ac:dyDescent="0.2">
      <c r="AD627" s="98">
        <f t="shared" ca="1" si="23"/>
        <v>11.958932238193018</v>
      </c>
      <c r="AE627" s="99">
        <f t="shared" ca="1" si="22"/>
        <v>46353</v>
      </c>
      <c r="AF627" s="6">
        <v>2.0062456560266333</v>
      </c>
    </row>
    <row r="628" spans="30:32" x14ac:dyDescent="0.2">
      <c r="AD628" s="98">
        <f t="shared" ca="1" si="23"/>
        <v>11.978097193702943</v>
      </c>
      <c r="AE628" s="99">
        <f t="shared" ca="1" si="22"/>
        <v>46360</v>
      </c>
      <c r="AF628" s="6">
        <v>2.0077401470555793</v>
      </c>
    </row>
    <row r="629" spans="30:32" x14ac:dyDescent="0.2">
      <c r="AD629" s="98">
        <f t="shared" ca="1" si="23"/>
        <v>11.997262149212867</v>
      </c>
      <c r="AE629" s="99">
        <f t="shared" ca="1" si="22"/>
        <v>46367</v>
      </c>
      <c r="AF629" s="6">
        <v>2.0092417420565702</v>
      </c>
    </row>
    <row r="630" spans="30:32" x14ac:dyDescent="0.2">
      <c r="AD630" s="98">
        <f t="shared" ca="1" si="23"/>
        <v>12.016427104722792</v>
      </c>
      <c r="AE630" s="99">
        <f t="shared" ca="1" si="22"/>
        <v>46374</v>
      </c>
      <c r="AF630" s="6">
        <v>2.0107489960088185</v>
      </c>
    </row>
    <row r="631" spans="30:32" x14ac:dyDescent="0.2">
      <c r="AD631" s="98">
        <f t="shared" ca="1" si="23"/>
        <v>12.035592060232718</v>
      </c>
      <c r="AE631" s="99">
        <f t="shared" ca="1" si="22"/>
        <v>46381</v>
      </c>
      <c r="AF631" s="6">
        <v>2.0122594778032972</v>
      </c>
    </row>
    <row r="632" spans="30:32" x14ac:dyDescent="0.2">
      <c r="AD632" s="98">
        <f t="shared" ca="1" si="23"/>
        <v>12.054757015742641</v>
      </c>
      <c r="AE632" s="99">
        <f t="shared" ca="1" si="22"/>
        <v>46388</v>
      </c>
      <c r="AF632" s="6">
        <v>2.0137731531386773</v>
      </c>
    </row>
    <row r="633" spans="30:32" x14ac:dyDescent="0.2">
      <c r="AD633" s="98">
        <f t="shared" ca="1" si="23"/>
        <v>12.073921971252567</v>
      </c>
      <c r="AE633" s="99">
        <f t="shared" ca="1" si="22"/>
        <v>46395</v>
      </c>
      <c r="AF633" s="6">
        <v>2.0152900261427722</v>
      </c>
    </row>
    <row r="634" spans="30:32" x14ac:dyDescent="0.2">
      <c r="AD634" s="98">
        <f t="shared" ca="1" si="23"/>
        <v>12.093086926762492</v>
      </c>
      <c r="AE634" s="99">
        <f t="shared" ca="1" si="22"/>
        <v>46402</v>
      </c>
      <c r="AF634" s="6">
        <v>2.0168100994336418</v>
      </c>
    </row>
    <row r="635" spans="30:32" x14ac:dyDescent="0.2">
      <c r="AD635" s="98">
        <f t="shared" ca="1" si="23"/>
        <v>12.112251882272416</v>
      </c>
      <c r="AE635" s="99">
        <f t="shared" ca="1" si="22"/>
        <v>46409</v>
      </c>
      <c r="AF635" s="6">
        <v>2.0183333740695035</v>
      </c>
    </row>
    <row r="636" spans="30:32" x14ac:dyDescent="0.2">
      <c r="AD636" s="98">
        <f t="shared" ca="1" si="23"/>
        <v>12.131416837782341</v>
      </c>
      <c r="AE636" s="99">
        <f t="shared" ca="1" si="22"/>
        <v>46416</v>
      </c>
      <c r="AF636" s="6">
        <v>2.019859849498717</v>
      </c>
    </row>
    <row r="637" spans="30:32" x14ac:dyDescent="0.2">
      <c r="AD637" s="98">
        <f t="shared" ca="1" si="23"/>
        <v>12.150581793292266</v>
      </c>
      <c r="AE637" s="99">
        <f t="shared" ca="1" si="22"/>
        <v>46423</v>
      </c>
      <c r="AF637" s="6">
        <v>2.0213895235099608</v>
      </c>
    </row>
    <row r="638" spans="30:32" x14ac:dyDescent="0.2">
      <c r="AD638" s="98">
        <f t="shared" ca="1" si="23"/>
        <v>12.16974674880219</v>
      </c>
      <c r="AE638" s="99">
        <f t="shared" ca="1" si="22"/>
        <v>46430</v>
      </c>
      <c r="AF638" s="6">
        <v>2.0229223921826862</v>
      </c>
    </row>
    <row r="639" spans="30:32" x14ac:dyDescent="0.2">
      <c r="AD639" s="98">
        <f t="shared" ca="1" si="23"/>
        <v>12.188911704312115</v>
      </c>
      <c r="AE639" s="99">
        <f t="shared" ca="1" si="22"/>
        <v>46437</v>
      </c>
      <c r="AF639" s="6">
        <v>2.0244584498379488</v>
      </c>
    </row>
    <row r="640" spans="30:32" x14ac:dyDescent="0.2">
      <c r="AD640" s="98">
        <f t="shared" ca="1" si="23"/>
        <v>12.208076659822039</v>
      </c>
      <c r="AE640" s="99">
        <f t="shared" ca="1" si="22"/>
        <v>46444</v>
      </c>
      <c r="AF640" s="6">
        <v>2.0259976889897366</v>
      </c>
    </row>
    <row r="641" spans="30:32" x14ac:dyDescent="0.2">
      <c r="AD641" s="98">
        <f t="shared" ca="1" si="23"/>
        <v>12.227241615331964</v>
      </c>
      <c r="AE641" s="99">
        <f t="shared" ca="1" si="22"/>
        <v>46451</v>
      </c>
      <c r="AF641" s="6">
        <v>2.0275401002968931</v>
      </c>
    </row>
    <row r="642" spans="30:32" x14ac:dyDescent="0.2">
      <c r="AD642" s="98">
        <f t="shared" ca="1" si="23"/>
        <v>12.24640657084189</v>
      </c>
      <c r="AE642" s="99">
        <f t="shared" ca="1" si="22"/>
        <v>46458</v>
      </c>
      <c r="AF642" s="6">
        <v>2.0290856725157571</v>
      </c>
    </row>
    <row r="643" spans="30:32" x14ac:dyDescent="0.2">
      <c r="AD643" s="98">
        <f t="shared" ca="1" si="23"/>
        <v>12.265571526351813</v>
      </c>
      <c r="AE643" s="99">
        <f t="shared" ca="1" si="22"/>
        <v>46465</v>
      </c>
      <c r="AF643" s="6">
        <v>2.0306343924536323</v>
      </c>
    </row>
    <row r="644" spans="30:32" x14ac:dyDescent="0.2">
      <c r="AD644" s="98">
        <f t="shared" ca="1" si="23"/>
        <v>12.284736481861739</v>
      </c>
      <c r="AE644" s="99">
        <f t="shared" ref="AE644:AE707" ca="1" si="24">AE643+7</f>
        <v>46472</v>
      </c>
      <c r="AF644" s="6">
        <v>2.032186244923218</v>
      </c>
    </row>
    <row r="645" spans="30:32" x14ac:dyDescent="0.2">
      <c r="AD645" s="98">
        <f t="shared" ref="AD645:AD708" ca="1" si="25">(AE645-$B$3)/365.25</f>
        <v>12.303901437371664</v>
      </c>
      <c r="AE645" s="99">
        <f t="shared" ca="1" si="24"/>
        <v>46479</v>
      </c>
      <c r="AF645" s="6">
        <v>2.033741212698112</v>
      </c>
    </row>
    <row r="646" spans="30:32" x14ac:dyDescent="0.2">
      <c r="AD646" s="98">
        <f t="shared" ca="1" si="25"/>
        <v>12.323066392881588</v>
      </c>
      <c r="AE646" s="99">
        <f t="shared" ca="1" si="24"/>
        <v>46486</v>
      </c>
      <c r="AF646" s="6">
        <v>2.0352992764695323</v>
      </c>
    </row>
    <row r="647" spans="30:32" x14ac:dyDescent="0.2">
      <c r="AD647" s="98">
        <f t="shared" ca="1" si="25"/>
        <v>12.342231348391513</v>
      </c>
      <c r="AE647" s="99">
        <f t="shared" ca="1" si="24"/>
        <v>46493</v>
      </c>
      <c r="AF647" s="6">
        <v>2.0368604148043703</v>
      </c>
    </row>
    <row r="648" spans="30:32" x14ac:dyDescent="0.2">
      <c r="AD648" s="98">
        <f t="shared" ca="1" si="25"/>
        <v>12.361396303901437</v>
      </c>
      <c r="AE648" s="99">
        <f t="shared" ca="1" si="24"/>
        <v>46500</v>
      </c>
      <c r="AF648" s="6">
        <v>2.0384246041047254</v>
      </c>
    </row>
    <row r="649" spans="30:32" x14ac:dyDescent="0.2">
      <c r="AD649" s="98">
        <f t="shared" ca="1" si="25"/>
        <v>12.380561259411362</v>
      </c>
      <c r="AE649" s="99">
        <f t="shared" ca="1" si="24"/>
        <v>46507</v>
      </c>
      <c r="AF649" s="6">
        <v>2.0399918185690513</v>
      </c>
    </row>
    <row r="650" spans="30:32" x14ac:dyDescent="0.2">
      <c r="AD650" s="98">
        <f t="shared" ca="1" si="25"/>
        <v>12.399726214921287</v>
      </c>
      <c r="AE650" s="99">
        <f t="shared" ca="1" si="24"/>
        <v>46514</v>
      </c>
      <c r="AF650" s="6">
        <v>2.0415620301550486</v>
      </c>
    </row>
    <row r="651" spans="30:32" x14ac:dyDescent="0.2">
      <c r="AD651" s="98">
        <f t="shared" ca="1" si="25"/>
        <v>12.418891170431211</v>
      </c>
      <c r="AE651" s="99">
        <f t="shared" ca="1" si="24"/>
        <v>46521</v>
      </c>
      <c r="AF651" s="6">
        <v>2.0431352085444532</v>
      </c>
    </row>
    <row r="652" spans="30:32" x14ac:dyDescent="0.2">
      <c r="AD652" s="98">
        <f t="shared" ca="1" si="25"/>
        <v>12.438056125941136</v>
      </c>
      <c r="AE652" s="99">
        <f t="shared" ca="1" si="24"/>
        <v>46528</v>
      </c>
      <c r="AF652" s="6">
        <v>2.0447113211098538</v>
      </c>
    </row>
    <row r="653" spans="30:32" x14ac:dyDescent="0.2">
      <c r="AD653" s="98">
        <f t="shared" ca="1" si="25"/>
        <v>12.457221081451062</v>
      </c>
      <c r="AE653" s="99">
        <f t="shared" ca="1" si="24"/>
        <v>46535</v>
      </c>
      <c r="AF653" s="6">
        <v>2.0462903328836881</v>
      </c>
    </row>
    <row r="654" spans="30:32" x14ac:dyDescent="0.2">
      <c r="AD654" s="98">
        <f t="shared" ca="1" si="25"/>
        <v>12.476386036960985</v>
      </c>
      <c r="AE654" s="99">
        <f t="shared" ca="1" si="24"/>
        <v>46542</v>
      </c>
      <c r="AF654" s="6">
        <v>2.0478722065295538</v>
      </c>
    </row>
    <row r="655" spans="30:32" x14ac:dyDescent="0.2">
      <c r="AD655" s="98">
        <f t="shared" ca="1" si="25"/>
        <v>12.495550992470911</v>
      </c>
      <c r="AE655" s="99">
        <f t="shared" ca="1" si="24"/>
        <v>46549</v>
      </c>
      <c r="AF655" s="6">
        <v>2.0494569023159817</v>
      </c>
    </row>
    <row r="656" spans="30:32" x14ac:dyDescent="0.2">
      <c r="AD656" s="98">
        <f t="shared" ca="1" si="25"/>
        <v>12.514715947980836</v>
      </c>
      <c r="AE656" s="99">
        <f t="shared" ca="1" si="24"/>
        <v>46556</v>
      </c>
      <c r="AF656" s="6">
        <v>2.0510443780928127</v>
      </c>
    </row>
    <row r="657" spans="30:32" x14ac:dyDescent="0.2">
      <c r="AD657" s="98">
        <f t="shared" ca="1" si="25"/>
        <v>12.533880903490759</v>
      </c>
      <c r="AE657" s="99">
        <f t="shared" ca="1" si="24"/>
        <v>46563</v>
      </c>
      <c r="AF657" s="6">
        <v>2.0526345892703248</v>
      </c>
    </row>
    <row r="658" spans="30:32" x14ac:dyDescent="0.2">
      <c r="AD658" s="98">
        <f t="shared" ca="1" si="25"/>
        <v>12.553045859000685</v>
      </c>
      <c r="AE658" s="99">
        <f t="shared" ca="1" si="24"/>
        <v>46570</v>
      </c>
      <c r="AF658" s="6">
        <v>2.0542274888012315</v>
      </c>
    </row>
    <row r="659" spans="30:32" x14ac:dyDescent="0.2">
      <c r="AD659" s="98">
        <f t="shared" ca="1" si="25"/>
        <v>12.572210814510608</v>
      </c>
      <c r="AE659" s="99">
        <f t="shared" ca="1" si="24"/>
        <v>46577</v>
      </c>
      <c r="AF659" s="6">
        <v>2.0558230271657161</v>
      </c>
    </row>
    <row r="660" spans="30:32" x14ac:dyDescent="0.2">
      <c r="AD660" s="98">
        <f t="shared" ca="1" si="25"/>
        <v>12.591375770020534</v>
      </c>
      <c r="AE660" s="99">
        <f t="shared" ca="1" si="24"/>
        <v>46584</v>
      </c>
      <c r="AF660" s="6">
        <v>2.0574211523596189</v>
      </c>
    </row>
    <row r="661" spans="30:32" x14ac:dyDescent="0.2">
      <c r="AD661" s="98">
        <f t="shared" ca="1" si="25"/>
        <v>12.610540725530459</v>
      </c>
      <c r="AE661" s="99">
        <f t="shared" ca="1" si="24"/>
        <v>46591</v>
      </c>
      <c r="AF661" s="6">
        <v>2.0590218098859085</v>
      </c>
    </row>
    <row r="662" spans="30:32" x14ac:dyDescent="0.2">
      <c r="AD662" s="98">
        <f t="shared" ca="1" si="25"/>
        <v>12.629705681040383</v>
      </c>
      <c r="AE662" s="99">
        <f t="shared" ca="1" si="24"/>
        <v>46598</v>
      </c>
      <c r="AF662" s="6">
        <v>2.0606249427495751</v>
      </c>
    </row>
    <row r="663" spans="30:32" x14ac:dyDescent="0.2">
      <c r="AD663" s="98">
        <f t="shared" ca="1" si="25"/>
        <v>12.648870636550308</v>
      </c>
      <c r="AE663" s="99">
        <f t="shared" ca="1" si="24"/>
        <v>46605</v>
      </c>
      <c r="AF663" s="6">
        <v>2.0622304914560661</v>
      </c>
    </row>
    <row r="664" spans="30:32" x14ac:dyDescent="0.2">
      <c r="AD664" s="98">
        <f t="shared" ca="1" si="25"/>
        <v>12.668035592060233</v>
      </c>
      <c r="AE664" s="99">
        <f t="shared" ca="1" si="24"/>
        <v>46612</v>
      </c>
      <c r="AF664" s="6">
        <v>2.0638383940133664</v>
      </c>
    </row>
    <row r="665" spans="30:32" x14ac:dyDescent="0.2">
      <c r="AD665" s="98">
        <f t="shared" ca="1" si="25"/>
        <v>12.687200547570157</v>
      </c>
      <c r="AE665" s="99">
        <f t="shared" ca="1" si="24"/>
        <v>46619</v>
      </c>
      <c r="AF665" s="6">
        <v>2.0654485859378666</v>
      </c>
    </row>
    <row r="666" spans="30:32" x14ac:dyDescent="0.2">
      <c r="AD666" s="98">
        <f t="shared" ca="1" si="25"/>
        <v>12.706365503080082</v>
      </c>
      <c r="AE666" s="99">
        <f t="shared" ca="1" si="24"/>
        <v>46626</v>
      </c>
      <c r="AF666" s="6">
        <v>2.0670610002640926</v>
      </c>
    </row>
    <row r="667" spans="30:32" x14ac:dyDescent="0.2">
      <c r="AD667" s="98">
        <f t="shared" ca="1" si="25"/>
        <v>12.725530458590006</v>
      </c>
      <c r="AE667" s="99">
        <f t="shared" ca="1" si="24"/>
        <v>46633</v>
      </c>
      <c r="AF667" s="6">
        <v>2.0686755675584143</v>
      </c>
    </row>
    <row r="668" spans="30:32" x14ac:dyDescent="0.2">
      <c r="AD668" s="98">
        <f t="shared" ca="1" si="25"/>
        <v>12.744695414099931</v>
      </c>
      <c r="AE668" s="99">
        <f t="shared" ca="1" si="24"/>
        <v>46640</v>
      </c>
      <c r="AF668" s="6">
        <v>2.0702922159368224</v>
      </c>
    </row>
    <row r="669" spans="30:32" x14ac:dyDescent="0.2">
      <c r="AD669" s="98">
        <f t="shared" ca="1" si="25"/>
        <v>12.763860369609857</v>
      </c>
      <c r="AE669" s="99">
        <f t="shared" ca="1" si="24"/>
        <v>46647</v>
      </c>
      <c r="AF669" s="6">
        <v>2.071910871086851</v>
      </c>
    </row>
    <row r="670" spans="30:32" x14ac:dyDescent="0.2">
      <c r="AD670" s="98">
        <f t="shared" ca="1" si="25"/>
        <v>12.78302532511978</v>
      </c>
      <c r="AE670" s="99">
        <f t="shared" ca="1" si="24"/>
        <v>46654</v>
      </c>
      <c r="AF670" s="6">
        <v>2.0735314562937135</v>
      </c>
    </row>
    <row r="671" spans="30:32" x14ac:dyDescent="0.2">
      <c r="AD671" s="98">
        <f t="shared" ca="1" si="25"/>
        <v>12.802190280629706</v>
      </c>
      <c r="AE671" s="99">
        <f t="shared" ca="1" si="24"/>
        <v>46661</v>
      </c>
      <c r="AF671" s="6">
        <v>2.0751538924707411</v>
      </c>
    </row>
    <row r="672" spans="30:32" x14ac:dyDescent="0.2">
      <c r="AD672" s="98">
        <f t="shared" ca="1" si="25"/>
        <v>12.821355236139631</v>
      </c>
      <c r="AE672" s="99">
        <f t="shared" ca="1" si="24"/>
        <v>46668</v>
      </c>
      <c r="AF672" s="6">
        <v>2.0767780981941408</v>
      </c>
    </row>
    <row r="673" spans="30:32" x14ac:dyDescent="0.2">
      <c r="AD673" s="98">
        <f t="shared" ca="1" si="25"/>
        <v>12.840520191649555</v>
      </c>
      <c r="AE673" s="99">
        <f t="shared" ca="1" si="24"/>
        <v>46675</v>
      </c>
      <c r="AF673" s="6">
        <v>2.078403989742152</v>
      </c>
    </row>
    <row r="674" spans="30:32" x14ac:dyDescent="0.2">
      <c r="AD674" s="98">
        <f t="shared" ca="1" si="25"/>
        <v>12.85968514715948</v>
      </c>
      <c r="AE674" s="99">
        <f t="shared" ca="1" si="24"/>
        <v>46682</v>
      </c>
      <c r="AF674" s="6">
        <v>2.080031481138604</v>
      </c>
    </row>
    <row r="675" spans="30:32" x14ac:dyDescent="0.2">
      <c r="AD675" s="98">
        <f t="shared" ca="1" si="25"/>
        <v>12.878850102669405</v>
      </c>
      <c r="AE675" s="99">
        <f t="shared" ca="1" si="24"/>
        <v>46689</v>
      </c>
      <c r="AF675" s="6">
        <v>2.0816604842009188</v>
      </c>
    </row>
    <row r="676" spans="30:32" x14ac:dyDescent="0.2">
      <c r="AD676" s="98">
        <f t="shared" ca="1" si="25"/>
        <v>12.898015058179329</v>
      </c>
      <c r="AE676" s="99">
        <f t="shared" ca="1" si="24"/>
        <v>46696</v>
      </c>
      <c r="AF676" s="6">
        <v>2.0832909085925455</v>
      </c>
    </row>
    <row r="677" spans="30:32" x14ac:dyDescent="0.2">
      <c r="AD677" s="98">
        <f t="shared" ca="1" si="25"/>
        <v>12.917180013689254</v>
      </c>
      <c r="AE677" s="99">
        <f t="shared" ca="1" si="24"/>
        <v>46703</v>
      </c>
      <c r="AF677" s="6">
        <v>2.0849226618798395</v>
      </c>
    </row>
    <row r="678" spans="30:32" x14ac:dyDescent="0.2">
      <c r="AD678" s="98">
        <f t="shared" ca="1" si="25"/>
        <v>12.936344969199178</v>
      </c>
      <c r="AE678" s="99">
        <f t="shared" ca="1" si="24"/>
        <v>46710</v>
      </c>
      <c r="AF678" s="6">
        <v>2.0865556495933557</v>
      </c>
    </row>
    <row r="679" spans="30:32" x14ac:dyDescent="0.2">
      <c r="AD679" s="98">
        <f t="shared" ca="1" si="25"/>
        <v>12.955509924709103</v>
      </c>
      <c r="AE679" s="99">
        <f t="shared" ca="1" si="24"/>
        <v>46717</v>
      </c>
      <c r="AF679" s="6">
        <v>2.0881897752935332</v>
      </c>
    </row>
    <row r="680" spans="30:32" x14ac:dyDescent="0.2">
      <c r="AD680" s="98">
        <f t="shared" ca="1" si="25"/>
        <v>12.974674880219029</v>
      </c>
      <c r="AE680" s="99">
        <f t="shared" ca="1" si="24"/>
        <v>46724</v>
      </c>
      <c r="AF680" s="6">
        <v>2.0898249406407192</v>
      </c>
    </row>
    <row r="681" spans="30:32" x14ac:dyDescent="0.2">
      <c r="AD681" s="98">
        <f t="shared" ca="1" si="25"/>
        <v>12.993839835728952</v>
      </c>
      <c r="AE681" s="99">
        <f t="shared" ca="1" si="24"/>
        <v>46731</v>
      </c>
      <c r="AF681" s="6">
        <v>2.0914610454694791</v>
      </c>
    </row>
    <row r="682" spans="30:32" x14ac:dyDescent="0.2">
      <c r="AD682" s="98">
        <f t="shared" ca="1" si="25"/>
        <v>13.013004791238878</v>
      </c>
      <c r="AE682" s="99">
        <f t="shared" ca="1" si="24"/>
        <v>46738</v>
      </c>
      <c r="AF682" s="6">
        <v>2.0930979878671185</v>
      </c>
    </row>
    <row r="683" spans="30:32" x14ac:dyDescent="0.2">
      <c r="AD683" s="98">
        <f t="shared" ca="1" si="25"/>
        <v>13.032169746748803</v>
      </c>
      <c r="AE683" s="99">
        <f t="shared" ca="1" si="24"/>
        <v>46745</v>
      </c>
      <c r="AF683" s="6">
        <v>2.0947356642563255</v>
      </c>
    </row>
    <row r="684" spans="30:32" x14ac:dyDescent="0.2">
      <c r="AD684" s="98">
        <f t="shared" ca="1" si="25"/>
        <v>13.051334702258726</v>
      </c>
      <c r="AE684" s="99">
        <f t="shared" ca="1" si="24"/>
        <v>46752</v>
      </c>
      <c r="AF684" s="6">
        <v>2.0963739694818408</v>
      </c>
    </row>
    <row r="685" spans="30:32" x14ac:dyDescent="0.2">
      <c r="AD685" s="98">
        <f t="shared" ca="1" si="25"/>
        <v>13.070499657768652</v>
      </c>
      <c r="AE685" s="99">
        <f t="shared" ca="1" si="24"/>
        <v>46759</v>
      </c>
      <c r="AF685" s="6">
        <v>2.098012796901028</v>
      </c>
    </row>
    <row r="686" spans="30:32" x14ac:dyDescent="0.2">
      <c r="AD686" s="98">
        <f t="shared" ca="1" si="25"/>
        <v>13.089664613278575</v>
      </c>
      <c r="AE686" s="99">
        <f t="shared" ca="1" si="24"/>
        <v>46766</v>
      </c>
      <c r="AF686" s="6">
        <v>2.0996520384782293</v>
      </c>
    </row>
    <row r="687" spans="30:32" x14ac:dyDescent="0.2">
      <c r="AD687" s="98">
        <f t="shared" ca="1" si="25"/>
        <v>13.108829568788501</v>
      </c>
      <c r="AE687" s="99">
        <f t="shared" ca="1" si="24"/>
        <v>46773</v>
      </c>
      <c r="AF687" s="6">
        <v>2.10129158488275</v>
      </c>
    </row>
    <row r="688" spans="30:32" x14ac:dyDescent="0.2">
      <c r="AD688" s="98">
        <f t="shared" ca="1" si="25"/>
        <v>13.127994524298426</v>
      </c>
      <c r="AE688" s="99">
        <f t="shared" ca="1" si="24"/>
        <v>46780</v>
      </c>
      <c r="AF688" s="6">
        <v>2.1029313255903195</v>
      </c>
    </row>
    <row r="689" spans="30:32" x14ac:dyDescent="0.2">
      <c r="AD689" s="98">
        <f t="shared" ca="1" si="25"/>
        <v>13.14715947980835</v>
      </c>
      <c r="AE689" s="99">
        <f t="shared" ca="1" si="24"/>
        <v>46787</v>
      </c>
      <c r="AF689" s="6">
        <v>2.1045711489878638</v>
      </c>
    </row>
    <row r="690" spans="30:32" x14ac:dyDescent="0.2">
      <c r="AD690" s="98">
        <f t="shared" ca="1" si="25"/>
        <v>13.166324435318275</v>
      </c>
      <c r="AE690" s="99">
        <f t="shared" ca="1" si="24"/>
        <v>46794</v>
      </c>
      <c r="AF690" s="6">
        <v>2.1062109424813906</v>
      </c>
    </row>
    <row r="691" spans="30:32" x14ac:dyDescent="0.2">
      <c r="AD691" s="98">
        <f t="shared" ca="1" si="25"/>
        <v>13.1854893908282</v>
      </c>
      <c r="AE691" s="99">
        <f t="shared" ca="1" si="24"/>
        <v>46801</v>
      </c>
      <c r="AF691" s="6">
        <v>2.1078505926068072</v>
      </c>
    </row>
    <row r="692" spans="30:32" x14ac:dyDescent="0.2">
      <c r="AD692" s="98">
        <f t="shared" ca="1" si="25"/>
        <v>13.204654346338124</v>
      </c>
      <c r="AE692" s="99">
        <f t="shared" ca="1" si="24"/>
        <v>46808</v>
      </c>
      <c r="AF692" s="6">
        <v>2.1094899851434601</v>
      </c>
    </row>
    <row r="693" spans="30:32" x14ac:dyDescent="0.2">
      <c r="AD693" s="98">
        <f t="shared" ca="1" si="25"/>
        <v>13.223819301848049</v>
      </c>
      <c r="AE693" s="99">
        <f t="shared" ca="1" si="24"/>
        <v>46815</v>
      </c>
      <c r="AF693" s="6">
        <v>2.1111290052301594</v>
      </c>
    </row>
    <row r="694" spans="30:32" x14ac:dyDescent="0.2">
      <c r="AD694" s="98">
        <f t="shared" ca="1" si="25"/>
        <v>13.242984257357975</v>
      </c>
      <c r="AE694" s="99">
        <f t="shared" ca="1" si="24"/>
        <v>46822</v>
      </c>
      <c r="AF694" s="6">
        <v>2.1127675374834776</v>
      </c>
    </row>
    <row r="695" spans="30:32" x14ac:dyDescent="0.2">
      <c r="AD695" s="98">
        <f t="shared" ca="1" si="25"/>
        <v>13.262149212867898</v>
      </c>
      <c r="AE695" s="99">
        <f t="shared" ca="1" si="24"/>
        <v>46829</v>
      </c>
      <c r="AF695" s="6">
        <v>2.1144054661180807</v>
      </c>
    </row>
    <row r="696" spans="30:32" x14ac:dyDescent="0.2">
      <c r="AD696" s="98">
        <f t="shared" ca="1" si="25"/>
        <v>13.281314168377824</v>
      </c>
      <c r="AE696" s="99">
        <f t="shared" ca="1" si="24"/>
        <v>46836</v>
      </c>
      <c r="AF696" s="6">
        <v>2.1160426750688179</v>
      </c>
    </row>
    <row r="697" spans="30:32" x14ac:dyDescent="0.2">
      <c r="AD697" s="98">
        <f t="shared" ca="1" si="25"/>
        <v>13.300479123887747</v>
      </c>
      <c r="AE697" s="99">
        <f t="shared" ca="1" si="24"/>
        <v>46843</v>
      </c>
      <c r="AF697" s="6">
        <v>2.1176790481143488</v>
      </c>
    </row>
    <row r="698" spans="30:32" x14ac:dyDescent="0.2">
      <c r="AD698" s="98">
        <f t="shared" ca="1" si="25"/>
        <v>13.319644079397673</v>
      </c>
      <c r="AE698" s="99">
        <f t="shared" ca="1" si="24"/>
        <v>46850</v>
      </c>
      <c r="AF698" s="6">
        <v>2.1193144690020027</v>
      </c>
    </row>
    <row r="699" spans="30:32" x14ac:dyDescent="0.2">
      <c r="AD699" s="98">
        <f t="shared" ca="1" si="25"/>
        <v>13.338809034907598</v>
      </c>
      <c r="AE699" s="99">
        <f t="shared" ca="1" si="24"/>
        <v>46857</v>
      </c>
      <c r="AF699" s="6">
        <v>2.1209488215736294</v>
      </c>
    </row>
    <row r="700" spans="30:32" x14ac:dyDescent="0.2">
      <c r="AD700" s="98">
        <f t="shared" ca="1" si="25"/>
        <v>13.357973990417522</v>
      </c>
      <c r="AE700" s="99">
        <f t="shared" ca="1" si="24"/>
        <v>46864</v>
      </c>
      <c r="AF700" s="6">
        <v>2.1225819898921392</v>
      </c>
    </row>
    <row r="701" spans="30:32" x14ac:dyDescent="0.2">
      <c r="AD701" s="98">
        <f t="shared" ca="1" si="25"/>
        <v>13.377138945927447</v>
      </c>
      <c r="AE701" s="99">
        <f t="shared" ca="1" si="24"/>
        <v>46871</v>
      </c>
      <c r="AF701" s="6">
        <v>2.1242138583684698</v>
      </c>
    </row>
    <row r="702" spans="30:32" x14ac:dyDescent="0.2">
      <c r="AD702" s="98">
        <f t="shared" ca="1" si="25"/>
        <v>13.396303901437372</v>
      </c>
      <c r="AE702" s="99">
        <f t="shared" ca="1" si="24"/>
        <v>46878</v>
      </c>
      <c r="AF702" s="6">
        <v>2.1258443118886681</v>
      </c>
    </row>
    <row r="703" spans="30:32" x14ac:dyDescent="0.2">
      <c r="AD703" s="98">
        <f t="shared" ca="1" si="25"/>
        <v>13.415468856947296</v>
      </c>
      <c r="AE703" s="99">
        <f t="shared" ca="1" si="24"/>
        <v>46885</v>
      </c>
      <c r="AF703" s="6">
        <v>2.1274732359408239</v>
      </c>
    </row>
    <row r="704" spans="30:32" x14ac:dyDescent="0.2">
      <c r="AD704" s="98">
        <f t="shared" ca="1" si="25"/>
        <v>13.434633812457221</v>
      </c>
      <c r="AE704" s="99">
        <f t="shared" ca="1" si="24"/>
        <v>46892</v>
      </c>
      <c r="AF704" s="6">
        <v>2.1291005167415458</v>
      </c>
    </row>
    <row r="705" spans="30:32" x14ac:dyDescent="0.2">
      <c r="AD705" s="98">
        <f t="shared" ca="1" si="25"/>
        <v>13.453798767967145</v>
      </c>
      <c r="AE705" s="99">
        <f t="shared" ca="1" si="24"/>
        <v>46899</v>
      </c>
      <c r="AF705" s="6">
        <v>2.1307260413616969</v>
      </c>
    </row>
    <row r="706" spans="30:32" x14ac:dyDescent="0.2">
      <c r="AD706" s="98">
        <f t="shared" ca="1" si="25"/>
        <v>13.47296372347707</v>
      </c>
      <c r="AE706" s="99">
        <f t="shared" ca="1" si="24"/>
        <v>46906</v>
      </c>
      <c r="AF706" s="6">
        <v>2.1323496978510974</v>
      </c>
    </row>
    <row r="707" spans="30:32" x14ac:dyDescent="0.2">
      <c r="AD707" s="98">
        <f t="shared" ca="1" si="25"/>
        <v>13.492128678986996</v>
      </c>
      <c r="AE707" s="99">
        <f t="shared" ca="1" si="24"/>
        <v>46913</v>
      </c>
      <c r="AF707" s="6">
        <v>2.1339713753619098</v>
      </c>
    </row>
    <row r="708" spans="30:32" x14ac:dyDescent="0.2">
      <c r="AD708" s="98">
        <f t="shared" ca="1" si="25"/>
        <v>13.511293634496919</v>
      </c>
      <c r="AE708" s="99">
        <f t="shared" ref="AE708:AE771" ca="1" si="26">AE707+7</f>
        <v>46920</v>
      </c>
      <c r="AF708" s="6">
        <v>2.135590964270413</v>
      </c>
    </row>
    <row r="709" spans="30:32" x14ac:dyDescent="0.2">
      <c r="AD709" s="98">
        <f t="shared" ref="AD709:AD772" ca="1" si="27">(AE709-$B$3)/365.25</f>
        <v>13.530458590006845</v>
      </c>
      <c r="AE709" s="99">
        <f t="shared" ca="1" si="26"/>
        <v>46927</v>
      </c>
      <c r="AF709" s="6">
        <v>2.1372083562968971</v>
      </c>
    </row>
    <row r="710" spans="30:32" x14ac:dyDescent="0.2">
      <c r="AD710" s="98">
        <f t="shared" ca="1" si="27"/>
        <v>13.54962354551677</v>
      </c>
      <c r="AE710" s="99">
        <f t="shared" ca="1" si="26"/>
        <v>46934</v>
      </c>
      <c r="AF710" s="6">
        <v>2.1388234446233927</v>
      </c>
    </row>
    <row r="711" spans="30:32" x14ac:dyDescent="0.2">
      <c r="AD711" s="98">
        <f t="shared" ca="1" si="27"/>
        <v>13.568788501026694</v>
      </c>
      <c r="AE711" s="99">
        <f t="shared" ca="1" si="26"/>
        <v>46941</v>
      </c>
      <c r="AF711" s="6">
        <v>2.1404361240089704</v>
      </c>
    </row>
    <row r="712" spans="30:32" x14ac:dyDescent="0.2">
      <c r="AD712" s="98">
        <f t="shared" ca="1" si="27"/>
        <v>13.587953456536619</v>
      </c>
      <c r="AE712" s="99">
        <f t="shared" ca="1" si="26"/>
        <v>46948</v>
      </c>
      <c r="AF712" s="6">
        <v>2.1420462909023548</v>
      </c>
    </row>
    <row r="713" spans="30:32" x14ac:dyDescent="0.2">
      <c r="AD713" s="98">
        <f t="shared" ca="1" si="27"/>
        <v>13.607118412046544</v>
      </c>
      <c r="AE713" s="99">
        <f t="shared" ca="1" si="26"/>
        <v>46955</v>
      </c>
      <c r="AF713" s="6">
        <v>2.1436538435515868</v>
      </c>
    </row>
    <row r="714" spans="30:32" x14ac:dyDescent="0.2">
      <c r="AD714" s="98">
        <f t="shared" ca="1" si="27"/>
        <v>13.626283367556468</v>
      </c>
      <c r="AE714" s="99">
        <f t="shared" ca="1" si="26"/>
        <v>46962</v>
      </c>
      <c r="AF714" s="6">
        <v>2.1452586821105073</v>
      </c>
    </row>
    <row r="715" spans="30:32" x14ac:dyDescent="0.2">
      <c r="AD715" s="98">
        <f t="shared" ca="1" si="27"/>
        <v>13.645448323066393</v>
      </c>
      <c r="AE715" s="99">
        <f t="shared" ca="1" si="26"/>
        <v>46969</v>
      </c>
      <c r="AF715" s="6">
        <v>2.1468607087418108</v>
      </c>
    </row>
    <row r="716" spans="30:32" x14ac:dyDescent="0.2">
      <c r="AD716" s="98">
        <f t="shared" ca="1" si="27"/>
        <v>13.664613278576317</v>
      </c>
      <c r="AE716" s="99">
        <f t="shared" ca="1" si="26"/>
        <v>46976</v>
      </c>
      <c r="AF716" s="6">
        <v>2.1484598277164735</v>
      </c>
    </row>
    <row r="717" spans="30:32" x14ac:dyDescent="0.2">
      <c r="AD717" s="98">
        <f t="shared" ca="1" si="27"/>
        <v>13.683778234086242</v>
      </c>
      <c r="AE717" s="99">
        <f t="shared" ca="1" si="26"/>
        <v>46983</v>
      </c>
      <c r="AF717" s="6">
        <v>2.150055945509314</v>
      </c>
    </row>
    <row r="718" spans="30:32" x14ac:dyDescent="0.2">
      <c r="AD718" s="98">
        <f t="shared" ca="1" si="27"/>
        <v>13.702943189596168</v>
      </c>
      <c r="AE718" s="99">
        <f t="shared" ca="1" si="26"/>
        <v>46990</v>
      </c>
      <c r="AF718" s="6">
        <v>2.1516489708905233</v>
      </c>
    </row>
    <row r="719" spans="30:32" x14ac:dyDescent="0.2">
      <c r="AD719" s="98">
        <f t="shared" ca="1" si="27"/>
        <v>13.722108145106091</v>
      </c>
      <c r="AE719" s="99">
        <f t="shared" ca="1" si="26"/>
        <v>46997</v>
      </c>
      <c r="AF719" s="6">
        <v>2.1532388150129518</v>
      </c>
    </row>
    <row r="720" spans="30:32" x14ac:dyDescent="0.2">
      <c r="AD720" s="98">
        <f t="shared" ca="1" si="27"/>
        <v>13.741273100616016</v>
      </c>
      <c r="AE720" s="99">
        <f t="shared" ca="1" si="26"/>
        <v>47004</v>
      </c>
      <c r="AF720" s="6">
        <v>2.1548253914950095</v>
      </c>
    </row>
    <row r="721" spans="30:32" x14ac:dyDescent="0.2">
      <c r="AD721" s="98">
        <f t="shared" ca="1" si="27"/>
        <v>13.760438056125942</v>
      </c>
      <c r="AE721" s="99">
        <f t="shared" ca="1" si="26"/>
        <v>47011</v>
      </c>
      <c r="AF721" s="6">
        <v>2.1564086164990051</v>
      </c>
    </row>
    <row r="722" spans="30:32" x14ac:dyDescent="0.2">
      <c r="AD722" s="98">
        <f t="shared" ca="1" si="27"/>
        <v>13.779603011635865</v>
      </c>
      <c r="AE722" s="99">
        <f t="shared" ca="1" si="26"/>
        <v>47018</v>
      </c>
      <c r="AF722" s="6">
        <v>2.1579884088048029</v>
      </c>
    </row>
    <row r="723" spans="30:32" x14ac:dyDescent="0.2">
      <c r="AD723" s="98">
        <f t="shared" ca="1" si="27"/>
        <v>13.798767967145791</v>
      </c>
      <c r="AE723" s="99">
        <f t="shared" ca="1" si="26"/>
        <v>47025</v>
      </c>
      <c r="AF723" s="6">
        <v>2.1595646898786502</v>
      </c>
    </row>
    <row r="724" spans="30:32" x14ac:dyDescent="0.2">
      <c r="AD724" s="98">
        <f t="shared" ca="1" si="27"/>
        <v>13.817932922655714</v>
      </c>
      <c r="AE724" s="99">
        <f t="shared" ca="1" si="26"/>
        <v>47032</v>
      </c>
      <c r="AF724" s="6">
        <v>2.1611373839371031</v>
      </c>
    </row>
    <row r="725" spans="30:32" x14ac:dyDescent="0.2">
      <c r="AD725" s="98">
        <f t="shared" ca="1" si="27"/>
        <v>13.83709787816564</v>
      </c>
      <c r="AE725" s="99">
        <f t="shared" ca="1" si="26"/>
        <v>47039</v>
      </c>
      <c r="AF725" s="6">
        <v>2.1627064180059183</v>
      </c>
    </row>
    <row r="726" spans="30:32" x14ac:dyDescent="0.2">
      <c r="AD726" s="98">
        <f t="shared" ca="1" si="27"/>
        <v>13.856262833675565</v>
      </c>
      <c r="AE726" s="99">
        <f t="shared" ca="1" si="26"/>
        <v>47046</v>
      </c>
      <c r="AF726" s="6">
        <v>2.1642717219738672</v>
      </c>
    </row>
    <row r="727" spans="30:32" x14ac:dyDescent="0.2">
      <c r="AD727" s="98">
        <f t="shared" ca="1" si="27"/>
        <v>13.875427789185489</v>
      </c>
      <c r="AE727" s="99">
        <f t="shared" ca="1" si="26"/>
        <v>47053</v>
      </c>
      <c r="AF727" s="6">
        <v>2.1658332286413984</v>
      </c>
    </row>
    <row r="728" spans="30:32" x14ac:dyDescent="0.2">
      <c r="AD728" s="98">
        <f t="shared" ca="1" si="27"/>
        <v>13.894592744695414</v>
      </c>
      <c r="AE728" s="99">
        <f t="shared" ca="1" si="26"/>
        <v>47060</v>
      </c>
      <c r="AF728" s="6">
        <v>2.1673908737641039</v>
      </c>
    </row>
    <row r="729" spans="30:32" x14ac:dyDescent="0.2">
      <c r="AD729" s="98">
        <f t="shared" ca="1" si="27"/>
        <v>13.913757700205339</v>
      </c>
      <c r="AE729" s="99">
        <f t="shared" ca="1" si="26"/>
        <v>47067</v>
      </c>
      <c r="AF729" s="6">
        <v>2.1689445960909732</v>
      </c>
    </row>
    <row r="730" spans="30:32" x14ac:dyDescent="0.2">
      <c r="AD730" s="98">
        <f t="shared" ca="1" si="27"/>
        <v>13.932922655715263</v>
      </c>
      <c r="AE730" s="99">
        <f t="shared" ca="1" si="26"/>
        <v>47074</v>
      </c>
      <c r="AF730" s="6">
        <v>2.1704943373974088</v>
      </c>
    </row>
    <row r="731" spans="30:32" x14ac:dyDescent="0.2">
      <c r="AD731" s="98">
        <f t="shared" ca="1" si="27"/>
        <v>13.952087611225188</v>
      </c>
      <c r="AE731" s="99">
        <f t="shared" ca="1" si="26"/>
        <v>47081</v>
      </c>
      <c r="AF731" s="6">
        <v>2.1720400425130233</v>
      </c>
    </row>
    <row r="732" spans="30:32" x14ac:dyDescent="0.2">
      <c r="AD732" s="98">
        <f t="shared" ca="1" si="27"/>
        <v>13.971252566735114</v>
      </c>
      <c r="AE732" s="99">
        <f t="shared" ca="1" si="26"/>
        <v>47088</v>
      </c>
      <c r="AF732" s="6">
        <v>2.1735816593442232</v>
      </c>
    </row>
    <row r="733" spans="30:32" x14ac:dyDescent="0.2">
      <c r="AD733" s="98">
        <f t="shared" ca="1" si="27"/>
        <v>13.990417522245037</v>
      </c>
      <c r="AE733" s="99">
        <f t="shared" ca="1" si="26"/>
        <v>47095</v>
      </c>
      <c r="AF733" s="6">
        <v>2.1751191388916289</v>
      </c>
    </row>
    <row r="734" spans="30:32" x14ac:dyDescent="0.2">
      <c r="AD734" s="98">
        <f t="shared" ca="1" si="27"/>
        <v>14.009582477754963</v>
      </c>
      <c r="AE734" s="99">
        <f t="shared" ca="1" si="26"/>
        <v>47102</v>
      </c>
      <c r="AF734" s="6">
        <v>2.1766524352623633</v>
      </c>
    </row>
    <row r="735" spans="30:32" x14ac:dyDescent="0.2">
      <c r="AD735" s="98">
        <f t="shared" ca="1" si="27"/>
        <v>14.028747433264886</v>
      </c>
      <c r="AE735" s="99">
        <f t="shared" ca="1" si="26"/>
        <v>47109</v>
      </c>
      <c r="AF735" s="6">
        <v>2.1781815056772884</v>
      </c>
    </row>
    <row r="736" spans="30:32" x14ac:dyDescent="0.2">
      <c r="AD736" s="98">
        <f t="shared" ca="1" si="27"/>
        <v>14.047912388774812</v>
      </c>
      <c r="AE736" s="99">
        <f t="shared" ca="1" si="26"/>
        <v>47116</v>
      </c>
      <c r="AF736" s="6">
        <v>2.1797063104732599</v>
      </c>
    </row>
    <row r="737" spans="30:32" x14ac:dyDescent="0.2">
      <c r="AD737" s="98">
        <f t="shared" ca="1" si="27"/>
        <v>14.067077344284737</v>
      </c>
      <c r="AE737" s="99">
        <f t="shared" ca="1" si="26"/>
        <v>47123</v>
      </c>
      <c r="AF737" s="6">
        <v>2.1812268131004813</v>
      </c>
    </row>
    <row r="738" spans="30:32" x14ac:dyDescent="0.2">
      <c r="AD738" s="98">
        <f t="shared" ca="1" si="27"/>
        <v>14.086242299794661</v>
      </c>
      <c r="AE738" s="99">
        <f t="shared" ca="1" si="26"/>
        <v>47130</v>
      </c>
      <c r="AF738" s="6">
        <v>2.1827429801150777</v>
      </c>
    </row>
    <row r="739" spans="30:32" x14ac:dyDescent="0.2">
      <c r="AD739" s="98">
        <f t="shared" ca="1" si="27"/>
        <v>14.105407255304586</v>
      </c>
      <c r="AE739" s="99">
        <f t="shared" ca="1" si="26"/>
        <v>47137</v>
      </c>
      <c r="AF739" s="6">
        <v>2.184254781166985</v>
      </c>
    </row>
    <row r="740" spans="30:32" x14ac:dyDescent="0.2">
      <c r="AD740" s="98">
        <f t="shared" ca="1" si="27"/>
        <v>14.124572210814511</v>
      </c>
      <c r="AE740" s="99">
        <f t="shared" ca="1" si="26"/>
        <v>47144</v>
      </c>
      <c r="AF740" s="6">
        <v>2.1857621889832872</v>
      </c>
    </row>
    <row r="741" spans="30:32" x14ac:dyDescent="0.2">
      <c r="AD741" s="98">
        <f t="shared" ca="1" si="27"/>
        <v>14.143737166324435</v>
      </c>
      <c r="AE741" s="99">
        <f t="shared" ca="1" si="26"/>
        <v>47151</v>
      </c>
      <c r="AF741" s="6">
        <v>2.1872651793471363</v>
      </c>
    </row>
    <row r="742" spans="30:32" x14ac:dyDescent="0.2">
      <c r="AD742" s="98">
        <f t="shared" ca="1" si="27"/>
        <v>14.16290212183436</v>
      </c>
      <c r="AE742" s="99">
        <f t="shared" ca="1" si="26"/>
        <v>47158</v>
      </c>
      <c r="AF742" s="6">
        <v>2.1887637310723949</v>
      </c>
    </row>
    <row r="743" spans="30:32" x14ac:dyDescent="0.2">
      <c r="AD743" s="98">
        <f t="shared" ca="1" si="27"/>
        <v>14.182067077344286</v>
      </c>
      <c r="AE743" s="99">
        <f t="shared" ca="1" si="26"/>
        <v>47165</v>
      </c>
      <c r="AF743" s="6">
        <v>2.1902578259741565</v>
      </c>
    </row>
    <row r="744" spans="30:32" x14ac:dyDescent="0.2">
      <c r="AD744" s="98">
        <f t="shared" ca="1" si="27"/>
        <v>14.201232032854209</v>
      </c>
      <c r="AE744" s="99">
        <f t="shared" ca="1" si="26"/>
        <v>47172</v>
      </c>
      <c r="AF744" s="6">
        <v>2.1917474488353004</v>
      </c>
    </row>
    <row r="745" spans="30:32" x14ac:dyDescent="0.2">
      <c r="AD745" s="98">
        <f t="shared" ca="1" si="27"/>
        <v>14.220396988364135</v>
      </c>
      <c r="AE745" s="99">
        <f t="shared" ca="1" si="26"/>
        <v>47179</v>
      </c>
      <c r="AF745" s="6">
        <v>2.1932325873692511</v>
      </c>
    </row>
    <row r="746" spans="30:32" x14ac:dyDescent="0.2">
      <c r="AD746" s="98">
        <f t="shared" ca="1" si="27"/>
        <v>14.239561943874058</v>
      </c>
      <c r="AE746" s="99">
        <f t="shared" ca="1" si="26"/>
        <v>47186</v>
      </c>
      <c r="AF746" s="6">
        <v>2.1947132321791103</v>
      </c>
    </row>
    <row r="747" spans="30:32" x14ac:dyDescent="0.2">
      <c r="AD747" s="98">
        <f t="shared" ca="1" si="27"/>
        <v>14.258726899383984</v>
      </c>
      <c r="AE747" s="99">
        <f t="shared" ca="1" si="26"/>
        <v>47193</v>
      </c>
      <c r="AF747" s="6">
        <v>2.1961893767133445</v>
      </c>
    </row>
    <row r="748" spans="30:32" x14ac:dyDescent="0.2">
      <c r="AD748" s="98">
        <f t="shared" ca="1" si="27"/>
        <v>14.277891854893909</v>
      </c>
      <c r="AE748" s="99">
        <f t="shared" ca="1" si="26"/>
        <v>47200</v>
      </c>
      <c r="AF748" s="6">
        <v>2.1976610172182078</v>
      </c>
    </row>
    <row r="749" spans="30:32" x14ac:dyDescent="0.2">
      <c r="AD749" s="98">
        <f t="shared" ca="1" si="27"/>
        <v>14.297056810403832</v>
      </c>
      <c r="AE749" s="99">
        <f t="shared" ca="1" si="26"/>
        <v>47207</v>
      </c>
      <c r="AF749" s="6">
        <v>2.1991281526870852</v>
      </c>
    </row>
    <row r="750" spans="30:32" x14ac:dyDescent="0.2">
      <c r="AD750" s="98">
        <f t="shared" ca="1" si="27"/>
        <v>14.316221765913758</v>
      </c>
      <c r="AE750" s="99">
        <f t="shared" ca="1" si="26"/>
        <v>47214</v>
      </c>
      <c r="AF750" s="6">
        <v>2.2005907848069457</v>
      </c>
    </row>
    <row r="751" spans="30:32" x14ac:dyDescent="0.2">
      <c r="AD751" s="98">
        <f t="shared" ca="1" si="27"/>
        <v>14.335386721423683</v>
      </c>
      <c r="AE751" s="99">
        <f t="shared" ca="1" si="26"/>
        <v>47221</v>
      </c>
      <c r="AF751" s="6">
        <v>2.2020489179020961</v>
      </c>
    </row>
    <row r="752" spans="30:32" x14ac:dyDescent="0.2">
      <c r="AD752" s="98">
        <f t="shared" ca="1" si="27"/>
        <v>14.354551676933607</v>
      </c>
      <c r="AE752" s="99">
        <f t="shared" ca="1" si="26"/>
        <v>47228</v>
      </c>
      <c r="AF752" s="6">
        <v>2.2035025588754333</v>
      </c>
    </row>
    <row r="753" spans="30:32" x14ac:dyDescent="0.2">
      <c r="AD753" s="98">
        <f t="shared" ca="1" si="27"/>
        <v>14.373716632443532</v>
      </c>
      <c r="AE753" s="99">
        <f t="shared" ca="1" si="26"/>
        <v>47235</v>
      </c>
      <c r="AF753" s="6">
        <v>2.2049517171473769</v>
      </c>
    </row>
    <row r="754" spans="30:32" x14ac:dyDescent="0.2">
      <c r="AD754" s="98">
        <f t="shared" ca="1" si="27"/>
        <v>14.392881587953456</v>
      </c>
      <c r="AE754" s="99">
        <f t="shared" ca="1" si="26"/>
        <v>47242</v>
      </c>
      <c r="AF754" s="6">
        <v>2.2063964045926796</v>
      </c>
    </row>
    <row r="755" spans="30:32" x14ac:dyDescent="0.2">
      <c r="AD755" s="98">
        <f t="shared" ca="1" si="27"/>
        <v>14.412046543463381</v>
      </c>
      <c r="AE755" s="99">
        <f t="shared" ca="1" si="26"/>
        <v>47249</v>
      </c>
      <c r="AF755" s="6">
        <v>2.2078366354753149</v>
      </c>
    </row>
    <row r="756" spans="30:32" x14ac:dyDescent="0.2">
      <c r="AD756" s="98">
        <f t="shared" ca="1" si="27"/>
        <v>14.431211498973306</v>
      </c>
      <c r="AE756" s="99">
        <f t="shared" ca="1" si="26"/>
        <v>47256</v>
      </c>
      <c r="AF756" s="6">
        <v>2.2092724263816246</v>
      </c>
    </row>
    <row r="757" spans="30:32" x14ac:dyDescent="0.2">
      <c r="AD757" s="98">
        <f t="shared" ca="1" si="27"/>
        <v>14.45037645448323</v>
      </c>
      <c r="AE757" s="99">
        <f t="shared" ca="1" si="26"/>
        <v>47263</v>
      </c>
      <c r="AF757" s="6">
        <v>2.2107037961519103</v>
      </c>
    </row>
    <row r="758" spans="30:32" x14ac:dyDescent="0.2">
      <c r="AD758" s="98">
        <f t="shared" ca="1" si="27"/>
        <v>14.469541409993155</v>
      </c>
      <c r="AE758" s="99">
        <f t="shared" ca="1" si="26"/>
        <v>47270</v>
      </c>
      <c r="AF758" s="6">
        <v>2.2121307658106675</v>
      </c>
    </row>
    <row r="759" spans="30:32" x14ac:dyDescent="0.2">
      <c r="AD759" s="98">
        <f t="shared" ca="1" si="27"/>
        <v>14.488706365503081</v>
      </c>
      <c r="AE759" s="99">
        <f t="shared" ca="1" si="26"/>
        <v>47277</v>
      </c>
      <c r="AF759" s="6">
        <v>2.2135533584956368</v>
      </c>
    </row>
    <row r="760" spans="30:32" x14ac:dyDescent="0.2">
      <c r="AD760" s="98">
        <f t="shared" ca="1" si="27"/>
        <v>14.507871321013004</v>
      </c>
      <c r="AE760" s="99">
        <f t="shared" ca="1" si="26"/>
        <v>47284</v>
      </c>
      <c r="AF760" s="6">
        <v>2.214971599385855</v>
      </c>
    </row>
    <row r="761" spans="30:32" x14ac:dyDescent="0.2">
      <c r="AD761" s="98">
        <f t="shared" ca="1" si="27"/>
        <v>14.52703627652293</v>
      </c>
      <c r="AE761" s="99">
        <f t="shared" ca="1" si="26"/>
        <v>47291</v>
      </c>
      <c r="AF761" s="6">
        <v>2.216385515628875</v>
      </c>
    </row>
    <row r="762" spans="30:32" x14ac:dyDescent="0.2">
      <c r="AD762" s="98">
        <f t="shared" ca="1" si="27"/>
        <v>14.546201232032855</v>
      </c>
      <c r="AE762" s="99">
        <f t="shared" ca="1" si="26"/>
        <v>47298</v>
      </c>
      <c r="AF762" s="6">
        <v>2.2177951362673345</v>
      </c>
    </row>
    <row r="763" spans="30:32" x14ac:dyDescent="0.2">
      <c r="AD763" s="98">
        <f t="shared" ca="1" si="27"/>
        <v>14.565366187542779</v>
      </c>
      <c r="AE763" s="99">
        <f t="shared" ca="1" si="26"/>
        <v>47305</v>
      </c>
      <c r="AF763" s="6">
        <v>2.2192004921650375</v>
      </c>
    </row>
    <row r="764" spans="30:32" x14ac:dyDescent="0.2">
      <c r="AD764" s="98">
        <f t="shared" ca="1" si="27"/>
        <v>14.584531143052704</v>
      </c>
      <c r="AE764" s="99">
        <f t="shared" ca="1" si="26"/>
        <v>47312</v>
      </c>
      <c r="AF764" s="6">
        <v>2.2206016159326967</v>
      </c>
    </row>
    <row r="765" spans="30:32" x14ac:dyDescent="0.2">
      <c r="AD765" s="98">
        <f t="shared" ca="1" si="27"/>
        <v>14.603696098562628</v>
      </c>
      <c r="AE765" s="99">
        <f t="shared" ca="1" si="26"/>
        <v>47319</v>
      </c>
      <c r="AF765" s="6">
        <v>2.2219985418535146</v>
      </c>
    </row>
    <row r="766" spans="30:32" x14ac:dyDescent="0.2">
      <c r="AD766" s="98">
        <f t="shared" ca="1" si="27"/>
        <v>14.622861054072553</v>
      </c>
      <c r="AE766" s="99">
        <f t="shared" ca="1" si="26"/>
        <v>47326</v>
      </c>
      <c r="AF766" s="6">
        <v>2.2233913058087316</v>
      </c>
    </row>
    <row r="767" spans="30:32" x14ac:dyDescent="0.2">
      <c r="AD767" s="98">
        <f t="shared" ca="1" si="27"/>
        <v>14.642026009582478</v>
      </c>
      <c r="AE767" s="99">
        <f t="shared" ca="1" si="26"/>
        <v>47333</v>
      </c>
      <c r="AF767" s="6">
        <v>2.2247799452032964</v>
      </c>
    </row>
    <row r="768" spans="30:32" x14ac:dyDescent="0.2">
      <c r="AD768" s="98">
        <f t="shared" ca="1" si="27"/>
        <v>14.661190965092402</v>
      </c>
      <c r="AE768" s="99">
        <f t="shared" ca="1" si="26"/>
        <v>47340</v>
      </c>
      <c r="AF768" s="6">
        <v>2.2261644988917957</v>
      </c>
    </row>
    <row r="769" spans="30:32" x14ac:dyDescent="0.2">
      <c r="AD769" s="98">
        <f t="shared" ca="1" si="27"/>
        <v>14.680355920602327</v>
      </c>
      <c r="AE769" s="99">
        <f t="shared" ca="1" si="26"/>
        <v>47347</v>
      </c>
      <c r="AF769" s="6">
        <v>2.2275450071047653</v>
      </c>
    </row>
    <row r="770" spans="30:32" x14ac:dyDescent="0.2">
      <c r="AD770" s="98">
        <f t="shared" ca="1" si="27"/>
        <v>14.699520876112253</v>
      </c>
      <c r="AE770" s="99">
        <f t="shared" ca="1" si="26"/>
        <v>47354</v>
      </c>
      <c r="AF770" s="6">
        <v>2.2289215113755168</v>
      </c>
    </row>
    <row r="771" spans="30:32" x14ac:dyDescent="0.2">
      <c r="AD771" s="98">
        <f t="shared" ca="1" si="27"/>
        <v>14.718685831622176</v>
      </c>
      <c r="AE771" s="99">
        <f t="shared" ca="1" si="26"/>
        <v>47361</v>
      </c>
      <c r="AF771" s="6">
        <v>2.2302940544675964</v>
      </c>
    </row>
    <row r="772" spans="30:32" x14ac:dyDescent="0.2">
      <c r="AD772" s="98">
        <f t="shared" ca="1" si="27"/>
        <v>14.737850787132102</v>
      </c>
      <c r="AE772" s="99">
        <f t="shared" ref="AE772:AE835" ca="1" si="28">AE771+7</f>
        <v>47368</v>
      </c>
      <c r="AF772" s="6">
        <v>2.2316626803029775</v>
      </c>
    </row>
    <row r="773" spans="30:32" x14ac:dyDescent="0.2">
      <c r="AD773" s="98">
        <f t="shared" ref="AD773:AD836" ca="1" si="29">(AE773-$B$3)/365.25</f>
        <v>14.757015742642025</v>
      </c>
      <c r="AE773" s="99">
        <f t="shared" ca="1" si="28"/>
        <v>47375</v>
      </c>
      <c r="AF773" s="6">
        <v>2.2330274338911065</v>
      </c>
    </row>
    <row r="774" spans="30:32" x14ac:dyDescent="0.2">
      <c r="AD774" s="98">
        <f t="shared" ca="1" si="29"/>
        <v>14.776180698151951</v>
      </c>
      <c r="AE774" s="99">
        <f t="shared" ca="1" si="28"/>
        <v>47382</v>
      </c>
      <c r="AF774" s="6">
        <v>2.2343883612588868</v>
      </c>
    </row>
    <row r="775" spans="30:32" x14ac:dyDescent="0.2">
      <c r="AD775" s="98">
        <f t="shared" ca="1" si="29"/>
        <v>14.795345653661876</v>
      </c>
      <c r="AE775" s="99">
        <f t="shared" ca="1" si="28"/>
        <v>47389</v>
      </c>
      <c r="AF775" s="6">
        <v>2.2357455093817</v>
      </c>
    </row>
    <row r="776" spans="30:32" x14ac:dyDescent="0.2">
      <c r="AD776" s="98">
        <f t="shared" ca="1" si="29"/>
        <v>14.8145106091718</v>
      </c>
      <c r="AE776" s="99">
        <f t="shared" ca="1" si="28"/>
        <v>47396</v>
      </c>
      <c r="AF776" s="6">
        <v>2.2370989261155469</v>
      </c>
    </row>
    <row r="777" spans="30:32" x14ac:dyDescent="0.2">
      <c r="AD777" s="98">
        <f t="shared" ca="1" si="29"/>
        <v>14.833675564681725</v>
      </c>
      <c r="AE777" s="99">
        <f t="shared" ca="1" si="28"/>
        <v>47403</v>
      </c>
      <c r="AF777" s="6">
        <v>2.238448660130381</v>
      </c>
    </row>
    <row r="778" spans="30:32" x14ac:dyDescent="0.2">
      <c r="AD778" s="98">
        <f t="shared" ca="1" si="29"/>
        <v>14.85284052019165</v>
      </c>
      <c r="AE778" s="99">
        <f t="shared" ca="1" si="28"/>
        <v>47410</v>
      </c>
      <c r="AF778" s="6">
        <v>2.2397947608447222</v>
      </c>
    </row>
    <row r="779" spans="30:32" x14ac:dyDescent="0.2">
      <c r="AD779" s="98">
        <f t="shared" ca="1" si="29"/>
        <v>14.872005475701574</v>
      </c>
      <c r="AE779" s="99">
        <f t="shared" ca="1" si="28"/>
        <v>47417</v>
      </c>
      <c r="AF779" s="6">
        <v>2.2411372783615899</v>
      </c>
    </row>
    <row r="780" spans="30:32" x14ac:dyDescent="0.2">
      <c r="AD780" s="98">
        <f t="shared" ca="1" si="29"/>
        <v>14.891170431211499</v>
      </c>
      <c r="AE780" s="99">
        <f t="shared" ca="1" si="28"/>
        <v>47424</v>
      </c>
      <c r="AF780" s="6">
        <v>2.242476263405845</v>
      </c>
    </row>
    <row r="781" spans="30:32" x14ac:dyDescent="0.2">
      <c r="AD781" s="98">
        <f t="shared" ca="1" si="29"/>
        <v>14.910335386721425</v>
      </c>
      <c r="AE781" s="99">
        <f t="shared" ca="1" si="28"/>
        <v>47431</v>
      </c>
      <c r="AF781" s="6">
        <v>2.2438117672629692</v>
      </c>
    </row>
    <row r="782" spans="30:32" x14ac:dyDescent="0.2">
      <c r="AD782" s="98">
        <f t="shared" ca="1" si="29"/>
        <v>14.929500342231348</v>
      </c>
      <c r="AE782" s="99">
        <f t="shared" ca="1" si="28"/>
        <v>47438</v>
      </c>
      <c r="AF782" s="6">
        <v>2.2451438417193361</v>
      </c>
    </row>
    <row r="783" spans="30:32" x14ac:dyDescent="0.2">
      <c r="AD783" s="98">
        <f t="shared" ca="1" si="29"/>
        <v>14.948665297741274</v>
      </c>
      <c r="AE783" s="99">
        <f t="shared" ca="1" si="28"/>
        <v>47445</v>
      </c>
      <c r="AF783" s="6">
        <v>2.2464725390040341</v>
      </c>
    </row>
    <row r="784" spans="30:32" x14ac:dyDescent="0.2">
      <c r="AD784" s="98">
        <f t="shared" ca="1" si="29"/>
        <v>14.967830253251197</v>
      </c>
      <c r="AE784" s="99">
        <f t="shared" ca="1" si="28"/>
        <v>47452</v>
      </c>
      <c r="AF784" s="6">
        <v>2.2477979117322398</v>
      </c>
    </row>
    <row r="785" spans="30:32" x14ac:dyDescent="0.2">
      <c r="AD785" s="98">
        <f t="shared" ca="1" si="29"/>
        <v>14.986995208761122</v>
      </c>
      <c r="AE785" s="99">
        <f t="shared" ca="1" si="28"/>
        <v>47459</v>
      </c>
      <c r="AF785" s="6">
        <v>2.2491200128502085</v>
      </c>
    </row>
    <row r="786" spans="30:32" x14ac:dyDescent="0.2">
      <c r="AD786" s="98">
        <f t="shared" ca="1" si="29"/>
        <v>15.006160164271048</v>
      </c>
      <c r="AE786" s="99">
        <f t="shared" ca="1" si="28"/>
        <v>47466</v>
      </c>
      <c r="AF786" s="6">
        <v>2.2504391107626329</v>
      </c>
    </row>
    <row r="787" spans="30:32" x14ac:dyDescent="0.2">
      <c r="AD787" s="98">
        <f t="shared" ca="1" si="29"/>
        <v>15.025325119780971</v>
      </c>
      <c r="AE787" s="99">
        <f t="shared" ca="1" si="28"/>
        <v>47473</v>
      </c>
      <c r="AF787" s="6">
        <v>2.2517582289481135</v>
      </c>
    </row>
    <row r="788" spans="30:32" x14ac:dyDescent="0.2">
      <c r="AD788" s="98">
        <f t="shared" ca="1" si="29"/>
        <v>15.044490075290897</v>
      </c>
      <c r="AE788" s="99">
        <f t="shared" ca="1" si="28"/>
        <v>47480</v>
      </c>
      <c r="AF788" s="6">
        <v>2.2530783123559921</v>
      </c>
    </row>
    <row r="789" spans="30:32" x14ac:dyDescent="0.2">
      <c r="AD789" s="98">
        <f t="shared" ca="1" si="29"/>
        <v>15.063655030800822</v>
      </c>
      <c r="AE789" s="99">
        <f t="shared" ca="1" si="28"/>
        <v>47487</v>
      </c>
      <c r="AF789" s="6">
        <v>2.2543993408676086</v>
      </c>
    </row>
    <row r="790" spans="30:32" x14ac:dyDescent="0.2">
      <c r="AD790" s="98">
        <f t="shared" ca="1" si="29"/>
        <v>15.082819986310746</v>
      </c>
      <c r="AE790" s="99">
        <f t="shared" ca="1" si="28"/>
        <v>47494</v>
      </c>
      <c r="AF790" s="6">
        <v>2.2557212938869307</v>
      </c>
    </row>
    <row r="791" spans="30:32" x14ac:dyDescent="0.2">
      <c r="AD791" s="98">
        <f t="shared" ca="1" si="29"/>
        <v>15.101984941820671</v>
      </c>
      <c r="AE791" s="99">
        <f t="shared" ca="1" si="28"/>
        <v>47501</v>
      </c>
      <c r="AF791" s="6">
        <v>2.2570441503376015</v>
      </c>
    </row>
    <row r="792" spans="30:32" x14ac:dyDescent="0.2">
      <c r="AD792" s="98">
        <f t="shared" ca="1" si="29"/>
        <v>15.121149897330595</v>
      </c>
      <c r="AE792" s="99">
        <f t="shared" ca="1" si="28"/>
        <v>47508</v>
      </c>
      <c r="AF792" s="6">
        <v>2.2583678886601262</v>
      </c>
    </row>
    <row r="793" spans="30:32" x14ac:dyDescent="0.2">
      <c r="AD793" s="98">
        <f t="shared" ca="1" si="29"/>
        <v>15.14031485284052</v>
      </c>
      <c r="AE793" s="99">
        <f t="shared" ca="1" si="28"/>
        <v>47515</v>
      </c>
      <c r="AF793" s="6">
        <v>2.2596924868092207</v>
      </c>
    </row>
    <row r="794" spans="30:32" x14ac:dyDescent="0.2">
      <c r="AD794" s="98">
        <f t="shared" ca="1" si="29"/>
        <v>15.159479808350445</v>
      </c>
      <c r="AE794" s="99">
        <f t="shared" ca="1" si="28"/>
        <v>47522</v>
      </c>
      <c r="AF794" s="6">
        <v>2.2610179222513156</v>
      </c>
    </row>
    <row r="795" spans="30:32" x14ac:dyDescent="0.2">
      <c r="AD795" s="98">
        <f t="shared" ca="1" si="29"/>
        <v>15.178644763860369</v>
      </c>
      <c r="AE795" s="99">
        <f t="shared" ca="1" si="28"/>
        <v>47529</v>
      </c>
      <c r="AF795" s="6">
        <v>2.2623441719622286</v>
      </c>
    </row>
    <row r="796" spans="30:32" x14ac:dyDescent="0.2">
      <c r="AD796" s="98">
        <f t="shared" ca="1" si="29"/>
        <v>15.197809719370294</v>
      </c>
      <c r="AE796" s="99">
        <f t="shared" ca="1" si="28"/>
        <v>47536</v>
      </c>
      <c r="AF796" s="6">
        <v>2.2636712124250105</v>
      </c>
    </row>
    <row r="797" spans="30:32" x14ac:dyDescent="0.2">
      <c r="AD797" s="98">
        <f t="shared" ca="1" si="29"/>
        <v>15.21697467488022</v>
      </c>
      <c r="AE797" s="99">
        <f t="shared" ca="1" si="28"/>
        <v>47543</v>
      </c>
      <c r="AF797" s="6">
        <v>2.2649990196279659</v>
      </c>
    </row>
    <row r="798" spans="30:32" x14ac:dyDescent="0.2">
      <c r="AD798" s="98">
        <f t="shared" ca="1" si="29"/>
        <v>15.236139630390143</v>
      </c>
      <c r="AE798" s="99">
        <f t="shared" ca="1" si="28"/>
        <v>47550</v>
      </c>
      <c r="AF798" s="6">
        <v>2.2663275690628648</v>
      </c>
    </row>
    <row r="799" spans="30:32" x14ac:dyDescent="0.2">
      <c r="AD799" s="98">
        <f t="shared" ca="1" si="29"/>
        <v>15.255304585900069</v>
      </c>
      <c r="AE799" s="99">
        <f t="shared" ca="1" si="28"/>
        <v>47557</v>
      </c>
      <c r="AF799" s="6">
        <v>2.2676568357233307</v>
      </c>
    </row>
    <row r="800" spans="30:32" x14ac:dyDescent="0.2">
      <c r="AD800" s="98">
        <f t="shared" ca="1" si="29"/>
        <v>15.274469541409994</v>
      </c>
      <c r="AE800" s="99">
        <f t="shared" ca="1" si="28"/>
        <v>47564</v>
      </c>
      <c r="AF800" s="6">
        <v>2.2689867941034443</v>
      </c>
    </row>
    <row r="801" spans="30:32" x14ac:dyDescent="0.2">
      <c r="AD801" s="98">
        <f t="shared" ca="1" si="29"/>
        <v>15.293634496919918</v>
      </c>
      <c r="AE801" s="99">
        <f t="shared" ca="1" si="28"/>
        <v>47571</v>
      </c>
      <c r="AF801" s="6">
        <v>2.2703174181965324</v>
      </c>
    </row>
    <row r="802" spans="30:32" x14ac:dyDescent="0.2">
      <c r="AD802" s="98">
        <f t="shared" ca="1" si="29"/>
        <v>15.312799452429843</v>
      </c>
      <c r="AE802" s="99">
        <f t="shared" ca="1" si="28"/>
        <v>47578</v>
      </c>
      <c r="AF802" s="6">
        <v>2.2716486814941712</v>
      </c>
    </row>
    <row r="803" spans="30:32" x14ac:dyDescent="0.2">
      <c r="AD803" s="98">
        <f t="shared" ca="1" si="29"/>
        <v>15.331964407939767</v>
      </c>
      <c r="AE803" s="99">
        <f t="shared" ca="1" si="28"/>
        <v>47585</v>
      </c>
      <c r="AF803" s="6">
        <v>2.2729805569854058</v>
      </c>
    </row>
    <row r="804" spans="30:32" x14ac:dyDescent="0.2">
      <c r="AD804" s="98">
        <f t="shared" ca="1" si="29"/>
        <v>15.351129363449692</v>
      </c>
      <c r="AE804" s="99">
        <f t="shared" ca="1" si="28"/>
        <v>47592</v>
      </c>
      <c r="AF804" s="6">
        <v>2.2743130171561861</v>
      </c>
    </row>
    <row r="805" spans="30:32" x14ac:dyDescent="0.2">
      <c r="AD805" s="98">
        <f t="shared" ca="1" si="29"/>
        <v>15.370294318959617</v>
      </c>
      <c r="AE805" s="99">
        <f t="shared" ca="1" si="28"/>
        <v>47599</v>
      </c>
      <c r="AF805" s="6">
        <v>2.2756460339890294</v>
      </c>
    </row>
    <row r="806" spans="30:32" x14ac:dyDescent="0.2">
      <c r="AD806" s="98">
        <f t="shared" ca="1" si="29"/>
        <v>15.389459274469541</v>
      </c>
      <c r="AE806" s="99">
        <f t="shared" ca="1" si="28"/>
        <v>47606</v>
      </c>
      <c r="AF806" s="6">
        <v>2.2769795789629166</v>
      </c>
    </row>
    <row r="807" spans="30:32" x14ac:dyDescent="0.2">
      <c r="AD807" s="98">
        <f t="shared" ca="1" si="29"/>
        <v>15.408624229979466</v>
      </c>
      <c r="AE807" s="99">
        <f t="shared" ca="1" si="28"/>
        <v>47613</v>
      </c>
      <c r="AF807" s="6">
        <v>2.2783136230534229</v>
      </c>
    </row>
    <row r="808" spans="30:32" x14ac:dyDescent="0.2">
      <c r="AD808" s="98">
        <f t="shared" ca="1" si="29"/>
        <v>15.427789185489392</v>
      </c>
      <c r="AE808" s="99">
        <f t="shared" ca="1" si="28"/>
        <v>47620</v>
      </c>
      <c r="AF808" s="6">
        <v>2.2796481367330959</v>
      </c>
    </row>
    <row r="809" spans="30:32" x14ac:dyDescent="0.2">
      <c r="AD809" s="98">
        <f t="shared" ca="1" si="29"/>
        <v>15.446954140999315</v>
      </c>
      <c r="AE809" s="99">
        <f t="shared" ca="1" si="28"/>
        <v>47627</v>
      </c>
      <c r="AF809" s="6">
        <v>2.2809830899720813</v>
      </c>
    </row>
    <row r="810" spans="30:32" x14ac:dyDescent="0.2">
      <c r="AD810" s="98">
        <f t="shared" ca="1" si="29"/>
        <v>15.466119096509241</v>
      </c>
      <c r="AE810" s="99">
        <f t="shared" ca="1" si="28"/>
        <v>47634</v>
      </c>
      <c r="AF810" s="6">
        <v>2.2823184522389997</v>
      </c>
    </row>
    <row r="811" spans="30:32" x14ac:dyDescent="0.2">
      <c r="AD811" s="98">
        <f t="shared" ca="1" si="29"/>
        <v>15.485284052019164</v>
      </c>
      <c r="AE811" s="99">
        <f t="shared" ca="1" si="28"/>
        <v>47641</v>
      </c>
      <c r="AF811" s="6">
        <v>2.2836541925020928</v>
      </c>
    </row>
    <row r="812" spans="30:32" x14ac:dyDescent="0.2">
      <c r="AD812" s="98">
        <f t="shared" ca="1" si="29"/>
        <v>15.504449007529089</v>
      </c>
      <c r="AE812" s="99">
        <f t="shared" ca="1" si="28"/>
        <v>47648</v>
      </c>
      <c r="AF812" s="6">
        <v>2.2849902792306258</v>
      </c>
    </row>
    <row r="813" spans="30:32" x14ac:dyDescent="0.2">
      <c r="AD813" s="98">
        <f t="shared" ca="1" si="29"/>
        <v>15.523613963039015</v>
      </c>
      <c r="AE813" s="99">
        <f t="shared" ca="1" si="28"/>
        <v>47655</v>
      </c>
      <c r="AF813" s="6">
        <v>2.2863266803965718</v>
      </c>
    </row>
    <row r="814" spans="30:32" x14ac:dyDescent="0.2">
      <c r="AD814" s="98">
        <f t="shared" ca="1" si="29"/>
        <v>15.542778918548938</v>
      </c>
      <c r="AE814" s="99">
        <f t="shared" ca="1" si="28"/>
        <v>47662</v>
      </c>
      <c r="AF814" s="6">
        <v>2.287663363476562</v>
      </c>
    </row>
    <row r="815" spans="30:32" x14ac:dyDescent="0.2">
      <c r="AD815" s="98">
        <f t="shared" ca="1" si="29"/>
        <v>15.561943874058864</v>
      </c>
      <c r="AE815" s="99">
        <f t="shared" ca="1" si="28"/>
        <v>47669</v>
      </c>
      <c r="AF815" s="6">
        <v>2.2890002954541302</v>
      </c>
    </row>
    <row r="816" spans="30:32" x14ac:dyDescent="0.2">
      <c r="AD816" s="98">
        <f t="shared" ca="1" si="29"/>
        <v>15.581108829568789</v>
      </c>
      <c r="AE816" s="99">
        <f t="shared" ca="1" si="28"/>
        <v>47676</v>
      </c>
      <c r="AF816" s="6">
        <v>2.2903374428222349</v>
      </c>
    </row>
    <row r="817" spans="30:32" x14ac:dyDescent="0.2">
      <c r="AD817" s="98">
        <f t="shared" ca="1" si="29"/>
        <v>15.600273785078713</v>
      </c>
      <c r="AE817" s="99">
        <f t="shared" ca="1" si="28"/>
        <v>47683</v>
      </c>
      <c r="AF817" s="6">
        <v>2.2916747715860786</v>
      </c>
    </row>
    <row r="818" spans="30:32" x14ac:dyDescent="0.2">
      <c r="AD818" s="98">
        <f t="shared" ca="1" si="29"/>
        <v>15.619438740588638</v>
      </c>
      <c r="AE818" s="99">
        <f t="shared" ca="1" si="28"/>
        <v>47690</v>
      </c>
      <c r="AF818" s="6">
        <v>2.2930122472662298</v>
      </c>
    </row>
    <row r="819" spans="30:32" x14ac:dyDescent="0.2">
      <c r="AD819" s="98">
        <f t="shared" ca="1" si="29"/>
        <v>15.638603696098563</v>
      </c>
      <c r="AE819" s="99">
        <f t="shared" ca="1" si="28"/>
        <v>47697</v>
      </c>
      <c r="AF819" s="6">
        <v>2.2943498349020293</v>
      </c>
    </row>
    <row r="820" spans="30:32" x14ac:dyDescent="0.2">
      <c r="AD820" s="98">
        <f t="shared" ca="1" si="29"/>
        <v>15.657768651608487</v>
      </c>
      <c r="AE820" s="99">
        <f t="shared" ca="1" si="28"/>
        <v>47704</v>
      </c>
      <c r="AF820" s="6">
        <v>2.2956874990553313</v>
      </c>
    </row>
    <row r="821" spans="30:32" x14ac:dyDescent="0.2">
      <c r="AD821" s="98">
        <f t="shared" ca="1" si="29"/>
        <v>15.676933607118412</v>
      </c>
      <c r="AE821" s="99">
        <f t="shared" ca="1" si="28"/>
        <v>47711</v>
      </c>
      <c r="AF821" s="6">
        <v>2.2970252038145271</v>
      </c>
    </row>
    <row r="822" spans="30:32" x14ac:dyDescent="0.2">
      <c r="AD822" s="98">
        <f t="shared" ca="1" si="29"/>
        <v>15.696098562628336</v>
      </c>
      <c r="AE822" s="99">
        <f t="shared" ca="1" si="28"/>
        <v>47718</v>
      </c>
      <c r="AF822" s="6">
        <v>2.2983629127989031</v>
      </c>
    </row>
    <row r="823" spans="30:32" x14ac:dyDescent="0.2">
      <c r="AD823" s="98">
        <f t="shared" ca="1" si="29"/>
        <v>15.715263518138261</v>
      </c>
      <c r="AE823" s="99">
        <f t="shared" ca="1" si="28"/>
        <v>47725</v>
      </c>
      <c r="AF823" s="6">
        <v>2.2997005891633182</v>
      </c>
    </row>
    <row r="824" spans="30:32" x14ac:dyDescent="0.2">
      <c r="AD824" s="98">
        <f t="shared" ca="1" si="29"/>
        <v>15.734428473648187</v>
      </c>
      <c r="AE824" s="99">
        <f t="shared" ca="1" si="28"/>
        <v>47732</v>
      </c>
      <c r="AF824" s="6">
        <v>2.3010381956031889</v>
      </c>
    </row>
    <row r="825" spans="30:32" x14ac:dyDescent="0.2">
      <c r="AD825" s="98">
        <f t="shared" ca="1" si="29"/>
        <v>15.75359342915811</v>
      </c>
      <c r="AE825" s="99">
        <f t="shared" ca="1" si="28"/>
        <v>47739</v>
      </c>
      <c r="AF825" s="6">
        <v>2.302375694359819</v>
      </c>
    </row>
    <row r="826" spans="30:32" x14ac:dyDescent="0.2">
      <c r="AD826" s="98">
        <f t="shared" ca="1" si="29"/>
        <v>15.772758384668036</v>
      </c>
      <c r="AE826" s="99">
        <f t="shared" ca="1" si="28"/>
        <v>47746</v>
      </c>
      <c r="AF826" s="6">
        <v>2.3037130472260552</v>
      </c>
    </row>
    <row r="827" spans="30:32" x14ac:dyDescent="0.2">
      <c r="AD827" s="98">
        <f t="shared" ca="1" si="29"/>
        <v>15.791923340177961</v>
      </c>
      <c r="AE827" s="99">
        <f t="shared" ca="1" si="28"/>
        <v>47753</v>
      </c>
      <c r="AF827" s="6">
        <v>2.3050502155522694</v>
      </c>
    </row>
    <row r="828" spans="30:32" x14ac:dyDescent="0.2">
      <c r="AD828" s="98">
        <f t="shared" ca="1" si="29"/>
        <v>15.811088295687885</v>
      </c>
      <c r="AE828" s="99">
        <f t="shared" ca="1" si="28"/>
        <v>47760</v>
      </c>
      <c r="AF828" s="6">
        <v>2.306387160252688</v>
      </c>
    </row>
    <row r="829" spans="30:32" x14ac:dyDescent="0.2">
      <c r="AD829" s="98">
        <f t="shared" ca="1" si="29"/>
        <v>15.83025325119781</v>
      </c>
      <c r="AE829" s="99">
        <f t="shared" ca="1" si="28"/>
        <v>47767</v>
      </c>
      <c r="AF829" s="6">
        <v>2.3077238418120554</v>
      </c>
    </row>
    <row r="830" spans="30:32" x14ac:dyDescent="0.2">
      <c r="AD830" s="98">
        <f t="shared" ca="1" si="29"/>
        <v>15.849418206707734</v>
      </c>
      <c r="AE830" s="99">
        <f t="shared" ca="1" si="28"/>
        <v>47774</v>
      </c>
      <c r="AF830" s="6">
        <v>2.3090602202926425</v>
      </c>
    </row>
    <row r="831" spans="30:32" x14ac:dyDescent="0.2">
      <c r="AD831" s="98">
        <f t="shared" ca="1" si="29"/>
        <v>15.868583162217659</v>
      </c>
      <c r="AE831" s="99">
        <f t="shared" ca="1" si="28"/>
        <v>47781</v>
      </c>
      <c r="AF831" s="6">
        <v>2.3103962553415922</v>
      </c>
    </row>
    <row r="832" spans="30:32" x14ac:dyDescent="0.2">
      <c r="AD832" s="98">
        <f t="shared" ca="1" si="29"/>
        <v>15.887748117727584</v>
      </c>
      <c r="AE832" s="99">
        <f t="shared" ca="1" si="28"/>
        <v>47788</v>
      </c>
      <c r="AF832" s="6">
        <v>2.3117319061986263</v>
      </c>
    </row>
    <row r="833" spans="30:32" x14ac:dyDescent="0.2">
      <c r="AD833" s="98">
        <f t="shared" ca="1" si="29"/>
        <v>15.906913073237508</v>
      </c>
      <c r="AE833" s="99">
        <f t="shared" ca="1" si="28"/>
        <v>47795</v>
      </c>
      <c r="AF833" s="6">
        <v>2.3130671317040874</v>
      </c>
    </row>
    <row r="834" spans="30:32" x14ac:dyDescent="0.2">
      <c r="AD834" s="98">
        <f t="shared" ca="1" si="29"/>
        <v>15.926078028747433</v>
      </c>
      <c r="AE834" s="99">
        <f t="shared" ca="1" si="28"/>
        <v>47802</v>
      </c>
      <c r="AF834" s="6">
        <v>2.3144018903073293</v>
      </c>
    </row>
    <row r="835" spans="30:32" x14ac:dyDescent="0.2">
      <c r="AD835" s="98">
        <f t="shared" ca="1" si="29"/>
        <v>15.945242984257359</v>
      </c>
      <c r="AE835" s="99">
        <f t="shared" ca="1" si="28"/>
        <v>47809</v>
      </c>
      <c r="AF835" s="6">
        <v>2.3157361400754786</v>
      </c>
    </row>
    <row r="836" spans="30:32" x14ac:dyDescent="0.2">
      <c r="AD836" s="98">
        <f t="shared" ca="1" si="29"/>
        <v>15.964407939767282</v>
      </c>
      <c r="AE836" s="99">
        <f t="shared" ref="AE836:AE899" ca="1" si="30">AE835+7</f>
        <v>47816</v>
      </c>
      <c r="AF836" s="6">
        <v>2.3170698387025119</v>
      </c>
    </row>
    <row r="837" spans="30:32" x14ac:dyDescent="0.2">
      <c r="AD837" s="98">
        <f t="shared" ref="AD837:AD900" ca="1" si="31">(AE837-$B$3)/365.25</f>
        <v>15.983572895277208</v>
      </c>
      <c r="AE837" s="99">
        <f t="shared" ca="1" si="30"/>
        <v>47823</v>
      </c>
      <c r="AF837" s="6">
        <v>2.318402943518723</v>
      </c>
    </row>
    <row r="838" spans="30:32" x14ac:dyDescent="0.2">
      <c r="AD838" s="98">
        <f t="shared" ca="1" si="31"/>
        <v>16.002737850787131</v>
      </c>
      <c r="AE838" s="99">
        <f t="shared" ca="1" si="30"/>
        <v>47830</v>
      </c>
      <c r="AF838" s="6">
        <v>2.3197354115005147</v>
      </c>
    </row>
    <row r="839" spans="30:32" x14ac:dyDescent="0.2">
      <c r="AD839" s="98">
        <f t="shared" ca="1" si="31"/>
        <v>16.021902806297057</v>
      </c>
      <c r="AE839" s="99">
        <f t="shared" ca="1" si="30"/>
        <v>47837</v>
      </c>
      <c r="AF839" s="6">
        <v>2.321067199280554</v>
      </c>
    </row>
    <row r="840" spans="30:32" x14ac:dyDescent="0.2">
      <c r="AD840" s="98">
        <f t="shared" ca="1" si="31"/>
        <v>16.041067761806982</v>
      </c>
      <c r="AE840" s="99">
        <f t="shared" ca="1" si="30"/>
        <v>47844</v>
      </c>
      <c r="AF840" s="6">
        <v>2.322398263158278</v>
      </c>
    </row>
    <row r="841" spans="30:32" x14ac:dyDescent="0.2">
      <c r="AD841" s="98">
        <f t="shared" ca="1" si="31"/>
        <v>16.060232717316907</v>
      </c>
      <c r="AE841" s="99">
        <f t="shared" ca="1" si="30"/>
        <v>47851</v>
      </c>
      <c r="AF841" s="6">
        <v>2.3237285591107435</v>
      </c>
    </row>
    <row r="842" spans="30:32" x14ac:dyDescent="0.2">
      <c r="AD842" s="98">
        <f t="shared" ca="1" si="31"/>
        <v>16.079397672826833</v>
      </c>
      <c r="AE842" s="99">
        <f t="shared" ca="1" si="30"/>
        <v>47858</v>
      </c>
      <c r="AF842" s="6">
        <v>2.3250580428038354</v>
      </c>
    </row>
    <row r="843" spans="30:32" x14ac:dyDescent="0.2">
      <c r="AD843" s="98">
        <f t="shared" ca="1" si="31"/>
        <v>16.098562628336754</v>
      </c>
      <c r="AE843" s="99">
        <f t="shared" ca="1" si="30"/>
        <v>47865</v>
      </c>
      <c r="AF843" s="6">
        <v>2.3263866696038105</v>
      </c>
    </row>
    <row r="844" spans="30:32" x14ac:dyDescent="0.2">
      <c r="AD844" s="98">
        <f t="shared" ca="1" si="31"/>
        <v>16.11772758384668</v>
      </c>
      <c r="AE844" s="99">
        <f t="shared" ca="1" si="30"/>
        <v>47872</v>
      </c>
      <c r="AF844" s="6">
        <v>2.3277143945891958</v>
      </c>
    </row>
    <row r="845" spans="30:32" x14ac:dyDescent="0.2">
      <c r="AD845" s="98">
        <f t="shared" ca="1" si="31"/>
        <v>16.136892539356605</v>
      </c>
      <c r="AE845" s="99">
        <f t="shared" ca="1" si="30"/>
        <v>47879</v>
      </c>
      <c r="AF845" s="6">
        <v>2.329041172563024</v>
      </c>
    </row>
    <row r="846" spans="30:32" x14ac:dyDescent="0.2">
      <c r="AD846" s="98">
        <f t="shared" ca="1" si="31"/>
        <v>16.156057494866531</v>
      </c>
      <c r="AE846" s="99">
        <f t="shared" ca="1" si="30"/>
        <v>47886</v>
      </c>
      <c r="AF846" s="6">
        <v>2.3303669580654143</v>
      </c>
    </row>
    <row r="847" spans="30:32" x14ac:dyDescent="0.2">
      <c r="AD847" s="98">
        <f t="shared" ca="1" si="31"/>
        <v>16.175222450376456</v>
      </c>
      <c r="AE847" s="99">
        <f t="shared" ca="1" si="30"/>
        <v>47893</v>
      </c>
      <c r="AF847" s="6">
        <v>2.3316917053864761</v>
      </c>
    </row>
    <row r="848" spans="30:32" x14ac:dyDescent="0.2">
      <c r="AD848" s="98">
        <f t="shared" ca="1" si="31"/>
        <v>16.194387405886378</v>
      </c>
      <c r="AE848" s="99">
        <f t="shared" ca="1" si="30"/>
        <v>47900</v>
      </c>
      <c r="AF848" s="6">
        <v>2.3330153685795634</v>
      </c>
    </row>
    <row r="849" spans="30:32" x14ac:dyDescent="0.2">
      <c r="AD849" s="98">
        <f t="shared" ca="1" si="31"/>
        <v>16.213552361396303</v>
      </c>
      <c r="AE849" s="99">
        <f t="shared" ca="1" si="30"/>
        <v>47907</v>
      </c>
      <c r="AF849" s="6">
        <v>2.3343379014748424</v>
      </c>
    </row>
    <row r="850" spans="30:32" x14ac:dyDescent="0.2">
      <c r="AD850" s="98">
        <f t="shared" ca="1" si="31"/>
        <v>16.232717316906228</v>
      </c>
      <c r="AE850" s="99">
        <f t="shared" ca="1" si="30"/>
        <v>47914</v>
      </c>
      <c r="AF850" s="6">
        <v>2.3356592576931945</v>
      </c>
    </row>
    <row r="851" spans="30:32" x14ac:dyDescent="0.2">
      <c r="AD851" s="98">
        <f t="shared" ca="1" si="31"/>
        <v>16.251882272416154</v>
      </c>
      <c r="AE851" s="99">
        <f t="shared" ca="1" si="30"/>
        <v>47921</v>
      </c>
      <c r="AF851" s="6">
        <v>2.3369793906604288</v>
      </c>
    </row>
    <row r="852" spans="30:32" x14ac:dyDescent="0.2">
      <c r="AD852" s="98">
        <f t="shared" ca="1" si="31"/>
        <v>16.271047227926079</v>
      </c>
      <c r="AE852" s="99">
        <f t="shared" ca="1" si="30"/>
        <v>47928</v>
      </c>
      <c r="AF852" s="6">
        <v>2.3382982536218155</v>
      </c>
    </row>
    <row r="853" spans="30:32" x14ac:dyDescent="0.2">
      <c r="AD853" s="98">
        <f t="shared" ca="1" si="31"/>
        <v>16.290212183436001</v>
      </c>
      <c r="AE853" s="99">
        <f t="shared" ca="1" si="30"/>
        <v>47935</v>
      </c>
      <c r="AF853" s="6">
        <v>2.3396157996569227</v>
      </c>
    </row>
    <row r="854" spans="30:32" x14ac:dyDescent="0.2">
      <c r="AD854" s="98">
        <f t="shared" ca="1" si="31"/>
        <v>16.309377138945926</v>
      </c>
      <c r="AE854" s="99">
        <f t="shared" ca="1" si="30"/>
        <v>47942</v>
      </c>
      <c r="AF854" s="6">
        <v>2.3409319816947569</v>
      </c>
    </row>
    <row r="855" spans="30:32" x14ac:dyDescent="0.2">
      <c r="AD855" s="98">
        <f t="shared" ca="1" si="31"/>
        <v>16.328542094455852</v>
      </c>
      <c r="AE855" s="99">
        <f t="shared" ca="1" si="30"/>
        <v>47949</v>
      </c>
      <c r="AF855" s="6">
        <v>2.3422467525291992</v>
      </c>
    </row>
    <row r="856" spans="30:32" x14ac:dyDescent="0.2">
      <c r="AD856" s="98">
        <f t="shared" ca="1" si="31"/>
        <v>16.347707049965777</v>
      </c>
      <c r="AE856" s="99">
        <f t="shared" ca="1" si="30"/>
        <v>47956</v>
      </c>
      <c r="AF856" s="6">
        <v>2.3435600648347292</v>
      </c>
    </row>
    <row r="857" spans="30:32" x14ac:dyDescent="0.2">
      <c r="AD857" s="98">
        <f t="shared" ca="1" si="31"/>
        <v>16.366872005475702</v>
      </c>
      <c r="AE857" s="99">
        <f t="shared" ca="1" si="30"/>
        <v>47963</v>
      </c>
      <c r="AF857" s="6">
        <v>2.3448718711824252</v>
      </c>
    </row>
    <row r="858" spans="30:32" x14ac:dyDescent="0.2">
      <c r="AD858" s="98">
        <f t="shared" ca="1" si="31"/>
        <v>16.386036960985628</v>
      </c>
      <c r="AE858" s="99">
        <f t="shared" ca="1" si="30"/>
        <v>47970</v>
      </c>
      <c r="AF858" s="6">
        <v>2.3461821240562468</v>
      </c>
    </row>
    <row r="859" spans="30:32" x14ac:dyDescent="0.2">
      <c r="AD859" s="98">
        <f t="shared" ca="1" si="31"/>
        <v>16.40520191649555</v>
      </c>
      <c r="AE859" s="99">
        <f t="shared" ca="1" si="30"/>
        <v>47977</v>
      </c>
      <c r="AF859" s="6">
        <v>2.3474907758695696</v>
      </c>
    </row>
    <row r="860" spans="30:32" x14ac:dyDescent="0.2">
      <c r="AD860" s="98">
        <f t="shared" ca="1" si="31"/>
        <v>16.424366872005475</v>
      </c>
      <c r="AE860" s="99">
        <f t="shared" ca="1" si="30"/>
        <v>47984</v>
      </c>
      <c r="AF860" s="6">
        <v>2.3487977789819863</v>
      </c>
    </row>
    <row r="861" spans="30:32" x14ac:dyDescent="0.2">
      <c r="AD861" s="98">
        <f t="shared" ca="1" si="31"/>
        <v>16.4435318275154</v>
      </c>
      <c r="AE861" s="99">
        <f t="shared" ca="1" si="30"/>
        <v>47991</v>
      </c>
      <c r="AF861" s="6">
        <v>2.3501030857163498</v>
      </c>
    </row>
    <row r="862" spans="30:32" x14ac:dyDescent="0.2">
      <c r="AD862" s="98">
        <f t="shared" ca="1" si="31"/>
        <v>16.462696783025326</v>
      </c>
      <c r="AE862" s="99">
        <f t="shared" ca="1" si="30"/>
        <v>47998</v>
      </c>
      <c r="AF862" s="6">
        <v>2.351406648376047</v>
      </c>
    </row>
    <row r="863" spans="30:32" x14ac:dyDescent="0.2">
      <c r="AD863" s="98">
        <f t="shared" ca="1" si="31"/>
        <v>16.481861738535251</v>
      </c>
      <c r="AE863" s="99">
        <f t="shared" ca="1" si="30"/>
        <v>48005</v>
      </c>
      <c r="AF863" s="6">
        <v>2.3527084192625134</v>
      </c>
    </row>
    <row r="864" spans="30:32" x14ac:dyDescent="0.2">
      <c r="AD864" s="98">
        <f t="shared" ca="1" si="31"/>
        <v>16.501026694045173</v>
      </c>
      <c r="AE864" s="99">
        <f t="shared" ca="1" si="30"/>
        <v>48012</v>
      </c>
      <c r="AF864" s="6">
        <v>2.3540083506929532</v>
      </c>
    </row>
    <row r="865" spans="30:32" x14ac:dyDescent="0.2">
      <c r="AD865" s="98">
        <f t="shared" ca="1" si="31"/>
        <v>16.520191649555098</v>
      </c>
      <c r="AE865" s="99">
        <f t="shared" ca="1" si="30"/>
        <v>48019</v>
      </c>
      <c r="AF865" s="6">
        <v>2.3553063950182649</v>
      </c>
    </row>
    <row r="866" spans="30:32" x14ac:dyDescent="0.2">
      <c r="AD866" s="98">
        <f t="shared" ca="1" si="31"/>
        <v>16.539356605065024</v>
      </c>
      <c r="AE866" s="99">
        <f t="shared" ca="1" si="30"/>
        <v>48026</v>
      </c>
      <c r="AF866" s="6">
        <v>2.3566025046411712</v>
      </c>
    </row>
    <row r="867" spans="30:32" x14ac:dyDescent="0.2">
      <c r="AD867" s="98">
        <f t="shared" ca="1" si="31"/>
        <v>16.558521560574949</v>
      </c>
      <c r="AE867" s="99">
        <f t="shared" ca="1" si="30"/>
        <v>48033</v>
      </c>
      <c r="AF867" s="6">
        <v>2.3578966320345187</v>
      </c>
    </row>
    <row r="868" spans="30:32" x14ac:dyDescent="0.2">
      <c r="AD868" s="98">
        <f t="shared" ca="1" si="31"/>
        <v>16.577686516084874</v>
      </c>
      <c r="AE868" s="99">
        <f t="shared" ca="1" si="30"/>
        <v>48040</v>
      </c>
      <c r="AF868" s="6">
        <v>2.3591887297597607</v>
      </c>
    </row>
    <row r="869" spans="30:32" x14ac:dyDescent="0.2">
      <c r="AD869" s="98">
        <f t="shared" ca="1" si="31"/>
        <v>16.5968514715948</v>
      </c>
      <c r="AE869" s="99">
        <f t="shared" ca="1" si="30"/>
        <v>48047</v>
      </c>
      <c r="AF869" s="6">
        <v>2.360478750485592</v>
      </c>
    </row>
    <row r="870" spans="30:32" x14ac:dyDescent="0.2">
      <c r="AD870" s="98">
        <f t="shared" ca="1" si="31"/>
        <v>16.616016427104721</v>
      </c>
      <c r="AE870" s="99">
        <f t="shared" ca="1" si="30"/>
        <v>48054</v>
      </c>
      <c r="AF870" s="6">
        <v>2.3617666470067271</v>
      </c>
    </row>
    <row r="871" spans="30:32" x14ac:dyDescent="0.2">
      <c r="AD871" s="98">
        <f t="shared" ca="1" si="31"/>
        <v>16.635181382614647</v>
      </c>
      <c r="AE871" s="99">
        <f t="shared" ca="1" si="30"/>
        <v>48061</v>
      </c>
      <c r="AF871" s="6">
        <v>2.3630523722628216</v>
      </c>
    </row>
    <row r="872" spans="30:32" x14ac:dyDescent="0.2">
      <c r="AD872" s="98">
        <f t="shared" ca="1" si="31"/>
        <v>16.654346338124572</v>
      </c>
      <c r="AE872" s="99">
        <f t="shared" ca="1" si="30"/>
        <v>48068</v>
      </c>
      <c r="AF872" s="6">
        <v>2.3643358793575033</v>
      </c>
    </row>
    <row r="873" spans="30:32" x14ac:dyDescent="0.2">
      <c r="AD873" s="98">
        <f t="shared" ca="1" si="31"/>
        <v>16.673511293634498</v>
      </c>
      <c r="AE873" s="99">
        <f t="shared" ca="1" si="30"/>
        <v>48075</v>
      </c>
      <c r="AF873" s="6">
        <v>2.3656171215775168</v>
      </c>
    </row>
    <row r="874" spans="30:32" x14ac:dyDescent="0.2">
      <c r="AD874" s="98">
        <f t="shared" ca="1" si="31"/>
        <v>16.692676249144423</v>
      </c>
      <c r="AE874" s="99">
        <f t="shared" ca="1" si="30"/>
        <v>48082</v>
      </c>
      <c r="AF874" s="6">
        <v>2.3668960524119531</v>
      </c>
    </row>
    <row r="875" spans="30:32" x14ac:dyDescent="0.2">
      <c r="AD875" s="98">
        <f t="shared" ca="1" si="31"/>
        <v>16.711841204654345</v>
      </c>
      <c r="AE875" s="99">
        <f t="shared" ca="1" si="30"/>
        <v>48089</v>
      </c>
      <c r="AF875" s="6">
        <v>2.3681726255715629</v>
      </c>
    </row>
    <row r="876" spans="30:32" x14ac:dyDescent="0.2">
      <c r="AD876" s="98">
        <f t="shared" ca="1" si="31"/>
        <v>16.73100616016427</v>
      </c>
      <c r="AE876" s="99">
        <f t="shared" ca="1" si="30"/>
        <v>48096</v>
      </c>
      <c r="AF876" s="6">
        <v>2.369446795008133</v>
      </c>
    </row>
    <row r="877" spans="30:32" x14ac:dyDescent="0.2">
      <c r="AD877" s="98">
        <f t="shared" ca="1" si="31"/>
        <v>16.750171115674195</v>
      </c>
      <c r="AE877" s="99">
        <f t="shared" ca="1" si="30"/>
        <v>48103</v>
      </c>
      <c r="AF877" s="6">
        <v>2.3707185149339107</v>
      </c>
    </row>
    <row r="878" spans="30:32" x14ac:dyDescent="0.2">
      <c r="AD878" s="98">
        <f t="shared" ca="1" si="31"/>
        <v>16.769336071184121</v>
      </c>
      <c r="AE878" s="99">
        <f t="shared" ca="1" si="30"/>
        <v>48110</v>
      </c>
      <c r="AF878" s="6">
        <v>2.3719877398410549</v>
      </c>
    </row>
    <row r="879" spans="30:32" x14ac:dyDescent="0.2">
      <c r="AD879" s="98">
        <f t="shared" ca="1" si="31"/>
        <v>16.788501026694046</v>
      </c>
      <c r="AE879" s="99">
        <f t="shared" ca="1" si="30"/>
        <v>48117</v>
      </c>
      <c r="AF879" s="6">
        <v>2.3732544245211211</v>
      </c>
    </row>
    <row r="880" spans="30:32" x14ac:dyDescent="0.2">
      <c r="AD880" s="98">
        <f t="shared" ca="1" si="31"/>
        <v>16.807665982203972</v>
      </c>
      <c r="AE880" s="99">
        <f t="shared" ca="1" si="30"/>
        <v>48124</v>
      </c>
      <c r="AF880" s="6">
        <v>2.3745185240845359</v>
      </c>
    </row>
    <row r="881" spans="30:32" x14ac:dyDescent="0.2">
      <c r="AD881" s="98">
        <f t="shared" ca="1" si="31"/>
        <v>16.826830937713893</v>
      </c>
      <c r="AE881" s="99">
        <f t="shared" ca="1" si="30"/>
        <v>48131</v>
      </c>
      <c r="AF881" s="6">
        <v>2.3757799939800615</v>
      </c>
    </row>
    <row r="882" spans="30:32" x14ac:dyDescent="0.2">
      <c r="AD882" s="98">
        <f t="shared" ca="1" si="31"/>
        <v>16.845995893223819</v>
      </c>
      <c r="AE882" s="99">
        <f t="shared" ca="1" si="30"/>
        <v>48138</v>
      </c>
      <c r="AF882" s="6">
        <v>2.3770387900142405</v>
      </c>
    </row>
    <row r="883" spans="30:32" x14ac:dyDescent="0.2">
      <c r="AD883" s="98">
        <f t="shared" ca="1" si="31"/>
        <v>16.865160848733744</v>
      </c>
      <c r="AE883" s="99">
        <f t="shared" ca="1" si="30"/>
        <v>48145</v>
      </c>
      <c r="AF883" s="6">
        <v>2.3782948683707832</v>
      </c>
    </row>
    <row r="884" spans="30:32" x14ac:dyDescent="0.2">
      <c r="AD884" s="98">
        <f t="shared" ca="1" si="31"/>
        <v>16.884325804243669</v>
      </c>
      <c r="AE884" s="99">
        <f t="shared" ca="1" si="30"/>
        <v>48152</v>
      </c>
      <c r="AF884" s="6">
        <v>2.3795481856299054</v>
      </c>
    </row>
    <row r="885" spans="30:32" x14ac:dyDescent="0.2">
      <c r="AD885" s="98">
        <f t="shared" ca="1" si="31"/>
        <v>16.903490759753595</v>
      </c>
      <c r="AE885" s="99">
        <f t="shared" ca="1" si="30"/>
        <v>48159</v>
      </c>
      <c r="AF885" s="6">
        <v>2.3807986987875855</v>
      </c>
    </row>
    <row r="886" spans="30:32" x14ac:dyDescent="0.2">
      <c r="AD886" s="98">
        <f t="shared" ca="1" si="31"/>
        <v>16.922655715263517</v>
      </c>
      <c r="AE886" s="99">
        <f t="shared" ca="1" si="30"/>
        <v>48166</v>
      </c>
      <c r="AF886" s="6">
        <v>2.3820463652747264</v>
      </c>
    </row>
    <row r="887" spans="30:32" x14ac:dyDescent="0.2">
      <c r="AD887" s="98">
        <f t="shared" ca="1" si="31"/>
        <v>16.941820670773442</v>
      </c>
      <c r="AE887" s="99">
        <f t="shared" ca="1" si="30"/>
        <v>48173</v>
      </c>
      <c r="AF887" s="6">
        <v>2.3832911429762169</v>
      </c>
    </row>
    <row r="888" spans="30:32" x14ac:dyDescent="0.2">
      <c r="AD888" s="98">
        <f t="shared" ca="1" si="31"/>
        <v>16.960985626283367</v>
      </c>
      <c r="AE888" s="99">
        <f t="shared" ca="1" si="30"/>
        <v>48180</v>
      </c>
      <c r="AF888" s="6">
        <v>2.3845329902498529</v>
      </c>
    </row>
    <row r="889" spans="30:32" x14ac:dyDescent="0.2">
      <c r="AD889" s="98">
        <f t="shared" ca="1" si="31"/>
        <v>16.980150581793293</v>
      </c>
      <c r="AE889" s="99">
        <f t="shared" ca="1" si="30"/>
        <v>48187</v>
      </c>
      <c r="AF889" s="6">
        <v>2.3857718659451357</v>
      </c>
    </row>
    <row r="890" spans="30:32" x14ac:dyDescent="0.2">
      <c r="AD890" s="98">
        <f t="shared" ca="1" si="31"/>
        <v>16.999315537303218</v>
      </c>
      <c r="AE890" s="99">
        <f t="shared" ca="1" si="30"/>
        <v>48194</v>
      </c>
      <c r="AF890" s="6">
        <v>2.3870077294218937</v>
      </c>
    </row>
    <row r="891" spans="30:32" x14ac:dyDescent="0.2">
      <c r="AD891" s="98">
        <f t="shared" ca="1" si="31"/>
        <v>17.018480492813143</v>
      </c>
      <c r="AE891" s="99">
        <f t="shared" ca="1" si="30"/>
        <v>48201</v>
      </c>
      <c r="AF891" s="6">
        <v>2.3882405405687415</v>
      </c>
    </row>
    <row r="892" spans="30:32" x14ac:dyDescent="0.2">
      <c r="AD892" s="98">
        <f t="shared" ca="1" si="31"/>
        <v>17.037645448323065</v>
      </c>
      <c r="AE892" s="99">
        <f t="shared" ca="1" si="30"/>
        <v>48208</v>
      </c>
      <c r="AF892" s="6">
        <v>2.3894702598213469</v>
      </c>
    </row>
    <row r="893" spans="30:32" x14ac:dyDescent="0.2">
      <c r="AD893" s="98">
        <f t="shared" ca="1" si="31"/>
        <v>17.056810403832991</v>
      </c>
      <c r="AE893" s="99">
        <f t="shared" ca="1" si="30"/>
        <v>48215</v>
      </c>
      <c r="AF893" s="6">
        <v>2.3906968481804842</v>
      </c>
    </row>
    <row r="894" spans="30:32" x14ac:dyDescent="0.2">
      <c r="AD894" s="98">
        <f t="shared" ca="1" si="31"/>
        <v>17.075975359342916</v>
      </c>
      <c r="AE894" s="99">
        <f t="shared" ca="1" si="30"/>
        <v>48222</v>
      </c>
      <c r="AF894" s="6">
        <v>2.3919202672298701</v>
      </c>
    </row>
    <row r="895" spans="30:32" x14ac:dyDescent="0.2">
      <c r="AD895" s="98">
        <f t="shared" ca="1" si="31"/>
        <v>17.095140314852841</v>
      </c>
      <c r="AE895" s="99">
        <f t="shared" ca="1" si="30"/>
        <v>48229</v>
      </c>
      <c r="AF895" s="6">
        <v>2.3931404791537578</v>
      </c>
    </row>
    <row r="896" spans="30:32" x14ac:dyDescent="0.2">
      <c r="AD896" s="98">
        <f t="shared" ca="1" si="31"/>
        <v>17.114305270362767</v>
      </c>
      <c r="AE896" s="99">
        <f t="shared" ca="1" si="30"/>
        <v>48236</v>
      </c>
      <c r="AF896" s="6">
        <v>2.3943574467542788</v>
      </c>
    </row>
    <row r="897" spans="30:32" x14ac:dyDescent="0.2">
      <c r="AD897" s="98">
        <f t="shared" ca="1" si="31"/>
        <v>17.133470225872689</v>
      </c>
      <c r="AE897" s="99">
        <f t="shared" ca="1" si="30"/>
        <v>48243</v>
      </c>
      <c r="AF897" s="6">
        <v>2.3955711334685068</v>
      </c>
    </row>
    <row r="898" spans="30:32" x14ac:dyDescent="0.2">
      <c r="AD898" s="98">
        <f t="shared" ca="1" si="31"/>
        <v>17.152635181382614</v>
      </c>
      <c r="AE898" s="99">
        <f t="shared" ca="1" si="30"/>
        <v>48250</v>
      </c>
      <c r="AF898" s="6">
        <v>2.3967815033852475</v>
      </c>
    </row>
    <row r="899" spans="30:32" x14ac:dyDescent="0.2">
      <c r="AD899" s="98">
        <f t="shared" ca="1" si="31"/>
        <v>17.171800136892539</v>
      </c>
      <c r="AE899" s="99">
        <f t="shared" ca="1" si="30"/>
        <v>48257</v>
      </c>
      <c r="AF899" s="6">
        <v>2.3979885212615097</v>
      </c>
    </row>
    <row r="900" spans="30:32" x14ac:dyDescent="0.2">
      <c r="AD900" s="98">
        <f t="shared" ca="1" si="31"/>
        <v>17.190965092402465</v>
      </c>
      <c r="AE900" s="99">
        <f t="shared" ref="AE900:AE963" ca="1" si="32">AE899+7</f>
        <v>48264</v>
      </c>
      <c r="AF900" s="6">
        <v>2.3991921525386743</v>
      </c>
    </row>
    <row r="901" spans="30:32" x14ac:dyDescent="0.2">
      <c r="AD901" s="98">
        <f t="shared" ref="AD901:AD964" ca="1" si="33">(AE901-$B$3)/365.25</f>
        <v>17.21013004791239</v>
      </c>
      <c r="AE901" s="99">
        <f t="shared" ca="1" si="32"/>
        <v>48271</v>
      </c>
      <c r="AF901" s="6">
        <v>2.4003923633583244</v>
      </c>
    </row>
    <row r="902" spans="30:32" x14ac:dyDescent="0.2">
      <c r="AD902" s="98">
        <f t="shared" ca="1" si="33"/>
        <v>17.229295003422312</v>
      </c>
      <c r="AE902" s="99">
        <f t="shared" ca="1" si="32"/>
        <v>48278</v>
      </c>
      <c r="AF902" s="6">
        <v>2.4015891205777304</v>
      </c>
    </row>
    <row r="903" spans="30:32" x14ac:dyDescent="0.2">
      <c r="AD903" s="98">
        <f t="shared" ca="1" si="33"/>
        <v>17.248459958932237</v>
      </c>
      <c r="AE903" s="99">
        <f t="shared" ca="1" si="32"/>
        <v>48285</v>
      </c>
      <c r="AF903" s="6">
        <v>2.4027823917849718</v>
      </c>
    </row>
    <row r="904" spans="30:32" x14ac:dyDescent="0.2">
      <c r="AD904" s="98">
        <f t="shared" ca="1" si="33"/>
        <v>17.267624914442163</v>
      </c>
      <c r="AE904" s="99">
        <f t="shared" ca="1" si="32"/>
        <v>48292</v>
      </c>
      <c r="AF904" s="6">
        <v>2.4039721453136913</v>
      </c>
    </row>
    <row r="905" spans="30:32" x14ac:dyDescent="0.2">
      <c r="AD905" s="98">
        <f t="shared" ca="1" si="33"/>
        <v>17.286789869952088</v>
      </c>
      <c r="AE905" s="99">
        <f t="shared" ca="1" si="32"/>
        <v>48299</v>
      </c>
      <c r="AF905" s="6">
        <v>2.4051583502574516</v>
      </c>
    </row>
    <row r="906" spans="30:32" x14ac:dyDescent="0.2">
      <c r="AD906" s="98">
        <f t="shared" ca="1" si="33"/>
        <v>17.305954825462013</v>
      </c>
      <c r="AE906" s="99">
        <f t="shared" ca="1" si="32"/>
        <v>48306</v>
      </c>
      <c r="AF906" s="6">
        <v>2.4063409764836998</v>
      </c>
    </row>
    <row r="907" spans="30:32" x14ac:dyDescent="0.2">
      <c r="AD907" s="98">
        <f t="shared" ca="1" si="33"/>
        <v>17.325119780971939</v>
      </c>
      <c r="AE907" s="99">
        <f t="shared" ca="1" si="32"/>
        <v>48313</v>
      </c>
      <c r="AF907" s="6">
        <v>2.4075199946473074</v>
      </c>
    </row>
    <row r="908" spans="30:32" x14ac:dyDescent="0.2">
      <c r="AD908" s="98">
        <f t="shared" ca="1" si="33"/>
        <v>17.34428473648186</v>
      </c>
      <c r="AE908" s="99">
        <f t="shared" ca="1" si="32"/>
        <v>48320</v>
      </c>
      <c r="AF908" s="6">
        <v>2.4086953762036969</v>
      </c>
    </row>
    <row r="909" spans="30:32" x14ac:dyDescent="0.2">
      <c r="AD909" s="98">
        <f t="shared" ca="1" si="33"/>
        <v>17.363449691991786</v>
      </c>
      <c r="AE909" s="99">
        <f t="shared" ca="1" si="32"/>
        <v>48327</v>
      </c>
      <c r="AF909" s="6">
        <v>2.4098670934215134</v>
      </c>
    </row>
    <row r="910" spans="30:32" x14ac:dyDescent="0.2">
      <c r="AD910" s="98">
        <f t="shared" ca="1" si="33"/>
        <v>17.382614647501711</v>
      </c>
      <c r="AE910" s="99">
        <f t="shared" ca="1" si="32"/>
        <v>48334</v>
      </c>
      <c r="AF910" s="6">
        <v>2.4110351193948585</v>
      </c>
    </row>
    <row r="911" spans="30:32" x14ac:dyDescent="0.2">
      <c r="AD911" s="98">
        <f t="shared" ca="1" si="33"/>
        <v>17.401779603011637</v>
      </c>
      <c r="AE911" s="99">
        <f t="shared" ca="1" si="32"/>
        <v>48341</v>
      </c>
      <c r="AF911" s="6">
        <v>2.4121994280550609</v>
      </c>
    </row>
    <row r="912" spans="30:32" x14ac:dyDescent="0.2">
      <c r="AD912" s="98">
        <f t="shared" ca="1" si="33"/>
        <v>17.420944558521562</v>
      </c>
      <c r="AE912" s="99">
        <f t="shared" ca="1" si="32"/>
        <v>48348</v>
      </c>
      <c r="AF912" s="6">
        <v>2.4133599941819672</v>
      </c>
    </row>
    <row r="913" spans="30:32" x14ac:dyDescent="0.2">
      <c r="AD913" s="98">
        <f t="shared" ca="1" si="33"/>
        <v>17.440109514031484</v>
      </c>
      <c r="AE913" s="99">
        <f t="shared" ca="1" si="32"/>
        <v>48355</v>
      </c>
      <c r="AF913" s="6">
        <v>2.4145167934147578</v>
      </c>
    </row>
    <row r="914" spans="30:32" x14ac:dyDescent="0.2">
      <c r="AD914" s="98">
        <f t="shared" ca="1" si="33"/>
        <v>17.459274469541409</v>
      </c>
      <c r="AE914" s="99">
        <f t="shared" ca="1" si="32"/>
        <v>48362</v>
      </c>
      <c r="AF914" s="6">
        <v>2.4156698022622711</v>
      </c>
    </row>
    <row r="915" spans="30:32" x14ac:dyDescent="0.2">
      <c r="AD915" s="98">
        <f t="shared" ca="1" si="33"/>
        <v>17.478439425051334</v>
      </c>
      <c r="AE915" s="99">
        <f t="shared" ca="1" si="32"/>
        <v>48369</v>
      </c>
      <c r="AF915" s="6">
        <v>2.4168189981128214</v>
      </c>
    </row>
    <row r="916" spans="30:32" x14ac:dyDescent="0.2">
      <c r="AD916" s="98">
        <f t="shared" ca="1" si="33"/>
        <v>17.49760438056126</v>
      </c>
      <c r="AE916" s="99">
        <f t="shared" ca="1" si="32"/>
        <v>48376</v>
      </c>
      <c r="AF916" s="6">
        <v>2.4179643592435069</v>
      </c>
    </row>
    <row r="917" spans="30:32" x14ac:dyDescent="0.2">
      <c r="AD917" s="98">
        <f t="shared" ca="1" si="33"/>
        <v>17.516769336071185</v>
      </c>
      <c r="AE917" s="99">
        <f t="shared" ca="1" si="32"/>
        <v>48383</v>
      </c>
      <c r="AF917" s="6">
        <v>2.4191058648290129</v>
      </c>
    </row>
    <row r="918" spans="30:32" x14ac:dyDescent="0.2">
      <c r="AD918" s="98">
        <f t="shared" ca="1" si="33"/>
        <v>17.535934291581111</v>
      </c>
      <c r="AE918" s="99">
        <f t="shared" ca="1" si="32"/>
        <v>48390</v>
      </c>
      <c r="AF918" s="6">
        <v>2.4202434949498706</v>
      </c>
    </row>
    <row r="919" spans="30:32" x14ac:dyDescent="0.2">
      <c r="AD919" s="98">
        <f t="shared" ca="1" si="33"/>
        <v>17.555099247091032</v>
      </c>
      <c r="AE919" s="99">
        <f t="shared" ca="1" si="32"/>
        <v>48397</v>
      </c>
      <c r="AF919" s="6">
        <v>2.4213772306001946</v>
      </c>
    </row>
    <row r="920" spans="30:32" x14ac:dyDescent="0.2">
      <c r="AD920" s="98">
        <f t="shared" ca="1" si="33"/>
        <v>17.574264202600958</v>
      </c>
      <c r="AE920" s="99">
        <f t="shared" ca="1" si="32"/>
        <v>48404</v>
      </c>
      <c r="AF920" s="6">
        <v>2.4225070536948889</v>
      </c>
    </row>
    <row r="921" spans="30:32" x14ac:dyDescent="0.2">
      <c r="AD921" s="98">
        <f t="shared" ca="1" si="33"/>
        <v>17.593429158110883</v>
      </c>
      <c r="AE921" s="99">
        <f t="shared" ca="1" si="32"/>
        <v>48411</v>
      </c>
      <c r="AF921" s="6">
        <v>2.4236329470762898</v>
      </c>
    </row>
    <row r="922" spans="30:32" x14ac:dyDescent="0.2">
      <c r="AD922" s="98">
        <f t="shared" ca="1" si="33"/>
        <v>17.612594113620808</v>
      </c>
      <c r="AE922" s="99">
        <f t="shared" ca="1" si="32"/>
        <v>48418</v>
      </c>
      <c r="AF922" s="6">
        <v>2.4247548945202784</v>
      </c>
    </row>
    <row r="923" spans="30:32" x14ac:dyDescent="0.2">
      <c r="AD923" s="98">
        <f t="shared" ca="1" si="33"/>
        <v>17.631759069130734</v>
      </c>
      <c r="AE923" s="99">
        <f t="shared" ca="1" si="32"/>
        <v>48425</v>
      </c>
      <c r="AF923" s="6">
        <v>2.4258728807418288</v>
      </c>
    </row>
    <row r="924" spans="30:32" x14ac:dyDescent="0.2">
      <c r="AD924" s="98">
        <f t="shared" ca="1" si="33"/>
        <v>17.650924024640656</v>
      </c>
      <c r="AE924" s="99">
        <f t="shared" ca="1" si="32"/>
        <v>48432</v>
      </c>
      <c r="AF924" s="6">
        <v>2.4269868914000021</v>
      </c>
    </row>
    <row r="925" spans="30:32" x14ac:dyDescent="0.2">
      <c r="AD925" s="98">
        <f t="shared" ca="1" si="33"/>
        <v>17.670088980150581</v>
      </c>
      <c r="AE925" s="99">
        <f t="shared" ca="1" si="32"/>
        <v>48439</v>
      </c>
      <c r="AF925" s="6">
        <v>2.4280969131023791</v>
      </c>
    </row>
    <row r="926" spans="30:32" x14ac:dyDescent="0.2">
      <c r="AD926" s="98">
        <f t="shared" ca="1" si="33"/>
        <v>17.689253935660506</v>
      </c>
      <c r="AE926" s="99">
        <f t="shared" ca="1" si="32"/>
        <v>48446</v>
      </c>
      <c r="AF926" s="6">
        <v>2.4292029334089276</v>
      </c>
    </row>
    <row r="927" spans="30:32" x14ac:dyDescent="0.2">
      <c r="AD927" s="98">
        <f t="shared" ca="1" si="33"/>
        <v>17.708418891170432</v>
      </c>
      <c r="AE927" s="99">
        <f t="shared" ca="1" si="32"/>
        <v>48453</v>
      </c>
      <c r="AF927" s="6">
        <v>2.4303049408353119</v>
      </c>
    </row>
    <row r="928" spans="30:32" x14ac:dyDescent="0.2">
      <c r="AD928" s="98">
        <f t="shared" ca="1" si="33"/>
        <v>17.727583846680357</v>
      </c>
      <c r="AE928" s="99">
        <f t="shared" ca="1" si="32"/>
        <v>48460</v>
      </c>
      <c r="AF928" s="6">
        <v>2.4314029248556213</v>
      </c>
    </row>
    <row r="929" spans="30:32" x14ac:dyDescent="0.2">
      <c r="AD929" s="98">
        <f t="shared" ca="1" si="33"/>
        <v>17.746748802190282</v>
      </c>
      <c r="AE929" s="99">
        <f t="shared" ca="1" si="32"/>
        <v>48467</v>
      </c>
      <c r="AF929" s="6">
        <v>2.4324968759045462</v>
      </c>
    </row>
    <row r="930" spans="30:32" x14ac:dyDescent="0.2">
      <c r="AD930" s="98">
        <f t="shared" ca="1" si="33"/>
        <v>17.765913757700204</v>
      </c>
      <c r="AE930" s="99">
        <f t="shared" ca="1" si="32"/>
        <v>48474</v>
      </c>
      <c r="AF930" s="6">
        <v>2.4335867853789739</v>
      </c>
    </row>
    <row r="931" spans="30:32" x14ac:dyDescent="0.2">
      <c r="AD931" s="98">
        <f t="shared" ca="1" si="33"/>
        <v>17.78507871321013</v>
      </c>
      <c r="AE931" s="99">
        <f t="shared" ca="1" si="32"/>
        <v>48481</v>
      </c>
      <c r="AF931" s="6">
        <v>2.4346726456390266</v>
      </c>
    </row>
    <row r="932" spans="30:32" x14ac:dyDescent="0.2">
      <c r="AD932" s="98">
        <f t="shared" ca="1" si="33"/>
        <v>17.804243668720055</v>
      </c>
      <c r="AE932" s="99">
        <f t="shared" ca="1" si="32"/>
        <v>48488</v>
      </c>
      <c r="AF932" s="6">
        <v>2.435754450008524</v>
      </c>
    </row>
    <row r="933" spans="30:32" x14ac:dyDescent="0.2">
      <c r="AD933" s="98">
        <f t="shared" ca="1" si="33"/>
        <v>17.82340862422998</v>
      </c>
      <c r="AE933" s="99">
        <f t="shared" ca="1" si="32"/>
        <v>48495</v>
      </c>
      <c r="AF933" s="6">
        <v>2.4368321927748902</v>
      </c>
    </row>
    <row r="934" spans="30:32" x14ac:dyDescent="0.2">
      <c r="AD934" s="98">
        <f t="shared" ca="1" si="33"/>
        <v>17.842573579739906</v>
      </c>
      <c r="AE934" s="99">
        <f t="shared" ca="1" si="32"/>
        <v>48502</v>
      </c>
      <c r="AF934" s="6">
        <v>2.4379058691884898</v>
      </c>
    </row>
    <row r="935" spans="30:32" x14ac:dyDescent="0.2">
      <c r="AD935" s="98">
        <f t="shared" ca="1" si="33"/>
        <v>17.861738535249827</v>
      </c>
      <c r="AE935" s="99">
        <f t="shared" ca="1" si="32"/>
        <v>48509</v>
      </c>
      <c r="AF935" s="6">
        <v>2.4389754754614112</v>
      </c>
    </row>
    <row r="936" spans="30:32" x14ac:dyDescent="0.2">
      <c r="AD936" s="98">
        <f t="shared" ca="1" si="33"/>
        <v>17.880903490759753</v>
      </c>
      <c r="AE936" s="99">
        <f t="shared" ca="1" si="32"/>
        <v>48516</v>
      </c>
      <c r="AF936" s="6">
        <v>2.4400410087656899</v>
      </c>
    </row>
    <row r="937" spans="30:32" x14ac:dyDescent="0.2">
      <c r="AD937" s="98">
        <f t="shared" ca="1" si="33"/>
        <v>17.900068446269678</v>
      </c>
      <c r="AE937" s="99">
        <f t="shared" ca="1" si="32"/>
        <v>48523</v>
      </c>
      <c r="AF937" s="6">
        <v>2.4411024672309822</v>
      </c>
    </row>
    <row r="938" spans="30:32" x14ac:dyDescent="0.2">
      <c r="AD938" s="98">
        <f t="shared" ca="1" si="33"/>
        <v>17.919233401779604</v>
      </c>
      <c r="AE938" s="99">
        <f t="shared" ca="1" si="32"/>
        <v>48530</v>
      </c>
      <c r="AF938" s="6">
        <v>2.4421598499416852</v>
      </c>
    </row>
    <row r="939" spans="30:32" x14ac:dyDescent="0.2">
      <c r="AD939" s="98">
        <f t="shared" ca="1" si="33"/>
        <v>17.938398357289529</v>
      </c>
      <c r="AE939" s="99">
        <f t="shared" ca="1" si="32"/>
        <v>48537</v>
      </c>
      <c r="AF939" s="6">
        <v>2.4432131569335303</v>
      </c>
    </row>
    <row r="940" spans="30:32" x14ac:dyDescent="0.2">
      <c r="AD940" s="98">
        <f t="shared" ca="1" si="33"/>
        <v>17.957563312799451</v>
      </c>
      <c r="AE940" s="99">
        <f t="shared" ca="1" si="32"/>
        <v>48544</v>
      </c>
      <c r="AF940" s="6">
        <v>2.4442623891896176</v>
      </c>
    </row>
    <row r="941" spans="30:32" x14ac:dyDescent="0.2">
      <c r="AD941" s="98">
        <f t="shared" ca="1" si="33"/>
        <v>17.976728268309376</v>
      </c>
      <c r="AE941" s="99">
        <f t="shared" ca="1" si="32"/>
        <v>48551</v>
      </c>
      <c r="AF941" s="6">
        <v>2.445307548635943</v>
      </c>
    </row>
    <row r="942" spans="30:32" x14ac:dyDescent="0.2">
      <c r="AD942" s="98">
        <f t="shared" ca="1" si="33"/>
        <v>17.995893223819301</v>
      </c>
      <c r="AE942" s="99">
        <f t="shared" ca="1" si="32"/>
        <v>48558</v>
      </c>
      <c r="AF942" s="6">
        <v>2.446348638136385</v>
      </c>
    </row>
    <row r="943" spans="30:32" x14ac:dyDescent="0.2">
      <c r="AD943" s="98">
        <f t="shared" ca="1" si="33"/>
        <v>18.015058179329227</v>
      </c>
      <c r="AE943" s="99">
        <f t="shared" ca="1" si="32"/>
        <v>48565</v>
      </c>
      <c r="AF943" s="6">
        <v>2.4473856614871856</v>
      </c>
    </row>
    <row r="944" spans="30:32" x14ac:dyDescent="0.2">
      <c r="AD944" s="98">
        <f t="shared" ca="1" si="33"/>
        <v>18.034223134839152</v>
      </c>
      <c r="AE944" s="99">
        <f t="shared" ca="1" si="32"/>
        <v>48572</v>
      </c>
      <c r="AF944" s="6">
        <v>2.4484186234109213</v>
      </c>
    </row>
    <row r="945" spans="30:32" x14ac:dyDescent="0.2">
      <c r="AD945" s="98">
        <f t="shared" ca="1" si="33"/>
        <v>18.053388090349078</v>
      </c>
      <c r="AE945" s="99">
        <f t="shared" ca="1" si="32"/>
        <v>48579</v>
      </c>
      <c r="AF945" s="6">
        <v>2.4494475295499711</v>
      </c>
    </row>
    <row r="946" spans="30:32" x14ac:dyDescent="0.2">
      <c r="AD946" s="98">
        <f t="shared" ca="1" si="33"/>
        <v>18.072553045858999</v>
      </c>
      <c r="AE946" s="99">
        <f t="shared" ca="1" si="32"/>
        <v>48586</v>
      </c>
      <c r="AF946" s="6">
        <v>2.4504723864594951</v>
      </c>
    </row>
    <row r="947" spans="30:32" x14ac:dyDescent="0.2">
      <c r="AD947" s="98">
        <f t="shared" ca="1" si="33"/>
        <v>18.091718001368925</v>
      </c>
      <c r="AE947" s="99">
        <f t="shared" ca="1" si="32"/>
        <v>48593</v>
      </c>
      <c r="AF947" s="6">
        <v>2.4514932015999382</v>
      </c>
    </row>
    <row r="948" spans="30:32" x14ac:dyDescent="0.2">
      <c r="AD948" s="98">
        <f t="shared" ca="1" si="33"/>
        <v>18.11088295687885</v>
      </c>
      <c r="AE948" s="99">
        <f t="shared" ca="1" si="32"/>
        <v>48600</v>
      </c>
      <c r="AF948" s="6">
        <v>2.4525099833290511</v>
      </c>
    </row>
    <row r="949" spans="30:32" x14ac:dyDescent="0.2">
      <c r="AD949" s="98">
        <f t="shared" ca="1" si="33"/>
        <v>18.130047912388775</v>
      </c>
      <c r="AE949" s="99">
        <f t="shared" ca="1" si="32"/>
        <v>48607</v>
      </c>
      <c r="AF949" s="6">
        <v>2.4535227408934586</v>
      </c>
    </row>
    <row r="950" spans="30:32" x14ac:dyDescent="0.2">
      <c r="AD950" s="98">
        <f t="shared" ca="1" si="33"/>
        <v>18.149212867898701</v>
      </c>
      <c r="AE950" s="99">
        <f t="shared" ca="1" si="32"/>
        <v>48614</v>
      </c>
      <c r="AF950" s="6">
        <v>2.4545314844197703</v>
      </c>
    </row>
    <row r="951" spans="30:32" x14ac:dyDescent="0.2">
      <c r="AD951" s="98">
        <f t="shared" ca="1" si="33"/>
        <v>18.168377823408623</v>
      </c>
      <c r="AE951" s="99">
        <f t="shared" ca="1" si="32"/>
        <v>48621</v>
      </c>
      <c r="AF951" s="6">
        <v>2.4555362249052592</v>
      </c>
    </row>
    <row r="952" spans="30:32" x14ac:dyDescent="0.2">
      <c r="AD952" s="98">
        <f t="shared" ca="1" si="33"/>
        <v>18.187542778918548</v>
      </c>
      <c r="AE952" s="99">
        <f t="shared" ca="1" si="32"/>
        <v>48628</v>
      </c>
      <c r="AF952" s="6">
        <v>2.4565369742081034</v>
      </c>
    </row>
    <row r="953" spans="30:32" x14ac:dyDescent="0.2">
      <c r="AD953" s="98">
        <f t="shared" ca="1" si="33"/>
        <v>18.206707734428473</v>
      </c>
      <c r="AE953" s="99">
        <f t="shared" ca="1" si="32"/>
        <v>48635</v>
      </c>
      <c r="AF953" s="6">
        <v>2.4575337450372143</v>
      </c>
    </row>
    <row r="954" spans="30:32" x14ac:dyDescent="0.2">
      <c r="AD954" s="98">
        <f t="shared" ca="1" si="33"/>
        <v>18.225872689938399</v>
      </c>
      <c r="AE954" s="99">
        <f t="shared" ca="1" si="32"/>
        <v>48642</v>
      </c>
      <c r="AF954" s="6">
        <v>2.4585265509416612</v>
      </c>
    </row>
    <row r="955" spans="30:32" x14ac:dyDescent="0.2">
      <c r="AD955" s="98">
        <f t="shared" ca="1" si="33"/>
        <v>18.245037645448324</v>
      </c>
      <c r="AE955" s="99">
        <f t="shared" ca="1" si="32"/>
        <v>48649</v>
      </c>
      <c r="AF955" s="6">
        <v>2.4595154062996993</v>
      </c>
    </row>
    <row r="956" spans="30:32" x14ac:dyDescent="0.2">
      <c r="AD956" s="98">
        <f t="shared" ca="1" si="33"/>
        <v>18.264202600958249</v>
      </c>
      <c r="AE956" s="99">
        <f t="shared" ca="1" si="32"/>
        <v>48656</v>
      </c>
      <c r="AF956" s="6">
        <v>2.4605003263074212</v>
      </c>
    </row>
    <row r="957" spans="30:32" x14ac:dyDescent="0.2">
      <c r="AD957" s="98">
        <f t="shared" ca="1" si="33"/>
        <v>18.283367556468171</v>
      </c>
      <c r="AE957" s="99">
        <f t="shared" ca="1" si="32"/>
        <v>48663</v>
      </c>
      <c r="AF957" s="6">
        <v>2.4614813269670366</v>
      </c>
    </row>
    <row r="958" spans="30:32" x14ac:dyDescent="0.2">
      <c r="AD958" s="98">
        <f t="shared" ca="1" si="33"/>
        <v>18.302532511978097</v>
      </c>
      <c r="AE958" s="99">
        <f t="shared" ca="1" si="32"/>
        <v>48670</v>
      </c>
      <c r="AF958" s="6">
        <v>2.4624584250748018</v>
      </c>
    </row>
    <row r="959" spans="30:32" x14ac:dyDescent="0.2">
      <c r="AD959" s="98">
        <f t="shared" ca="1" si="33"/>
        <v>18.321697467488022</v>
      </c>
      <c r="AE959" s="99">
        <f t="shared" ca="1" si="32"/>
        <v>48677</v>
      </c>
      <c r="AF959" s="6">
        <v>2.463431638208605</v>
      </c>
    </row>
    <row r="960" spans="30:32" x14ac:dyDescent="0.2">
      <c r="AD960" s="98">
        <f t="shared" ca="1" si="33"/>
        <v>18.340862422997947</v>
      </c>
      <c r="AE960" s="99">
        <f t="shared" ca="1" si="32"/>
        <v>48684</v>
      </c>
      <c r="AF960" s="6">
        <v>2.4644009847152262</v>
      </c>
    </row>
    <row r="961" spans="30:32" x14ac:dyDescent="0.2">
      <c r="AD961" s="98">
        <f t="shared" ca="1" si="33"/>
        <v>18.360027378507873</v>
      </c>
      <c r="AE961" s="99">
        <f t="shared" ca="1" si="32"/>
        <v>48691</v>
      </c>
      <c r="AF961" s="6">
        <v>2.4653664836972791</v>
      </c>
    </row>
    <row r="962" spans="30:32" x14ac:dyDescent="0.2">
      <c r="AD962" s="98">
        <f t="shared" ca="1" si="33"/>
        <v>18.379192334017795</v>
      </c>
      <c r="AE962" s="99">
        <f t="shared" ca="1" si="32"/>
        <v>48698</v>
      </c>
      <c r="AF962" s="6">
        <v>2.4663281549998604</v>
      </c>
    </row>
    <row r="963" spans="30:32" x14ac:dyDescent="0.2">
      <c r="AD963" s="98">
        <f t="shared" ca="1" si="33"/>
        <v>18.39835728952772</v>
      </c>
      <c r="AE963" s="99">
        <f t="shared" ca="1" si="32"/>
        <v>48705</v>
      </c>
      <c r="AF963" s="6">
        <v>2.4672860191969019</v>
      </c>
    </row>
    <row r="964" spans="30:32" x14ac:dyDescent="0.2">
      <c r="AD964" s="98">
        <f t="shared" ca="1" si="33"/>
        <v>18.417522245037645</v>
      </c>
      <c r="AE964" s="99">
        <f t="shared" ref="AE964:AE1027" ca="1" si="34">AE963+7</f>
        <v>48712</v>
      </c>
      <c r="AF964" s="6">
        <v>2.4682400975772594</v>
      </c>
    </row>
    <row r="965" spans="30:32" x14ac:dyDescent="0.2">
      <c r="AD965" s="98">
        <f t="shared" ref="AD965:AD1028" ca="1" si="35">(AE965-$B$3)/365.25</f>
        <v>18.436687200547571</v>
      </c>
      <c r="AE965" s="99">
        <f t="shared" ca="1" si="34"/>
        <v>48719</v>
      </c>
      <c r="AF965" s="6">
        <v>2.4691904121305432</v>
      </c>
    </row>
    <row r="966" spans="30:32" x14ac:dyDescent="0.2">
      <c r="AD966" s="98">
        <f t="shared" ca="1" si="35"/>
        <v>18.455852156057496</v>
      </c>
      <c r="AE966" s="99">
        <f t="shared" ca="1" si="34"/>
        <v>48726</v>
      </c>
      <c r="AF966" s="6">
        <v>2.4701369855326956</v>
      </c>
    </row>
    <row r="967" spans="30:32" x14ac:dyDescent="0.2">
      <c r="AD967" s="98">
        <f t="shared" ca="1" si="35"/>
        <v>18.475017111567421</v>
      </c>
      <c r="AE967" s="99">
        <f t="shared" ca="1" si="34"/>
        <v>48733</v>
      </c>
      <c r="AF967" s="6">
        <v>2.471079841131353</v>
      </c>
    </row>
    <row r="968" spans="30:32" x14ac:dyDescent="0.2">
      <c r="AD968" s="98">
        <f t="shared" ca="1" si="35"/>
        <v>18.494182067077343</v>
      </c>
      <c r="AE968" s="99">
        <f t="shared" ca="1" si="34"/>
        <v>48740</v>
      </c>
      <c r="AF968" s="6">
        <v>2.4720190029309803</v>
      </c>
    </row>
    <row r="969" spans="30:32" x14ac:dyDescent="0.2">
      <c r="AD969" s="98">
        <f t="shared" ca="1" si="35"/>
        <v>18.513347022587268</v>
      </c>
      <c r="AE969" s="99">
        <f t="shared" ca="1" si="34"/>
        <v>48747</v>
      </c>
      <c r="AF969" s="6">
        <v>2.4729544955778109</v>
      </c>
    </row>
    <row r="970" spans="30:32" x14ac:dyDescent="0.2">
      <c r="AD970" s="98">
        <f t="shared" ca="1" si="35"/>
        <v>18.532511978097194</v>
      </c>
      <c r="AE970" s="99">
        <f t="shared" ca="1" si="34"/>
        <v>48754</v>
      </c>
      <c r="AF970" s="6">
        <v>2.4738863443446002</v>
      </c>
    </row>
    <row r="971" spans="30:32" x14ac:dyDescent="0.2">
      <c r="AD971" s="98">
        <f t="shared" ca="1" si="35"/>
        <v>18.551676933607119</v>
      </c>
      <c r="AE971" s="99">
        <f t="shared" ca="1" si="34"/>
        <v>48761</v>
      </c>
      <c r="AF971" s="6">
        <v>2.4748145751152038</v>
      </c>
    </row>
    <row r="972" spans="30:32" x14ac:dyDescent="0.2">
      <c r="AD972" s="98">
        <f t="shared" ca="1" si="35"/>
        <v>18.570841889117045</v>
      </c>
      <c r="AE972" s="99">
        <f t="shared" ca="1" si="34"/>
        <v>48768</v>
      </c>
      <c r="AF972" s="6">
        <v>2.4757392143690029</v>
      </c>
    </row>
    <row r="973" spans="30:32" x14ac:dyDescent="0.2">
      <c r="AD973" s="98">
        <f t="shared" ca="1" si="35"/>
        <v>18.590006844626966</v>
      </c>
      <c r="AE973" s="99">
        <f t="shared" ca="1" si="34"/>
        <v>48775</v>
      </c>
      <c r="AF973" s="6">
        <v>2.4766602891651788</v>
      </c>
    </row>
    <row r="974" spans="30:32" x14ac:dyDescent="0.2">
      <c r="AD974" s="98">
        <f t="shared" ca="1" si="35"/>
        <v>18.609171800136892</v>
      </c>
      <c r="AE974" s="99">
        <f t="shared" ca="1" si="34"/>
        <v>48782</v>
      </c>
      <c r="AF974" s="6">
        <v>2.477577827126868</v>
      </c>
    </row>
    <row r="975" spans="30:32" x14ac:dyDescent="0.2">
      <c r="AD975" s="98">
        <f t="shared" ca="1" si="35"/>
        <v>18.628336755646817</v>
      </c>
      <c r="AE975" s="99">
        <f t="shared" ca="1" si="34"/>
        <v>48789</v>
      </c>
      <c r="AF975" s="6">
        <v>2.4784918564251881</v>
      </c>
    </row>
    <row r="976" spans="30:32" x14ac:dyDescent="0.2">
      <c r="AD976" s="98">
        <f t="shared" ca="1" si="35"/>
        <v>18.647501711156742</v>
      </c>
      <c r="AE976" s="99">
        <f t="shared" ca="1" si="34"/>
        <v>48796</v>
      </c>
      <c r="AF976" s="6">
        <v>2.4794024057631789</v>
      </c>
    </row>
    <row r="977" spans="30:32" x14ac:dyDescent="0.2">
      <c r="AD977" s="98">
        <f t="shared" ca="1" si="35"/>
        <v>18.666666666666668</v>
      </c>
      <c r="AE977" s="99">
        <f t="shared" ca="1" si="34"/>
        <v>48803</v>
      </c>
      <c r="AF977" s="6">
        <v>2.4803095043596408</v>
      </c>
    </row>
    <row r="978" spans="30:32" x14ac:dyDescent="0.2">
      <c r="AD978" s="98">
        <f t="shared" ca="1" si="35"/>
        <v>18.68583162217659</v>
      </c>
      <c r="AE978" s="99">
        <f t="shared" ca="1" si="34"/>
        <v>48810</v>
      </c>
      <c r="AF978" s="6">
        <v>2.4812131819329108</v>
      </c>
    </row>
    <row r="979" spans="30:32" x14ac:dyDescent="0.2">
      <c r="AD979" s="98">
        <f t="shared" ca="1" si="35"/>
        <v>18.704996577686515</v>
      </c>
      <c r="AE979" s="99">
        <f t="shared" ca="1" si="34"/>
        <v>48817</v>
      </c>
      <c r="AF979" s="6">
        <v>2.4821134686845689</v>
      </c>
    </row>
    <row r="980" spans="30:32" x14ac:dyDescent="0.2">
      <c r="AD980" s="98">
        <f t="shared" ca="1" si="35"/>
        <v>18.72416153319644</v>
      </c>
      <c r="AE980" s="99">
        <f t="shared" ca="1" si="34"/>
        <v>48824</v>
      </c>
      <c r="AF980" s="6">
        <v>2.4830103952831015</v>
      </c>
    </row>
    <row r="981" spans="30:32" x14ac:dyDescent="0.2">
      <c r="AD981" s="98">
        <f t="shared" ca="1" si="35"/>
        <v>18.743326488706366</v>
      </c>
      <c r="AE981" s="99">
        <f t="shared" ca="1" si="34"/>
        <v>48831</v>
      </c>
      <c r="AF981" s="6">
        <v>2.483903992847535</v>
      </c>
    </row>
    <row r="982" spans="30:32" x14ac:dyDescent="0.2">
      <c r="AD982" s="98">
        <f t="shared" ca="1" si="35"/>
        <v>18.762491444216291</v>
      </c>
      <c r="AE982" s="99">
        <f t="shared" ca="1" si="34"/>
        <v>48838</v>
      </c>
      <c r="AF982" s="6">
        <v>2.484794292931038</v>
      </c>
    </row>
    <row r="983" spans="30:32" x14ac:dyDescent="0.2">
      <c r="AD983" s="98">
        <f t="shared" ca="1" si="35"/>
        <v>18.781656399726216</v>
      </c>
      <c r="AE983" s="99">
        <f t="shared" ca="1" si="34"/>
        <v>48845</v>
      </c>
      <c r="AF983" s="6">
        <v>2.4856813275045289</v>
      </c>
    </row>
    <row r="984" spans="30:32" x14ac:dyDescent="0.2">
      <c r="AD984" s="98">
        <f t="shared" ca="1" si="35"/>
        <v>18.800821355236138</v>
      </c>
      <c r="AE984" s="99">
        <f t="shared" ca="1" si="34"/>
        <v>48852</v>
      </c>
      <c r="AF984" s="6">
        <v>2.4865651289402706</v>
      </c>
    </row>
    <row r="985" spans="30:32" x14ac:dyDescent="0.2">
      <c r="AD985" s="98">
        <f t="shared" ca="1" si="35"/>
        <v>18.819986310746064</v>
      </c>
      <c r="AE985" s="99">
        <f t="shared" ca="1" si="34"/>
        <v>48859</v>
      </c>
      <c r="AF985" s="6">
        <v>2.4874457299954988</v>
      </c>
    </row>
    <row r="986" spans="30:32" x14ac:dyDescent="0.2">
      <c r="AD986" s="98">
        <f t="shared" ca="1" si="35"/>
        <v>18.839151266255989</v>
      </c>
      <c r="AE986" s="99">
        <f t="shared" ca="1" si="34"/>
        <v>48866</v>
      </c>
      <c r="AF986" s="6">
        <v>2.4883231637960712</v>
      </c>
    </row>
    <row r="987" spans="30:32" x14ac:dyDescent="0.2">
      <c r="AD987" s="98">
        <f t="shared" ca="1" si="35"/>
        <v>18.858316221765914</v>
      </c>
      <c r="AE987" s="99">
        <f t="shared" ca="1" si="34"/>
        <v>48873</v>
      </c>
      <c r="AF987" s="6">
        <v>2.4891974638201497</v>
      </c>
    </row>
    <row r="988" spans="30:32" x14ac:dyDescent="0.2">
      <c r="AD988" s="98">
        <f t="shared" ca="1" si="35"/>
        <v>18.87748117727584</v>
      </c>
      <c r="AE988" s="99">
        <f t="shared" ca="1" si="34"/>
        <v>48880</v>
      </c>
      <c r="AF988" s="6">
        <v>2.4900686638819511</v>
      </c>
    </row>
    <row r="989" spans="30:32" x14ac:dyDescent="0.2">
      <c r="AD989" s="98">
        <f t="shared" ca="1" si="35"/>
        <v>18.896646132785762</v>
      </c>
      <c r="AE989" s="99">
        <f t="shared" ca="1" si="34"/>
        <v>48887</v>
      </c>
      <c r="AF989" s="6">
        <v>2.4909367981155452</v>
      </c>
    </row>
    <row r="990" spans="30:32" x14ac:dyDescent="0.2">
      <c r="AD990" s="98">
        <f t="shared" ca="1" si="35"/>
        <v>18.915811088295687</v>
      </c>
      <c r="AE990" s="99">
        <f t="shared" ca="1" si="34"/>
        <v>48894</v>
      </c>
      <c r="AF990" s="6">
        <v>2.4918019009587358</v>
      </c>
    </row>
    <row r="991" spans="30:32" x14ac:dyDescent="0.2">
      <c r="AD991" s="98">
        <f t="shared" ca="1" si="35"/>
        <v>18.934976043805612</v>
      </c>
      <c r="AE991" s="99">
        <f t="shared" ca="1" si="34"/>
        <v>48901</v>
      </c>
      <c r="AF991" s="6">
        <v>2.4926640071370207</v>
      </c>
    </row>
    <row r="992" spans="30:32" x14ac:dyDescent="0.2">
      <c r="AD992" s="98">
        <f t="shared" ca="1" si="35"/>
        <v>18.954140999315538</v>
      </c>
      <c r="AE992" s="99">
        <f t="shared" ca="1" si="34"/>
        <v>48908</v>
      </c>
      <c r="AF992" s="6">
        <v>2.4935231516476546</v>
      </c>
    </row>
    <row r="993" spans="30:32" x14ac:dyDescent="0.2">
      <c r="AD993" s="98">
        <f t="shared" ca="1" si="35"/>
        <v>18.973305954825463</v>
      </c>
      <c r="AE993" s="99">
        <f t="shared" ca="1" si="34"/>
        <v>48915</v>
      </c>
      <c r="AF993" s="6">
        <v>2.494379369743807</v>
      </c>
    </row>
    <row r="994" spans="30:32" x14ac:dyDescent="0.2">
      <c r="AD994" s="98">
        <f t="shared" ca="1" si="35"/>
        <v>18.992470910335388</v>
      </c>
      <c r="AE994" s="99">
        <f t="shared" ca="1" si="34"/>
        <v>48922</v>
      </c>
      <c r="AF994" s="6">
        <v>2.4952326969188436</v>
      </c>
    </row>
    <row r="995" spans="30:32" x14ac:dyDescent="0.2">
      <c r="AD995" s="98">
        <f t="shared" ca="1" si="35"/>
        <v>19.01163586584531</v>
      </c>
      <c r="AE995" s="99">
        <f t="shared" ca="1" si="34"/>
        <v>48929</v>
      </c>
      <c r="AF995" s="6">
        <v>2.4960831688907241</v>
      </c>
    </row>
    <row r="996" spans="30:32" x14ac:dyDescent="0.2">
      <c r="AD996" s="98">
        <f t="shared" ca="1" si="35"/>
        <v>19.030800821355236</v>
      </c>
      <c r="AE996" s="99">
        <f t="shared" ca="1" si="34"/>
        <v>48936</v>
      </c>
      <c r="AF996" s="6">
        <v>2.4969308215865396</v>
      </c>
    </row>
    <row r="997" spans="30:32" x14ac:dyDescent="0.2">
      <c r="AD997" s="98">
        <f t="shared" ca="1" si="35"/>
        <v>19.049965776865161</v>
      </c>
      <c r="AE997" s="99">
        <f t="shared" ca="1" si="34"/>
        <v>48943</v>
      </c>
      <c r="AF997" s="6">
        <v>2.4977756911271909</v>
      </c>
    </row>
    <row r="998" spans="30:32" x14ac:dyDescent="0.2">
      <c r="AD998" s="98">
        <f t="shared" ca="1" si="35"/>
        <v>19.069130732375086</v>
      </c>
      <c r="AE998" s="99">
        <f t="shared" ca="1" si="34"/>
        <v>48950</v>
      </c>
      <c r="AF998" s="6">
        <v>2.4986178138122117</v>
      </c>
    </row>
    <row r="999" spans="30:32" x14ac:dyDescent="0.2">
      <c r="AD999" s="98">
        <f t="shared" ca="1" si="35"/>
        <v>19.088295687885012</v>
      </c>
      <c r="AE999" s="99">
        <f t="shared" ca="1" si="34"/>
        <v>48957</v>
      </c>
      <c r="AF999" s="6">
        <v>2.499457226104759</v>
      </c>
    </row>
    <row r="1000" spans="30:32" x14ac:dyDescent="0.2">
      <c r="AD1000" s="98">
        <f t="shared" ca="1" si="35"/>
        <v>19.107460643394933</v>
      </c>
      <c r="AE1000" s="99">
        <f t="shared" ca="1" si="34"/>
        <v>48964</v>
      </c>
      <c r="AF1000" s="6">
        <v>2.5002939646167617</v>
      </c>
    </row>
    <row r="1001" spans="30:32" x14ac:dyDescent="0.2">
      <c r="AD1001" s="98">
        <f t="shared" ca="1" si="35"/>
        <v>19.126625598904859</v>
      </c>
      <c r="AE1001" s="99">
        <f t="shared" ca="1" si="34"/>
        <v>48971</v>
      </c>
      <c r="AF1001" s="6">
        <v>2.501128066094251</v>
      </c>
    </row>
    <row r="1002" spans="30:32" x14ac:dyDescent="0.2">
      <c r="AD1002" s="98">
        <f t="shared" ca="1" si="35"/>
        <v>19.145790554414784</v>
      </c>
      <c r="AE1002" s="99">
        <f t="shared" ca="1" si="34"/>
        <v>48978</v>
      </c>
      <c r="AF1002" s="6">
        <v>2.5019595674028614</v>
      </c>
    </row>
    <row r="1003" spans="30:32" x14ac:dyDescent="0.2">
      <c r="AD1003" s="98">
        <f t="shared" ca="1" si="35"/>
        <v>19.16495550992471</v>
      </c>
      <c r="AE1003" s="99">
        <f t="shared" ca="1" si="34"/>
        <v>48985</v>
      </c>
      <c r="AF1003" s="6">
        <v>2.5027885055135326</v>
      </c>
    </row>
    <row r="1004" spans="30:32" x14ac:dyDescent="0.2">
      <c r="AD1004" s="98">
        <f t="shared" ca="1" si="35"/>
        <v>19.184120465434635</v>
      </c>
      <c r="AE1004" s="99">
        <f t="shared" ca="1" si="34"/>
        <v>48992</v>
      </c>
      <c r="AF1004" s="6">
        <v>2.5036149174883926</v>
      </c>
    </row>
    <row r="1005" spans="30:32" x14ac:dyDescent="0.2">
      <c r="AD1005" s="98">
        <f t="shared" ca="1" si="35"/>
        <v>19.20328542094456</v>
      </c>
      <c r="AE1005" s="99">
        <f t="shared" ca="1" si="34"/>
        <v>48999</v>
      </c>
      <c r="AF1005" s="6">
        <v>2.5044388404668489</v>
      </c>
    </row>
    <row r="1006" spans="30:32" x14ac:dyDescent="0.2">
      <c r="AD1006" s="98">
        <f t="shared" ca="1" si="35"/>
        <v>19.222450376454482</v>
      </c>
      <c r="AE1006" s="99">
        <f t="shared" ca="1" si="34"/>
        <v>49006</v>
      </c>
      <c r="AF1006" s="6">
        <v>2.5052603116518859</v>
      </c>
    </row>
    <row r="1007" spans="30:32" x14ac:dyDescent="0.2">
      <c r="AD1007" s="98">
        <f t="shared" ca="1" si="35"/>
        <v>19.241615331964407</v>
      </c>
      <c r="AE1007" s="99">
        <f t="shared" ca="1" si="34"/>
        <v>49013</v>
      </c>
      <c r="AF1007" s="6">
        <v>2.5060793682965663</v>
      </c>
    </row>
    <row r="1008" spans="30:32" x14ac:dyDescent="0.2">
      <c r="AD1008" s="98">
        <f t="shared" ca="1" si="35"/>
        <v>19.260780287474333</v>
      </c>
      <c r="AE1008" s="99">
        <f t="shared" ca="1" si="34"/>
        <v>49020</v>
      </c>
      <c r="AF1008" s="6">
        <v>2.5068960476907631</v>
      </c>
    </row>
    <row r="1009" spans="30:32" x14ac:dyDescent="0.2">
      <c r="AD1009" s="98">
        <f t="shared" ca="1" si="35"/>
        <v>19.279945242984258</v>
      </c>
      <c r="AE1009" s="99">
        <f t="shared" ca="1" si="34"/>
        <v>49027</v>
      </c>
      <c r="AF1009" s="6">
        <v>2.5077103871480939</v>
      </c>
    </row>
    <row r="1010" spans="30:32" x14ac:dyDescent="0.2">
      <c r="AD1010" s="98">
        <f t="shared" ca="1" si="35"/>
        <v>19.299110198494184</v>
      </c>
      <c r="AE1010" s="99">
        <f t="shared" ca="1" si="34"/>
        <v>49034</v>
      </c>
      <c r="AF1010" s="6">
        <v>2.5085224239931003</v>
      </c>
    </row>
    <row r="1011" spans="30:32" x14ac:dyDescent="0.2">
      <c r="AD1011" s="98">
        <f t="shared" ca="1" si="35"/>
        <v>19.318275154004105</v>
      </c>
      <c r="AE1011" s="99">
        <f t="shared" ca="1" si="34"/>
        <v>49041</v>
      </c>
      <c r="AF1011" s="6">
        <v>2.509332195548645</v>
      </c>
    </row>
    <row r="1012" spans="30:32" x14ac:dyDescent="0.2">
      <c r="AD1012" s="98">
        <f t="shared" ca="1" si="35"/>
        <v>19.337440109514031</v>
      </c>
      <c r="AE1012" s="99">
        <f t="shared" ca="1" si="34"/>
        <v>49048</v>
      </c>
      <c r="AF1012" s="6">
        <v>2.5101397391235452</v>
      </c>
    </row>
    <row r="1013" spans="30:32" x14ac:dyDescent="0.2">
      <c r="AD1013" s="98">
        <f t="shared" ca="1" si="35"/>
        <v>19.356605065023956</v>
      </c>
      <c r="AE1013" s="99">
        <f t="shared" ca="1" si="34"/>
        <v>49055</v>
      </c>
      <c r="AF1013" s="6">
        <v>2.5109450920004504</v>
      </c>
    </row>
    <row r="1014" spans="30:32" x14ac:dyDescent="0.2">
      <c r="AD1014" s="98">
        <f t="shared" ca="1" si="35"/>
        <v>19.375770020533881</v>
      </c>
      <c r="AE1014" s="99">
        <f t="shared" ca="1" si="34"/>
        <v>49062</v>
      </c>
      <c r="AF1014" s="6">
        <v>2.5117482914239493</v>
      </c>
    </row>
    <row r="1015" spans="30:32" x14ac:dyDescent="0.2">
      <c r="AD1015" s="98">
        <f t="shared" ca="1" si="35"/>
        <v>19.394934976043807</v>
      </c>
      <c r="AE1015" s="99">
        <f t="shared" ca="1" si="34"/>
        <v>49069</v>
      </c>
      <c r="AF1015" s="6">
        <v>2.5125493745889269</v>
      </c>
    </row>
    <row r="1016" spans="30:32" x14ac:dyDescent="0.2">
      <c r="AD1016" s="98">
        <f t="shared" ca="1" si="35"/>
        <v>19.414099931553729</v>
      </c>
      <c r="AE1016" s="99">
        <f t="shared" ca="1" si="34"/>
        <v>49076</v>
      </c>
      <c r="AF1016" s="6">
        <v>2.5133483786291753</v>
      </c>
    </row>
    <row r="1017" spans="30:32" x14ac:dyDescent="0.2">
      <c r="AD1017" s="98">
        <f t="shared" ca="1" si="35"/>
        <v>19.433264887063654</v>
      </c>
      <c r="AE1017" s="99">
        <f t="shared" ca="1" si="34"/>
        <v>49083</v>
      </c>
      <c r="AF1017" s="6">
        <v>2.5141453406062326</v>
      </c>
    </row>
    <row r="1018" spans="30:32" x14ac:dyDescent="0.2">
      <c r="AD1018" s="98">
        <f t="shared" ca="1" si="35"/>
        <v>19.452429842573579</v>
      </c>
      <c r="AE1018" s="99">
        <f t="shared" ca="1" si="34"/>
        <v>49090</v>
      </c>
      <c r="AF1018" s="6">
        <v>2.5149402974984949</v>
      </c>
    </row>
    <row r="1019" spans="30:32" x14ac:dyDescent="0.2">
      <c r="AD1019" s="98">
        <f t="shared" ca="1" si="35"/>
        <v>19.471594798083505</v>
      </c>
      <c r="AE1019" s="99">
        <f t="shared" ca="1" si="34"/>
        <v>49097</v>
      </c>
      <c r="AF1019" s="6">
        <v>2.5157332861905659</v>
      </c>
    </row>
    <row r="1020" spans="30:32" x14ac:dyDescent="0.2">
      <c r="AD1020" s="98">
        <f t="shared" ca="1" si="35"/>
        <v>19.49075975359343</v>
      </c>
      <c r="AE1020" s="99">
        <f t="shared" ca="1" si="34"/>
        <v>49104</v>
      </c>
      <c r="AF1020" s="6">
        <v>2.5165243434628652</v>
      </c>
    </row>
    <row r="1021" spans="30:32" x14ac:dyDescent="0.2">
      <c r="AD1021" s="98">
        <f t="shared" ca="1" si="35"/>
        <v>19.509924709103355</v>
      </c>
      <c r="AE1021" s="99">
        <f t="shared" ca="1" si="34"/>
        <v>49111</v>
      </c>
      <c r="AF1021" s="6">
        <v>2.5173135059814977</v>
      </c>
    </row>
    <row r="1022" spans="30:32" x14ac:dyDescent="0.2">
      <c r="AD1022" s="98">
        <f t="shared" ca="1" si="35"/>
        <v>19.529089664613277</v>
      </c>
      <c r="AE1022" s="99">
        <f t="shared" ca="1" si="34"/>
        <v>49118</v>
      </c>
      <c r="AF1022" s="6">
        <v>2.5181008102883622</v>
      </c>
    </row>
    <row r="1023" spans="30:32" x14ac:dyDescent="0.2">
      <c r="AD1023" s="98">
        <f t="shared" ca="1" si="35"/>
        <v>19.548254620123203</v>
      </c>
      <c r="AE1023" s="99">
        <f t="shared" ca="1" si="34"/>
        <v>49125</v>
      </c>
      <c r="AF1023" s="6">
        <v>2.5188862927915356</v>
      </c>
    </row>
    <row r="1024" spans="30:32" x14ac:dyDescent="0.2">
      <c r="AD1024" s="98">
        <f t="shared" ca="1" si="35"/>
        <v>19.567419575633128</v>
      </c>
      <c r="AE1024" s="99">
        <f t="shared" ca="1" si="34"/>
        <v>49132</v>
      </c>
      <c r="AF1024" s="6">
        <v>2.5196699897559078</v>
      </c>
    </row>
    <row r="1025" spans="30:32" x14ac:dyDescent="0.2">
      <c r="AD1025" s="98">
        <f t="shared" ca="1" si="35"/>
        <v>19.586584531143053</v>
      </c>
      <c r="AE1025" s="99">
        <f t="shared" ca="1" si="34"/>
        <v>49139</v>
      </c>
      <c r="AF1025" s="6">
        <v>2.5204519372940659</v>
      </c>
    </row>
    <row r="1026" spans="30:32" x14ac:dyDescent="0.2">
      <c r="AD1026" s="98">
        <f t="shared" ca="1" si="35"/>
        <v>19.605749486652979</v>
      </c>
      <c r="AE1026" s="99">
        <f t="shared" ca="1" si="34"/>
        <v>49146</v>
      </c>
      <c r="AF1026" s="6">
        <v>2.5212321713574464</v>
      </c>
    </row>
    <row r="1027" spans="30:32" x14ac:dyDescent="0.2">
      <c r="AD1027" s="98">
        <f t="shared" ca="1" si="35"/>
        <v>19.6249144421629</v>
      </c>
      <c r="AE1027" s="99">
        <f t="shared" ca="1" si="34"/>
        <v>49153</v>
      </c>
      <c r="AF1027" s="6">
        <v>2.5220107277277437</v>
      </c>
    </row>
    <row r="1028" spans="30:32" x14ac:dyDescent="0.2">
      <c r="AD1028" s="98">
        <f t="shared" ca="1" si="35"/>
        <v>19.644079397672826</v>
      </c>
      <c r="AE1028" s="99">
        <f t="shared" ref="AE1028:AE1091" ca="1" si="36">AE1027+7</f>
        <v>49160</v>
      </c>
      <c r="AF1028" s="6">
        <v>2.522787642008566</v>
      </c>
    </row>
    <row r="1029" spans="30:32" x14ac:dyDescent="0.2">
      <c r="AD1029" s="98">
        <f t="shared" ref="AD1029:AD1092" ca="1" si="37">(AE1029-$B$3)/365.25</f>
        <v>19.663244353182751</v>
      </c>
      <c r="AE1029" s="99">
        <f t="shared" ca="1" si="36"/>
        <v>49167</v>
      </c>
      <c r="AF1029" s="6">
        <v>2.5235629496173595</v>
      </c>
    </row>
    <row r="1030" spans="30:32" x14ac:dyDescent="0.2">
      <c r="AD1030" s="98">
        <f t="shared" ca="1" si="37"/>
        <v>19.682409308692677</v>
      </c>
      <c r="AE1030" s="99">
        <f t="shared" ca="1" si="36"/>
        <v>49174</v>
      </c>
      <c r="AF1030" s="6">
        <v>2.5243366857775809</v>
      </c>
    </row>
    <row r="1031" spans="30:32" x14ac:dyDescent="0.2">
      <c r="AD1031" s="98">
        <f t="shared" ca="1" si="37"/>
        <v>19.701574264202602</v>
      </c>
      <c r="AE1031" s="99">
        <f t="shared" ca="1" si="36"/>
        <v>49181</v>
      </c>
      <c r="AF1031" s="6">
        <v>2.5251088855111208</v>
      </c>
    </row>
    <row r="1032" spans="30:32" x14ac:dyDescent="0.2">
      <c r="AD1032" s="98">
        <f t="shared" ca="1" si="37"/>
        <v>19.720739219712527</v>
      </c>
      <c r="AE1032" s="99">
        <f t="shared" ca="1" si="36"/>
        <v>49188</v>
      </c>
      <c r="AF1032" s="6">
        <v>2.5258795836309922</v>
      </c>
    </row>
    <row r="1033" spans="30:32" x14ac:dyDescent="0.2">
      <c r="AD1033" s="98">
        <f t="shared" ca="1" si="37"/>
        <v>19.739904175222449</v>
      </c>
      <c r="AE1033" s="99">
        <f t="shared" ca="1" si="36"/>
        <v>49195</v>
      </c>
      <c r="AF1033" s="6">
        <v>2.5266488147342554</v>
      </c>
    </row>
    <row r="1034" spans="30:32" x14ac:dyDescent="0.2">
      <c r="AD1034" s="98">
        <f t="shared" ca="1" si="37"/>
        <v>19.759069130732374</v>
      </c>
      <c r="AE1034" s="99">
        <f t="shared" ca="1" si="36"/>
        <v>49202</v>
      </c>
      <c r="AF1034" s="6">
        <v>2.5274166131952054</v>
      </c>
    </row>
    <row r="1035" spans="30:32" x14ac:dyDescent="0.2">
      <c r="AD1035" s="98">
        <f t="shared" ca="1" si="37"/>
        <v>19.7782340862423</v>
      </c>
      <c r="AE1035" s="99">
        <f t="shared" ca="1" si="36"/>
        <v>49209</v>
      </c>
      <c r="AF1035" s="6">
        <v>2.528183013158797</v>
      </c>
    </row>
    <row r="1036" spans="30:32" x14ac:dyDescent="0.2">
      <c r="AD1036" s="98">
        <f t="shared" ca="1" si="37"/>
        <v>19.797399041752225</v>
      </c>
      <c r="AE1036" s="99">
        <f t="shared" ca="1" si="36"/>
        <v>49216</v>
      </c>
      <c r="AF1036" s="6">
        <v>2.5289480485343243</v>
      </c>
    </row>
    <row r="1037" spans="30:32" x14ac:dyDescent="0.2">
      <c r="AD1037" s="98">
        <f t="shared" ca="1" si="37"/>
        <v>19.816563997262151</v>
      </c>
      <c r="AE1037" s="99">
        <f t="shared" ca="1" si="36"/>
        <v>49223</v>
      </c>
      <c r="AF1037" s="6">
        <v>2.5297117529893409</v>
      </c>
    </row>
    <row r="1038" spans="30:32" x14ac:dyDescent="0.2">
      <c r="AD1038" s="98">
        <f t="shared" ca="1" si="37"/>
        <v>19.835728952772072</v>
      </c>
      <c r="AE1038" s="99">
        <f t="shared" ca="1" si="36"/>
        <v>49230</v>
      </c>
      <c r="AF1038" s="6">
        <v>2.5304741599438159</v>
      </c>
    </row>
    <row r="1039" spans="30:32" x14ac:dyDescent="0.2">
      <c r="AD1039" s="98">
        <f t="shared" ca="1" si="37"/>
        <v>19.854893908281998</v>
      </c>
      <c r="AE1039" s="99">
        <f t="shared" ca="1" si="36"/>
        <v>49237</v>
      </c>
      <c r="AF1039" s="6">
        <v>2.5312353025645442</v>
      </c>
    </row>
    <row r="1040" spans="30:32" x14ac:dyDescent="0.2">
      <c r="AD1040" s="98">
        <f t="shared" ca="1" si="37"/>
        <v>19.874058863791923</v>
      </c>
      <c r="AE1040" s="99">
        <f t="shared" ca="1" si="36"/>
        <v>49244</v>
      </c>
      <c r="AF1040" s="6">
        <v>2.5319952137597714</v>
      </c>
    </row>
    <row r="1041" spans="30:32" x14ac:dyDescent="0.2">
      <c r="AD1041" s="98">
        <f t="shared" ca="1" si="37"/>
        <v>19.893223819301848</v>
      </c>
      <c r="AE1041" s="99">
        <f t="shared" ca="1" si="36"/>
        <v>49251</v>
      </c>
      <c r="AF1041" s="6">
        <v>2.5327539261740779</v>
      </c>
    </row>
    <row r="1042" spans="30:32" x14ac:dyDescent="0.2">
      <c r="AD1042" s="98">
        <f t="shared" ca="1" si="37"/>
        <v>19.912388774811774</v>
      </c>
      <c r="AE1042" s="99">
        <f t="shared" ca="1" si="36"/>
        <v>49258</v>
      </c>
      <c r="AF1042" s="6">
        <v>2.5335114721834735</v>
      </c>
    </row>
    <row r="1043" spans="30:32" x14ac:dyDescent="0.2">
      <c r="AD1043" s="98">
        <f t="shared" ca="1" si="37"/>
        <v>19.931553730321699</v>
      </c>
      <c r="AE1043" s="99">
        <f t="shared" ca="1" si="36"/>
        <v>49265</v>
      </c>
      <c r="AF1043" s="6">
        <v>2.5342678838907329</v>
      </c>
    </row>
    <row r="1044" spans="30:32" x14ac:dyDescent="0.2">
      <c r="AD1044" s="98">
        <f t="shared" ca="1" si="37"/>
        <v>19.950718685831621</v>
      </c>
      <c r="AE1044" s="99">
        <f t="shared" ca="1" si="36"/>
        <v>49272</v>
      </c>
      <c r="AF1044" s="6">
        <v>2.5350231931209493</v>
      </c>
    </row>
    <row r="1045" spans="30:32" x14ac:dyDescent="0.2">
      <c r="AD1045" s="98">
        <f t="shared" ca="1" si="37"/>
        <v>19.969883641341546</v>
      </c>
      <c r="AE1045" s="99">
        <f t="shared" ca="1" si="36"/>
        <v>49279</v>
      </c>
      <c r="AF1045" s="6">
        <v>2.5357774314173152</v>
      </c>
    </row>
    <row r="1046" spans="30:32" x14ac:dyDescent="0.2">
      <c r="AD1046" s="98">
        <f t="shared" ca="1" si="37"/>
        <v>19.989048596851472</v>
      </c>
      <c r="AE1046" s="99">
        <f t="shared" ca="1" si="36"/>
        <v>49286</v>
      </c>
      <c r="AF1046" s="6">
        <v>2.5365306300371193</v>
      </c>
    </row>
    <row r="1047" spans="30:32" x14ac:dyDescent="0.2">
      <c r="AD1047" s="98">
        <f t="shared" ca="1" si="37"/>
        <v>20.008213552361397</v>
      </c>
      <c r="AE1047" s="99">
        <f t="shared" ca="1" si="36"/>
        <v>49293</v>
      </c>
      <c r="AF1047" s="6">
        <v>2.5372827583814441</v>
      </c>
    </row>
    <row r="1048" spans="30:32" x14ac:dyDescent="0.2">
      <c r="AD1048" s="98">
        <f t="shared" ca="1" si="37"/>
        <v>20.027378507871322</v>
      </c>
      <c r="AE1048" s="99">
        <f t="shared" ca="1" si="36"/>
        <v>49300</v>
      </c>
      <c r="AF1048" s="6">
        <v>2.5380333269177684</v>
      </c>
    </row>
    <row r="1049" spans="30:32" x14ac:dyDescent="0.2">
      <c r="AD1049" s="98">
        <f t="shared" ca="1" si="37"/>
        <v>20.046543463381244</v>
      </c>
      <c r="AE1049" s="99">
        <f t="shared" ca="1" si="36"/>
        <v>49307</v>
      </c>
      <c r="AF1049" s="6">
        <v>2.5387821987148151</v>
      </c>
    </row>
    <row r="1050" spans="30:32" x14ac:dyDescent="0.2">
      <c r="AD1050" s="98">
        <f t="shared" ca="1" si="37"/>
        <v>20.06570841889117</v>
      </c>
      <c r="AE1050" s="99">
        <f t="shared" ca="1" si="36"/>
        <v>49314</v>
      </c>
      <c r="AF1050" s="6">
        <v>2.5395293427858525</v>
      </c>
    </row>
    <row r="1051" spans="30:32" x14ac:dyDescent="0.2">
      <c r="AD1051" s="98">
        <f t="shared" ca="1" si="37"/>
        <v>20.084873374401095</v>
      </c>
      <c r="AE1051" s="99">
        <f t="shared" ca="1" si="36"/>
        <v>49321</v>
      </c>
      <c r="AF1051" s="6">
        <v>2.5402747279797615</v>
      </c>
    </row>
    <row r="1052" spans="30:32" x14ac:dyDescent="0.2">
      <c r="AD1052" s="98">
        <f t="shared" ca="1" si="37"/>
        <v>20.10403832991102</v>
      </c>
      <c r="AE1052" s="99">
        <f t="shared" ca="1" si="36"/>
        <v>49328</v>
      </c>
      <c r="AF1052" s="6">
        <v>2.5410183229872398</v>
      </c>
    </row>
    <row r="1053" spans="30:32" x14ac:dyDescent="0.2">
      <c r="AD1053" s="98">
        <f t="shared" ca="1" si="37"/>
        <v>20.123203285420946</v>
      </c>
      <c r="AE1053" s="99">
        <f t="shared" ca="1" si="36"/>
        <v>49335</v>
      </c>
      <c r="AF1053" s="6">
        <v>2.5417600963472156</v>
      </c>
    </row>
    <row r="1054" spans="30:32" x14ac:dyDescent="0.2">
      <c r="AD1054" s="98">
        <f t="shared" ca="1" si="37"/>
        <v>20.142368240930868</v>
      </c>
      <c r="AE1054" s="99">
        <f t="shared" ca="1" si="36"/>
        <v>49342</v>
      </c>
      <c r="AF1054" s="6">
        <v>2.5425000164534728</v>
      </c>
    </row>
    <row r="1055" spans="30:32" x14ac:dyDescent="0.2">
      <c r="AD1055" s="98">
        <f t="shared" ca="1" si="37"/>
        <v>20.161533196440793</v>
      </c>
      <c r="AE1055" s="99">
        <f t="shared" ca="1" si="36"/>
        <v>49349</v>
      </c>
      <c r="AF1055" s="6">
        <v>2.5432380515615005</v>
      </c>
    </row>
    <row r="1056" spans="30:32" x14ac:dyDescent="0.2">
      <c r="AD1056" s="98">
        <f t="shared" ca="1" si="37"/>
        <v>20.180698151950718</v>
      </c>
      <c r="AE1056" s="99">
        <f t="shared" ca="1" si="36"/>
        <v>49356</v>
      </c>
      <c r="AF1056" s="6">
        <v>2.543974169795558</v>
      </c>
    </row>
    <row r="1057" spans="30:32" x14ac:dyDescent="0.2">
      <c r="AD1057" s="98">
        <f t="shared" ca="1" si="37"/>
        <v>20.199863107460644</v>
      </c>
      <c r="AE1057" s="99">
        <f t="shared" ca="1" si="36"/>
        <v>49363</v>
      </c>
      <c r="AF1057" s="6">
        <v>2.5447083391559531</v>
      </c>
    </row>
    <row r="1058" spans="30:32" x14ac:dyDescent="0.2">
      <c r="AD1058" s="98">
        <f t="shared" ca="1" si="37"/>
        <v>20.219028062970569</v>
      </c>
      <c r="AE1058" s="99">
        <f t="shared" ca="1" si="36"/>
        <v>49370</v>
      </c>
      <c r="AF1058" s="6">
        <v>2.5454405275265533</v>
      </c>
    </row>
    <row r="1059" spans="30:32" x14ac:dyDescent="0.2">
      <c r="AD1059" s="98">
        <f t="shared" ca="1" si="37"/>
        <v>20.238193018480494</v>
      </c>
      <c r="AE1059" s="99">
        <f t="shared" ca="1" si="36"/>
        <v>49377</v>
      </c>
      <c r="AF1059" s="6">
        <v>2.5461707026825051</v>
      </c>
    </row>
    <row r="1060" spans="30:32" x14ac:dyDescent="0.2">
      <c r="AD1060" s="98">
        <f t="shared" ca="1" si="37"/>
        <v>20.257357973990416</v>
      </c>
      <c r="AE1060" s="99">
        <f t="shared" ca="1" si="36"/>
        <v>49384</v>
      </c>
      <c r="AF1060" s="6">
        <v>2.5468988322981829</v>
      </c>
    </row>
    <row r="1061" spans="30:32" x14ac:dyDescent="0.2">
      <c r="AD1061" s="98">
        <f t="shared" ca="1" si="37"/>
        <v>20.276522929500342</v>
      </c>
      <c r="AE1061" s="99">
        <f t="shared" ca="1" si="36"/>
        <v>49391</v>
      </c>
      <c r="AF1061" s="6">
        <v>2.5476248839553666</v>
      </c>
    </row>
    <row r="1062" spans="30:32" x14ac:dyDescent="0.2">
      <c r="AD1062" s="98">
        <f t="shared" ca="1" si="37"/>
        <v>20.295687885010267</v>
      </c>
      <c r="AE1062" s="99">
        <f t="shared" ca="1" si="36"/>
        <v>49398</v>
      </c>
      <c r="AF1062" s="6">
        <v>2.5483488251516246</v>
      </c>
    </row>
    <row r="1063" spans="30:32" x14ac:dyDescent="0.2">
      <c r="AD1063" s="98">
        <f t="shared" ca="1" si="37"/>
        <v>20.314852840520192</v>
      </c>
      <c r="AE1063" s="99">
        <f t="shared" ca="1" si="36"/>
        <v>49405</v>
      </c>
      <c r="AF1063" s="6">
        <v>2.5490706233089391</v>
      </c>
    </row>
    <row r="1064" spans="30:32" x14ac:dyDescent="0.2">
      <c r="AD1064" s="98">
        <f t="shared" ca="1" si="37"/>
        <v>20.334017796030118</v>
      </c>
      <c r="AE1064" s="99">
        <f t="shared" ca="1" si="36"/>
        <v>49412</v>
      </c>
      <c r="AF1064" s="6">
        <v>2.5497902457825448</v>
      </c>
    </row>
    <row r="1065" spans="30:32" x14ac:dyDescent="0.2">
      <c r="AD1065" s="98">
        <f t="shared" ca="1" si="37"/>
        <v>20.353182751540039</v>
      </c>
      <c r="AE1065" s="99">
        <f t="shared" ca="1" si="36"/>
        <v>49419</v>
      </c>
      <c r="AF1065" s="6">
        <v>2.5505076598699947</v>
      </c>
    </row>
    <row r="1066" spans="30:32" x14ac:dyDescent="0.2">
      <c r="AD1066" s="98">
        <f t="shared" ca="1" si="37"/>
        <v>20.372347707049965</v>
      </c>
      <c r="AE1066" s="99">
        <f t="shared" ca="1" si="36"/>
        <v>49426</v>
      </c>
      <c r="AF1066" s="6">
        <v>2.551222832820438</v>
      </c>
    </row>
    <row r="1067" spans="30:32" x14ac:dyDescent="0.2">
      <c r="AD1067" s="98">
        <f t="shared" ca="1" si="37"/>
        <v>20.39151266255989</v>
      </c>
      <c r="AE1067" s="99">
        <f t="shared" ca="1" si="36"/>
        <v>49433</v>
      </c>
      <c r="AF1067" s="6">
        <v>2.5519357318441487</v>
      </c>
    </row>
    <row r="1068" spans="30:32" x14ac:dyDescent="0.2">
      <c r="AD1068" s="98">
        <f t="shared" ca="1" si="37"/>
        <v>20.410677618069816</v>
      </c>
      <c r="AE1068" s="99">
        <f t="shared" ca="1" si="36"/>
        <v>49440</v>
      </c>
      <c r="AF1068" s="6">
        <v>2.5526463241222364</v>
      </c>
    </row>
    <row r="1069" spans="30:32" x14ac:dyDescent="0.2">
      <c r="AD1069" s="98">
        <f t="shared" ca="1" si="37"/>
        <v>20.429842573579741</v>
      </c>
      <c r="AE1069" s="99">
        <f t="shared" ca="1" si="36"/>
        <v>49447</v>
      </c>
      <c r="AF1069" s="6">
        <v>2.5533545768166106</v>
      </c>
    </row>
    <row r="1070" spans="30:32" x14ac:dyDescent="0.2">
      <c r="AD1070" s="98">
        <f t="shared" ca="1" si="37"/>
        <v>20.449007529089666</v>
      </c>
      <c r="AE1070" s="99">
        <f t="shared" ca="1" si="36"/>
        <v>49454</v>
      </c>
      <c r="AF1070" s="6">
        <v>2.5540604570801499</v>
      </c>
    </row>
    <row r="1071" spans="30:32" x14ac:dyDescent="0.2">
      <c r="AD1071" s="98">
        <f t="shared" ca="1" si="37"/>
        <v>20.468172484599588</v>
      </c>
      <c r="AE1071" s="99">
        <f t="shared" ca="1" si="36"/>
        <v>49461</v>
      </c>
      <c r="AF1071" s="6">
        <v>2.5547639320670896</v>
      </c>
    </row>
    <row r="1072" spans="30:32" x14ac:dyDescent="0.2">
      <c r="AD1072" s="98">
        <f t="shared" ca="1" si="37"/>
        <v>20.487337440109513</v>
      </c>
      <c r="AE1072" s="99">
        <f t="shared" ca="1" si="36"/>
        <v>49468</v>
      </c>
      <c r="AF1072" s="6">
        <v>2.5554649689436282</v>
      </c>
    </row>
    <row r="1073" spans="30:32" x14ac:dyDescent="0.2">
      <c r="AD1073" s="98">
        <f t="shared" ca="1" si="37"/>
        <v>20.506502395619439</v>
      </c>
      <c r="AE1073" s="99">
        <f t="shared" ca="1" si="36"/>
        <v>49475</v>
      </c>
      <c r="AF1073" s="6">
        <v>2.556163534898749</v>
      </c>
    </row>
    <row r="1074" spans="30:32" x14ac:dyDescent="0.2">
      <c r="AD1074" s="98">
        <f t="shared" ca="1" si="37"/>
        <v>20.525667351129364</v>
      </c>
      <c r="AE1074" s="99">
        <f t="shared" ca="1" si="36"/>
        <v>49482</v>
      </c>
      <c r="AF1074" s="6">
        <v>2.5568595971552477</v>
      </c>
    </row>
    <row r="1075" spans="30:32" x14ac:dyDescent="0.2">
      <c r="AD1075" s="98">
        <f t="shared" ca="1" si="37"/>
        <v>20.544832306639289</v>
      </c>
      <c r="AE1075" s="99">
        <f t="shared" ca="1" si="36"/>
        <v>49489</v>
      </c>
      <c r="AF1075" s="6">
        <v>2.5575531229809805</v>
      </c>
    </row>
    <row r="1076" spans="30:32" x14ac:dyDescent="0.2">
      <c r="AD1076" s="98">
        <f t="shared" ca="1" si="37"/>
        <v>20.563997262149211</v>
      </c>
      <c r="AE1076" s="99">
        <f t="shared" ca="1" si="36"/>
        <v>49496</v>
      </c>
      <c r="AF1076" s="6">
        <v>2.5582440797003088</v>
      </c>
    </row>
    <row r="1077" spans="30:32" x14ac:dyDescent="0.2">
      <c r="AD1077" s="98">
        <f t="shared" ca="1" si="37"/>
        <v>20.583162217659137</v>
      </c>
      <c r="AE1077" s="99">
        <f t="shared" ca="1" si="36"/>
        <v>49503</v>
      </c>
      <c r="AF1077" s="6">
        <v>2.5589324347057518</v>
      </c>
    </row>
    <row r="1078" spans="30:32" x14ac:dyDescent="0.2">
      <c r="AD1078" s="98">
        <f t="shared" ca="1" si="37"/>
        <v>20.602327173169062</v>
      </c>
      <c r="AE1078" s="99">
        <f t="shared" ca="1" si="36"/>
        <v>49510</v>
      </c>
      <c r="AF1078" s="6">
        <v>2.5596181554698445</v>
      </c>
    </row>
    <row r="1079" spans="30:32" x14ac:dyDescent="0.2">
      <c r="AD1079" s="98">
        <f t="shared" ca="1" si="37"/>
        <v>20.621492128678987</v>
      </c>
      <c r="AE1079" s="99">
        <f t="shared" ca="1" si="36"/>
        <v>49517</v>
      </c>
      <c r="AF1079" s="6">
        <v>2.560301209557184</v>
      </c>
    </row>
    <row r="1080" spans="30:32" x14ac:dyDescent="0.2">
      <c r="AD1080" s="98">
        <f t="shared" ca="1" si="37"/>
        <v>20.640657084188913</v>
      </c>
      <c r="AE1080" s="99">
        <f t="shared" ca="1" si="36"/>
        <v>49524</v>
      </c>
      <c r="AF1080" s="6">
        <v>2.5609815646366796</v>
      </c>
    </row>
    <row r="1081" spans="30:32" x14ac:dyDescent="0.2">
      <c r="AD1081" s="98">
        <f t="shared" ca="1" si="37"/>
        <v>20.659822039698838</v>
      </c>
      <c r="AE1081" s="99">
        <f t="shared" ca="1" si="36"/>
        <v>49531</v>
      </c>
      <c r="AF1081" s="6">
        <v>2.5616591884939774</v>
      </c>
    </row>
    <row r="1082" spans="30:32" x14ac:dyDescent="0.2">
      <c r="AD1082" s="98">
        <f t="shared" ca="1" si="37"/>
        <v>20.67898699520876</v>
      </c>
      <c r="AE1082" s="99">
        <f t="shared" ca="1" si="36"/>
        <v>49538</v>
      </c>
      <c r="AF1082" s="6">
        <v>2.5623340490440918</v>
      </c>
    </row>
    <row r="1083" spans="30:32" x14ac:dyDescent="0.2">
      <c r="AD1083" s="98">
        <f t="shared" ca="1" si="37"/>
        <v>20.698151950718685</v>
      </c>
      <c r="AE1083" s="99">
        <f t="shared" ca="1" si="36"/>
        <v>49545</v>
      </c>
      <c r="AF1083" s="6">
        <v>2.5630061143441965</v>
      </c>
    </row>
    <row r="1084" spans="30:32" x14ac:dyDescent="0.2">
      <c r="AD1084" s="98">
        <f t="shared" ca="1" si="37"/>
        <v>20.717316906228611</v>
      </c>
      <c r="AE1084" s="99">
        <f t="shared" ca="1" si="36"/>
        <v>49552</v>
      </c>
      <c r="AF1084" s="6">
        <v>2.5636753526066047</v>
      </c>
    </row>
    <row r="1085" spans="30:32" x14ac:dyDescent="0.2">
      <c r="AD1085" s="98">
        <f t="shared" ca="1" si="37"/>
        <v>20.736481861738536</v>
      </c>
      <c r="AE1085" s="99">
        <f t="shared" ca="1" si="36"/>
        <v>49559</v>
      </c>
      <c r="AF1085" s="6">
        <v>2.56434173221191</v>
      </c>
    </row>
    <row r="1086" spans="30:32" x14ac:dyDescent="0.2">
      <c r="AD1086" s="98">
        <f t="shared" ca="1" si="37"/>
        <v>20.755646817248461</v>
      </c>
      <c r="AE1086" s="99">
        <f t="shared" ca="1" si="36"/>
        <v>49566</v>
      </c>
      <c r="AF1086" s="6">
        <v>2.5650052217223025</v>
      </c>
    </row>
    <row r="1087" spans="30:32" x14ac:dyDescent="0.2">
      <c r="AD1087" s="98">
        <f t="shared" ca="1" si="37"/>
        <v>20.774811772758383</v>
      </c>
      <c r="AE1087" s="99">
        <f t="shared" ca="1" si="36"/>
        <v>49573</v>
      </c>
      <c r="AF1087" s="6">
        <v>2.5656657898950375</v>
      </c>
    </row>
    <row r="1088" spans="30:32" x14ac:dyDescent="0.2">
      <c r="AD1088" s="98">
        <f t="shared" ca="1" si="37"/>
        <v>20.793976728268309</v>
      </c>
      <c r="AE1088" s="99">
        <f t="shared" ca="1" si="36"/>
        <v>49580</v>
      </c>
      <c r="AF1088" s="6">
        <v>2.5663234056960511</v>
      </c>
    </row>
    <row r="1089" spans="30:32" x14ac:dyDescent="0.2">
      <c r="AD1089" s="98">
        <f t="shared" ca="1" si="37"/>
        <v>20.813141683778234</v>
      </c>
      <c r="AE1089" s="99">
        <f t="shared" ca="1" si="36"/>
        <v>49587</v>
      </c>
      <c r="AF1089" s="6">
        <v>2.5669780383137413</v>
      </c>
    </row>
    <row r="1090" spans="30:32" x14ac:dyDescent="0.2">
      <c r="AD1090" s="98">
        <f t="shared" ca="1" si="37"/>
        <v>20.832306639288159</v>
      </c>
      <c r="AE1090" s="99">
        <f t="shared" ca="1" si="36"/>
        <v>49594</v>
      </c>
      <c r="AF1090" s="6">
        <v>2.5676296571728674</v>
      </c>
    </row>
    <row r="1091" spans="30:32" x14ac:dyDescent="0.2">
      <c r="AD1091" s="98">
        <f t="shared" ca="1" si="37"/>
        <v>20.851471594798085</v>
      </c>
      <c r="AE1091" s="99">
        <f t="shared" ca="1" si="36"/>
        <v>49601</v>
      </c>
      <c r="AF1091" s="6">
        <v>2.5682782319485979</v>
      </c>
    </row>
    <row r="1092" spans="30:32" x14ac:dyDescent="0.2">
      <c r="AD1092" s="98">
        <f t="shared" ca="1" si="37"/>
        <v>20.870636550308006</v>
      </c>
      <c r="AE1092" s="99">
        <f t="shared" ref="AE1092:AE1155" ca="1" si="38">AE1091+7</f>
        <v>49608</v>
      </c>
      <c r="AF1092" s="6">
        <v>2.5689237325806751</v>
      </c>
    </row>
    <row r="1093" spans="30:32" x14ac:dyDescent="0.2">
      <c r="AD1093" s="98">
        <f t="shared" ref="AD1093:AD1156" ca="1" si="39">(AE1093-$B$3)/365.25</f>
        <v>20.889801505817932</v>
      </c>
      <c r="AE1093" s="99">
        <f t="shared" ca="1" si="38"/>
        <v>49615</v>
      </c>
      <c r="AF1093" s="6">
        <v>2.5695661292877019</v>
      </c>
    </row>
    <row r="1094" spans="30:32" x14ac:dyDescent="0.2">
      <c r="AD1094" s="98">
        <f t="shared" ca="1" si="39"/>
        <v>20.908966461327857</v>
      </c>
      <c r="AE1094" s="99">
        <f t="shared" ca="1" si="38"/>
        <v>49622</v>
      </c>
      <c r="AF1094" s="6">
        <v>2.5702053925815385</v>
      </c>
    </row>
    <row r="1095" spans="30:32" x14ac:dyDescent="0.2">
      <c r="AD1095" s="98">
        <f t="shared" ca="1" si="39"/>
        <v>20.928131416837783</v>
      </c>
      <c r="AE1095" s="99">
        <f t="shared" ca="1" si="38"/>
        <v>49629</v>
      </c>
      <c r="AF1095" s="6">
        <v>2.5708414932817973</v>
      </c>
    </row>
    <row r="1096" spans="30:32" x14ac:dyDescent="0.2">
      <c r="AD1096" s="98">
        <f t="shared" ca="1" si="39"/>
        <v>20.947296372347708</v>
      </c>
      <c r="AE1096" s="99">
        <f t="shared" ca="1" si="38"/>
        <v>49636</v>
      </c>
      <c r="AF1096" s="6">
        <v>2.5714744025304364</v>
      </c>
    </row>
    <row r="1097" spans="30:32" x14ac:dyDescent="0.2">
      <c r="AD1097" s="98">
        <f t="shared" ca="1" si="39"/>
        <v>20.966461327857633</v>
      </c>
      <c r="AE1097" s="99">
        <f t="shared" ca="1" si="38"/>
        <v>49643</v>
      </c>
      <c r="AF1097" s="6">
        <v>2.5721040918064362</v>
      </c>
    </row>
    <row r="1098" spans="30:32" x14ac:dyDescent="0.2">
      <c r="AD1098" s="98">
        <f t="shared" ca="1" si="39"/>
        <v>20.985626283367555</v>
      </c>
      <c r="AE1098" s="99">
        <f t="shared" ca="1" si="38"/>
        <v>49650</v>
      </c>
      <c r="AF1098" s="6">
        <v>2.5727305329405481</v>
      </c>
    </row>
    <row r="1099" spans="30:32" x14ac:dyDescent="0.2">
      <c r="AD1099" s="98">
        <f t="shared" ca="1" si="39"/>
        <v>21.00479123887748</v>
      </c>
      <c r="AE1099" s="99">
        <f t="shared" ca="1" si="38"/>
        <v>49657</v>
      </c>
      <c r="AF1099" s="6">
        <v>2.5733536981301151</v>
      </c>
    </row>
    <row r="1100" spans="30:32" x14ac:dyDescent="0.2">
      <c r="AD1100" s="98">
        <f t="shared" ca="1" si="39"/>
        <v>21.023956194387406</v>
      </c>
      <c r="AE1100" s="99">
        <f t="shared" ca="1" si="38"/>
        <v>49664</v>
      </c>
      <c r="AF1100" s="6">
        <v>2.5739735599539442</v>
      </c>
    </row>
    <row r="1101" spans="30:32" x14ac:dyDescent="0.2">
      <c r="AD1101" s="98">
        <f t="shared" ca="1" si="39"/>
        <v>21.043121149897331</v>
      </c>
      <c r="AE1101" s="99">
        <f t="shared" ca="1" si="38"/>
        <v>49671</v>
      </c>
      <c r="AF1101" s="6">
        <v>2.5745900913872282</v>
      </c>
    </row>
    <row r="1102" spans="30:32" x14ac:dyDescent="0.2">
      <c r="AD1102" s="98">
        <f t="shared" ca="1" si="39"/>
        <v>21.062286105407257</v>
      </c>
      <c r="AE1102" s="99">
        <f t="shared" ca="1" si="38"/>
        <v>49678</v>
      </c>
      <c r="AF1102" s="6">
        <v>2.5752032658165058</v>
      </c>
    </row>
    <row r="1103" spans="30:32" x14ac:dyDescent="0.2">
      <c r="AD1103" s="98">
        <f t="shared" ca="1" si="39"/>
        <v>21.081451060917178</v>
      </c>
      <c r="AE1103" s="99">
        <f t="shared" ca="1" si="38"/>
        <v>49685</v>
      </c>
      <c r="AF1103" s="6">
        <v>2.5758130570546434</v>
      </c>
    </row>
    <row r="1104" spans="30:32" x14ac:dyDescent="0.2">
      <c r="AD1104" s="98">
        <f t="shared" ca="1" si="39"/>
        <v>21.100616016427104</v>
      </c>
      <c r="AE1104" s="99">
        <f t="shared" ca="1" si="38"/>
        <v>49692</v>
      </c>
      <c r="AF1104" s="6">
        <v>2.5764194393558335</v>
      </c>
    </row>
    <row r="1105" spans="30:32" x14ac:dyDescent="0.2">
      <c r="AD1105" s="98">
        <f t="shared" ca="1" si="39"/>
        <v>21.119780971937029</v>
      </c>
      <c r="AE1105" s="99">
        <f t="shared" ca="1" si="38"/>
        <v>49699</v>
      </c>
      <c r="AF1105" s="6">
        <v>2.577022387430604</v>
      </c>
    </row>
    <row r="1106" spans="30:32" x14ac:dyDescent="0.2">
      <c r="AD1106" s="98">
        <f t="shared" ca="1" si="39"/>
        <v>21.138945927446954</v>
      </c>
      <c r="AE1106" s="99">
        <f t="shared" ca="1" si="38"/>
        <v>49706</v>
      </c>
      <c r="AF1106" s="6">
        <v>2.5776218764608143</v>
      </c>
    </row>
    <row r="1107" spans="30:32" x14ac:dyDescent="0.2">
      <c r="AD1107" s="98">
        <f t="shared" ca="1" si="39"/>
        <v>21.15811088295688</v>
      </c>
      <c r="AE1107" s="99">
        <f t="shared" ca="1" si="38"/>
        <v>49713</v>
      </c>
      <c r="AF1107" s="6">
        <v>2.5782178821146333</v>
      </c>
    </row>
    <row r="1108" spans="30:32" x14ac:dyDescent="0.2">
      <c r="AD1108" s="98">
        <f t="shared" ca="1" si="39"/>
        <v>21.177275838466805</v>
      </c>
      <c r="AE1108" s="99">
        <f t="shared" ca="1" si="38"/>
        <v>49720</v>
      </c>
      <c r="AF1108" s="6">
        <v>2.5788103805614884</v>
      </c>
    </row>
    <row r="1109" spans="30:32" x14ac:dyDescent="0.2">
      <c r="AD1109" s="98">
        <f t="shared" ca="1" si="39"/>
        <v>21.196440793976727</v>
      </c>
      <c r="AE1109" s="99">
        <f t="shared" ca="1" si="38"/>
        <v>49727</v>
      </c>
      <c r="AF1109" s="6">
        <v>2.579399348486985</v>
      </c>
    </row>
    <row r="1110" spans="30:32" x14ac:dyDescent="0.2">
      <c r="AD1110" s="98">
        <f t="shared" ca="1" si="39"/>
        <v>21.215605749486652</v>
      </c>
      <c r="AE1110" s="99">
        <f t="shared" ca="1" si="38"/>
        <v>49734</v>
      </c>
      <c r="AF1110" s="6">
        <v>2.5799847631077513</v>
      </c>
    </row>
    <row r="1111" spans="30:32" x14ac:dyDescent="0.2">
      <c r="AD1111" s="98">
        <f t="shared" ca="1" si="39"/>
        <v>21.234770704996578</v>
      </c>
      <c r="AE1111" s="99">
        <f t="shared" ca="1" si="38"/>
        <v>49741</v>
      </c>
      <c r="AF1111" s="6">
        <v>2.5805666021862361</v>
      </c>
    </row>
    <row r="1112" spans="30:32" x14ac:dyDescent="0.2">
      <c r="AD1112" s="98">
        <f t="shared" ca="1" si="39"/>
        <v>21.253935660506503</v>
      </c>
      <c r="AE1112" s="99">
        <f t="shared" ca="1" si="38"/>
        <v>49748</v>
      </c>
      <c r="AF1112" s="6">
        <v>2.5811448440454168</v>
      </c>
    </row>
    <row r="1113" spans="30:32" x14ac:dyDescent="0.2">
      <c r="AD1113" s="98">
        <f t="shared" ca="1" si="39"/>
        <v>21.273100616016428</v>
      </c>
      <c r="AE1113" s="99">
        <f t="shared" ca="1" si="38"/>
        <v>49755</v>
      </c>
      <c r="AF1113" s="6">
        <v>2.5817194675834281</v>
      </c>
    </row>
    <row r="1114" spans="30:32" x14ac:dyDescent="0.2">
      <c r="AD1114" s="98">
        <f t="shared" ca="1" si="39"/>
        <v>21.29226557152635</v>
      </c>
      <c r="AE1114" s="99">
        <f t="shared" ca="1" si="38"/>
        <v>49762</v>
      </c>
      <c r="AF1114" s="6">
        <v>2.582290452288075</v>
      </c>
    </row>
    <row r="1115" spans="30:32" x14ac:dyDescent="0.2">
      <c r="AD1115" s="98">
        <f t="shared" ca="1" si="39"/>
        <v>21.311430527036276</v>
      </c>
      <c r="AE1115" s="99">
        <f t="shared" ca="1" si="38"/>
        <v>49769</v>
      </c>
      <c r="AF1115" s="6">
        <v>2.5828577782512419</v>
      </c>
    </row>
    <row r="1116" spans="30:32" x14ac:dyDescent="0.2">
      <c r="AD1116" s="98">
        <f t="shared" ca="1" si="39"/>
        <v>21.330595482546201</v>
      </c>
      <c r="AE1116" s="99">
        <f t="shared" ca="1" si="38"/>
        <v>49776</v>
      </c>
      <c r="AF1116" s="6">
        <v>2.5834214261831643</v>
      </c>
    </row>
    <row r="1117" spans="30:32" x14ac:dyDescent="0.2">
      <c r="AD1117" s="98">
        <f t="shared" ca="1" si="39"/>
        <v>21.349760438056126</v>
      </c>
      <c r="AE1117" s="99">
        <f t="shared" ca="1" si="38"/>
        <v>49783</v>
      </c>
      <c r="AF1117" s="6">
        <v>2.5839813774265621</v>
      </c>
    </row>
    <row r="1118" spans="30:32" x14ac:dyDescent="0.2">
      <c r="AD1118" s="98">
        <f t="shared" ca="1" si="39"/>
        <v>21.368925393566052</v>
      </c>
      <c r="AE1118" s="99">
        <f t="shared" ca="1" si="38"/>
        <v>49790</v>
      </c>
      <c r="AF1118" s="6">
        <v>2.5845376139706189</v>
      </c>
    </row>
    <row r="1119" spans="30:32" x14ac:dyDescent="0.2">
      <c r="AD1119" s="98">
        <f t="shared" ca="1" si="39"/>
        <v>21.388090349075977</v>
      </c>
      <c r="AE1119" s="99">
        <f t="shared" ca="1" si="38"/>
        <v>49797</v>
      </c>
      <c r="AF1119" s="6">
        <v>2.585090118464787</v>
      </c>
    </row>
    <row r="1120" spans="30:32" x14ac:dyDescent="0.2">
      <c r="AD1120" s="98">
        <f t="shared" ca="1" si="39"/>
        <v>21.407255304585899</v>
      </c>
      <c r="AE1120" s="99">
        <f t="shared" ca="1" si="38"/>
        <v>49804</v>
      </c>
      <c r="AF1120" s="6">
        <v>2.5856388742324237</v>
      </c>
    </row>
    <row r="1121" spans="30:32" x14ac:dyDescent="0.2">
      <c r="AD1121" s="98">
        <f t="shared" ca="1" si="39"/>
        <v>21.426420260095824</v>
      </c>
      <c r="AE1121" s="99">
        <f t="shared" ca="1" si="38"/>
        <v>49811</v>
      </c>
      <c r="AF1121" s="6">
        <v>2.5861838652842155</v>
      </c>
    </row>
    <row r="1122" spans="30:32" x14ac:dyDescent="0.2">
      <c r="AD1122" s="98">
        <f t="shared" ca="1" si="39"/>
        <v>21.44558521560575</v>
      </c>
      <c r="AE1122" s="99">
        <f t="shared" ca="1" si="38"/>
        <v>49818</v>
      </c>
      <c r="AF1122" s="6">
        <v>2.586725076331406</v>
      </c>
    </row>
    <row r="1123" spans="30:32" x14ac:dyDescent="0.2">
      <c r="AD1123" s="98">
        <f t="shared" ca="1" si="39"/>
        <v>21.464750171115675</v>
      </c>
      <c r="AE1123" s="99">
        <f t="shared" ca="1" si="38"/>
        <v>49825</v>
      </c>
      <c r="AF1123" s="6">
        <v>2.5872624927988022</v>
      </c>
    </row>
    <row r="1124" spans="30:32" x14ac:dyDescent="0.2">
      <c r="AD1124" s="98">
        <f t="shared" ca="1" si="39"/>
        <v>21.4839151266256</v>
      </c>
      <c r="AE1124" s="99">
        <f t="shared" ca="1" si="38"/>
        <v>49832</v>
      </c>
      <c r="AF1124" s="6">
        <v>2.5877961008375334</v>
      </c>
    </row>
    <row r="1125" spans="30:32" x14ac:dyDescent="0.2">
      <c r="AD1125" s="98">
        <f t="shared" ca="1" si="39"/>
        <v>21.503080082135522</v>
      </c>
      <c r="AE1125" s="99">
        <f t="shared" ca="1" si="38"/>
        <v>49839</v>
      </c>
      <c r="AF1125" s="6">
        <v>2.5883258873375818</v>
      </c>
    </row>
    <row r="1126" spans="30:32" x14ac:dyDescent="0.2">
      <c r="AD1126" s="98">
        <f t="shared" ca="1" si="39"/>
        <v>21.522245037645447</v>
      </c>
      <c r="AE1126" s="99">
        <f t="shared" ca="1" si="38"/>
        <v>49846</v>
      </c>
      <c r="AF1126" s="6">
        <v>2.5888518399400287</v>
      </c>
    </row>
    <row r="1127" spans="30:32" x14ac:dyDescent="0.2">
      <c r="AD1127" s="98">
        <f t="shared" ca="1" si="39"/>
        <v>21.541409993155373</v>
      </c>
      <c r="AE1127" s="99">
        <f t="shared" ca="1" si="38"/>
        <v>49853</v>
      </c>
      <c r="AF1127" s="6">
        <v>2.5893739470490416</v>
      </c>
    </row>
    <row r="1128" spans="30:32" x14ac:dyDescent="0.2">
      <c r="AD1128" s="98">
        <f t="shared" ca="1" si="39"/>
        <v>21.560574948665298</v>
      </c>
      <c r="AE1128" s="99">
        <f t="shared" ca="1" si="38"/>
        <v>49860</v>
      </c>
      <c r="AF1128" s="6">
        <v>2.5898921978435689</v>
      </c>
    </row>
    <row r="1129" spans="30:32" x14ac:dyDescent="0.2">
      <c r="AD1129" s="98">
        <f t="shared" ca="1" si="39"/>
        <v>21.579739904175224</v>
      </c>
      <c r="AE1129" s="99">
        <f t="shared" ca="1" si="38"/>
        <v>49867</v>
      </c>
      <c r="AF1129" s="6">
        <v>2.590406582288729</v>
      </c>
    </row>
    <row r="1130" spans="30:32" x14ac:dyDescent="0.2">
      <c r="AD1130" s="98">
        <f t="shared" ca="1" si="39"/>
        <v>21.598904859685145</v>
      </c>
      <c r="AE1130" s="99">
        <f t="shared" ca="1" si="38"/>
        <v>49874</v>
      </c>
      <c r="AF1130" s="6">
        <v>2.5909170911468919</v>
      </c>
    </row>
    <row r="1131" spans="30:32" x14ac:dyDescent="0.2">
      <c r="AD1131" s="98">
        <f t="shared" ca="1" si="39"/>
        <v>21.618069815195071</v>
      </c>
      <c r="AE1131" s="99">
        <f t="shared" ca="1" si="38"/>
        <v>49881</v>
      </c>
      <c r="AF1131" s="6">
        <v>2.5914237159884248</v>
      </c>
    </row>
    <row r="1132" spans="30:32" x14ac:dyDescent="0.2">
      <c r="AD1132" s="98">
        <f t="shared" ca="1" si="39"/>
        <v>21.637234770704996</v>
      </c>
      <c r="AE1132" s="99">
        <f t="shared" ca="1" si="38"/>
        <v>49888</v>
      </c>
      <c r="AF1132" s="6">
        <v>2.5919264492021048</v>
      </c>
    </row>
    <row r="1133" spans="30:32" x14ac:dyDescent="0.2">
      <c r="AD1133" s="98">
        <f t="shared" ca="1" si="39"/>
        <v>21.656399726214921</v>
      </c>
      <c r="AE1133" s="99">
        <f t="shared" ca="1" si="38"/>
        <v>49895</v>
      </c>
      <c r="AF1133" s="6">
        <v>2.5924252840051789</v>
      </c>
    </row>
    <row r="1134" spans="30:32" x14ac:dyDescent="0.2">
      <c r="AD1134" s="98">
        <f t="shared" ca="1" si="39"/>
        <v>21.675564681724847</v>
      </c>
      <c r="AE1134" s="99">
        <f t="shared" ca="1" si="38"/>
        <v>49902</v>
      </c>
      <c r="AF1134" s="6">
        <v>2.5929202144530525</v>
      </c>
    </row>
    <row r="1135" spans="30:32" x14ac:dyDescent="0.2">
      <c r="AD1135" s="98">
        <f t="shared" ca="1" si="39"/>
        <v>21.694729637234772</v>
      </c>
      <c r="AE1135" s="99">
        <f t="shared" ca="1" si="38"/>
        <v>49909</v>
      </c>
      <c r="AF1135" s="6">
        <v>2.5934112354486101</v>
      </c>
    </row>
    <row r="1136" spans="30:32" x14ac:dyDescent="0.2">
      <c r="AD1136" s="98">
        <f t="shared" ca="1" si="39"/>
        <v>21.713894592744694</v>
      </c>
      <c r="AE1136" s="99">
        <f t="shared" ca="1" si="38"/>
        <v>49916</v>
      </c>
      <c r="AF1136" s="6">
        <v>2.5938983427511397</v>
      </c>
    </row>
    <row r="1137" spans="30:32" x14ac:dyDescent="0.2">
      <c r="AD1137" s="98">
        <f t="shared" ca="1" si="39"/>
        <v>21.733059548254619</v>
      </c>
      <c r="AE1137" s="99">
        <f t="shared" ca="1" si="38"/>
        <v>49923</v>
      </c>
      <c r="AF1137" s="6">
        <v>2.5943815329848605</v>
      </c>
    </row>
    <row r="1138" spans="30:32" x14ac:dyDescent="0.2">
      <c r="AD1138" s="98">
        <f t="shared" ca="1" si="39"/>
        <v>21.752224503764545</v>
      </c>
      <c r="AE1138" s="99">
        <f t="shared" ca="1" si="38"/>
        <v>49930</v>
      </c>
      <c r="AF1138" s="6">
        <v>2.594860803647038</v>
      </c>
    </row>
    <row r="1139" spans="30:32" x14ac:dyDescent="0.2">
      <c r="AD1139" s="98">
        <f t="shared" ca="1" si="39"/>
        <v>21.77138945927447</v>
      </c>
      <c r="AE1139" s="99">
        <f t="shared" ca="1" si="38"/>
        <v>49937</v>
      </c>
      <c r="AF1139" s="6">
        <v>2.5953361531156753</v>
      </c>
    </row>
    <row r="1140" spans="30:32" x14ac:dyDescent="0.2">
      <c r="AD1140" s="98">
        <f t="shared" ca="1" si="39"/>
        <v>21.790554414784395</v>
      </c>
      <c r="AE1140" s="99">
        <f t="shared" ca="1" si="38"/>
        <v>49944</v>
      </c>
      <c r="AF1140" s="6">
        <v>2.5958075806567726</v>
      </c>
    </row>
    <row r="1141" spans="30:32" x14ac:dyDescent="0.2">
      <c r="AD1141" s="98">
        <f t="shared" ca="1" si="39"/>
        <v>21.809719370294317</v>
      </c>
      <c r="AE1141" s="99">
        <f t="shared" ca="1" si="38"/>
        <v>49951</v>
      </c>
      <c r="AF1141" s="6">
        <v>2.5962750864311421</v>
      </c>
    </row>
    <row r="1142" spans="30:32" x14ac:dyDescent="0.2">
      <c r="AD1142" s="98">
        <f t="shared" ca="1" si="39"/>
        <v>21.828884325804243</v>
      </c>
      <c r="AE1142" s="99">
        <f t="shared" ca="1" si="38"/>
        <v>49958</v>
      </c>
      <c r="AF1142" s="6">
        <v>2.5967386715007676</v>
      </c>
    </row>
    <row r="1143" spans="30:32" x14ac:dyDescent="0.2">
      <c r="AD1143" s="98">
        <f t="shared" ca="1" si="39"/>
        <v>21.848049281314168</v>
      </c>
      <c r="AE1143" s="99">
        <f t="shared" ca="1" si="38"/>
        <v>49965</v>
      </c>
      <c r="AF1143" s="6">
        <v>2.5971983378347026</v>
      </c>
    </row>
    <row r="1144" spans="30:32" x14ac:dyDescent="0.2">
      <c r="AD1144" s="98">
        <f t="shared" ca="1" si="39"/>
        <v>21.867214236824093</v>
      </c>
      <c r="AE1144" s="99">
        <f t="shared" ca="1" si="38"/>
        <v>49972</v>
      </c>
      <c r="AF1144" s="6">
        <v>2.5976540883144921</v>
      </c>
    </row>
    <row r="1145" spans="30:32" x14ac:dyDescent="0.2">
      <c r="AD1145" s="98">
        <f t="shared" ca="1" si="39"/>
        <v>21.886379192334019</v>
      </c>
      <c r="AE1145" s="99">
        <f t="shared" ca="1" si="38"/>
        <v>49979</v>
      </c>
      <c r="AF1145" s="6">
        <v>2.598105926739116</v>
      </c>
    </row>
    <row r="1146" spans="30:32" x14ac:dyDescent="0.2">
      <c r="AD1146" s="98">
        <f t="shared" ca="1" si="39"/>
        <v>21.905544147843944</v>
      </c>
      <c r="AE1146" s="99">
        <f t="shared" ca="1" si="38"/>
        <v>49986</v>
      </c>
      <c r="AF1146" s="6">
        <v>2.5985538578294403</v>
      </c>
    </row>
    <row r="1147" spans="30:32" x14ac:dyDescent="0.2">
      <c r="AD1147" s="98">
        <f t="shared" ca="1" si="39"/>
        <v>21.924709103353866</v>
      </c>
      <c r="AE1147" s="99">
        <f t="shared" ca="1" si="38"/>
        <v>49993</v>
      </c>
      <c r="AF1147" s="6">
        <v>2.5989978872321688</v>
      </c>
    </row>
    <row r="1148" spans="30:32" x14ac:dyDescent="0.2">
      <c r="AD1148" s="98">
        <f t="shared" ca="1" si="39"/>
        <v>21.943874058863791</v>
      </c>
      <c r="AE1148" s="99">
        <f t="shared" ca="1" si="38"/>
        <v>50000</v>
      </c>
      <c r="AF1148" s="6">
        <v>2.5994380215232944</v>
      </c>
    </row>
    <row r="1149" spans="30:32" x14ac:dyDescent="0.2">
      <c r="AD1149" s="98">
        <f t="shared" ca="1" si="39"/>
        <v>21.963039014373717</v>
      </c>
      <c r="AE1149" s="99">
        <f t="shared" ca="1" si="38"/>
        <v>50007</v>
      </c>
      <c r="AF1149" s="6">
        <v>2.5998742682110261</v>
      </c>
    </row>
    <row r="1150" spans="30:32" x14ac:dyDescent="0.2">
      <c r="AD1150" s="98">
        <f t="shared" ca="1" si="39"/>
        <v>21.982203969883642</v>
      </c>
      <c r="AE1150" s="99">
        <f t="shared" ca="1" si="38"/>
        <v>50014</v>
      </c>
      <c r="AF1150" s="6">
        <v>2.6003066357382094</v>
      </c>
    </row>
    <row r="1151" spans="30:32" x14ac:dyDescent="0.2">
      <c r="AD1151" s="98">
        <f t="shared" ca="1" si="39"/>
        <v>22.001368925393567</v>
      </c>
      <c r="AE1151" s="99">
        <f t="shared" ca="1" si="38"/>
        <v>50021</v>
      </c>
      <c r="AF1151" s="6">
        <v>2.6007351334842124</v>
      </c>
    </row>
    <row r="1152" spans="30:32" x14ac:dyDescent="0.2">
      <c r="AD1152" s="98">
        <f t="shared" ca="1" si="39"/>
        <v>22.020533880903489</v>
      </c>
      <c r="AE1152" s="99">
        <f t="shared" ca="1" si="38"/>
        <v>50028</v>
      </c>
      <c r="AF1152" s="6">
        <v>2.6011597717662824</v>
      </c>
    </row>
    <row r="1153" spans="30:32" x14ac:dyDescent="0.2">
      <c r="AD1153" s="98">
        <f t="shared" ca="1" si="39"/>
        <v>22.039698836413415</v>
      </c>
      <c r="AE1153" s="99">
        <f t="shared" ca="1" si="38"/>
        <v>50035</v>
      </c>
      <c r="AF1153" s="6">
        <v>2.6015805618403682</v>
      </c>
    </row>
    <row r="1154" spans="30:32" x14ac:dyDescent="0.2">
      <c r="AD1154" s="98">
        <f t="shared" ca="1" si="39"/>
        <v>22.05886379192334</v>
      </c>
      <c r="AE1154" s="99">
        <f t="shared" ca="1" si="38"/>
        <v>50042</v>
      </c>
      <c r="AF1154" s="6">
        <v>2.6019975159013953</v>
      </c>
    </row>
    <row r="1155" spans="30:32" x14ac:dyDescent="0.2">
      <c r="AD1155" s="98">
        <f t="shared" ca="1" si="39"/>
        <v>22.078028747433265</v>
      </c>
      <c r="AE1155" s="99">
        <f t="shared" ca="1" si="38"/>
        <v>50049</v>
      </c>
      <c r="AF1155" s="6">
        <v>2.6024106470830066</v>
      </c>
    </row>
    <row r="1156" spans="30:32" x14ac:dyDescent="0.2">
      <c r="AD1156" s="98">
        <f t="shared" ca="1" si="39"/>
        <v>22.097193702943191</v>
      </c>
      <c r="AE1156" s="99">
        <f t="shared" ref="AE1156:AE1219" ca="1" si="40">AE1155+7</f>
        <v>50056</v>
      </c>
      <c r="AF1156" s="6">
        <v>2.602819969456744</v>
      </c>
    </row>
    <row r="1157" spans="30:32" x14ac:dyDescent="0.2">
      <c r="AD1157" s="98">
        <f t="shared" ref="AD1157:AD1220" ca="1" si="41">(AE1157-$B$3)/365.25</f>
        <v>22.116358658453116</v>
      </c>
      <c r="AE1157" s="99">
        <f t="shared" ca="1" si="40"/>
        <v>50063</v>
      </c>
      <c r="AF1157" s="6">
        <v>2.6032254980306848</v>
      </c>
    </row>
    <row r="1158" spans="30:32" x14ac:dyDescent="0.2">
      <c r="AD1158" s="98">
        <f t="shared" ca="1" si="41"/>
        <v>22.135523613963038</v>
      </c>
      <c r="AE1158" s="99">
        <f t="shared" ca="1" si="40"/>
        <v>50070</v>
      </c>
      <c r="AF1158" s="6">
        <v>2.6036272487475234</v>
      </c>
    </row>
    <row r="1159" spans="30:32" x14ac:dyDescent="0.2">
      <c r="AD1159" s="98">
        <f t="shared" ca="1" si="41"/>
        <v>22.154688569472963</v>
      </c>
      <c r="AE1159" s="99">
        <f t="shared" ca="1" si="40"/>
        <v>50077</v>
      </c>
      <c r="AF1159" s="6">
        <v>2.6040252384820977</v>
      </c>
    </row>
    <row r="1160" spans="30:32" x14ac:dyDescent="0.2">
      <c r="AD1160" s="98">
        <f t="shared" ca="1" si="41"/>
        <v>22.173853524982889</v>
      </c>
      <c r="AE1160" s="99">
        <f t="shared" ca="1" si="40"/>
        <v>50084</v>
      </c>
      <c r="AF1160" s="6">
        <v>2.6044194850383544</v>
      </c>
    </row>
    <row r="1161" spans="30:32" x14ac:dyDescent="0.2">
      <c r="AD1161" s="98">
        <f t="shared" ca="1" si="41"/>
        <v>22.193018480492814</v>
      </c>
      <c r="AE1161" s="99">
        <f t="shared" ca="1" si="40"/>
        <v>50091</v>
      </c>
      <c r="AF1161" s="6">
        <v>2.6048100071457707</v>
      </c>
    </row>
    <row r="1162" spans="30:32" x14ac:dyDescent="0.2">
      <c r="AD1162" s="98">
        <f t="shared" ca="1" si="41"/>
        <v>22.212183436002739</v>
      </c>
      <c r="AE1162" s="99">
        <f t="shared" ca="1" si="40"/>
        <v>50098</v>
      </c>
      <c r="AF1162" s="6">
        <v>2.605196824455204</v>
      </c>
    </row>
    <row r="1163" spans="30:32" x14ac:dyDescent="0.2">
      <c r="AD1163" s="98">
        <f t="shared" ca="1" si="41"/>
        <v>22.231348391512661</v>
      </c>
      <c r="AE1163" s="99">
        <f t="shared" ca="1" si="40"/>
        <v>50105</v>
      </c>
      <c r="AF1163" s="6">
        <v>2.6055799575341934</v>
      </c>
    </row>
    <row r="1164" spans="30:32" x14ac:dyDescent="0.2">
      <c r="AD1164" s="98">
        <f t="shared" ca="1" si="41"/>
        <v>22.250513347022586</v>
      </c>
      <c r="AE1164" s="99">
        <f t="shared" ca="1" si="40"/>
        <v>50112</v>
      </c>
      <c r="AF1164" s="6">
        <v>2.6059594278617073</v>
      </c>
    </row>
    <row r="1165" spans="30:32" x14ac:dyDescent="0.2">
      <c r="AD1165" s="98">
        <f t="shared" ca="1" si="41"/>
        <v>22.269678302532512</v>
      </c>
      <c r="AE1165" s="99">
        <f t="shared" ca="1" si="40"/>
        <v>50119</v>
      </c>
      <c r="AF1165" s="6">
        <v>2.6063352578223378</v>
      </c>
    </row>
    <row r="1166" spans="30:32" x14ac:dyDescent="0.2">
      <c r="AD1166" s="98">
        <f t="shared" ca="1" si="41"/>
        <v>22.288843258042437</v>
      </c>
      <c r="AE1166" s="99">
        <f t="shared" ca="1" si="40"/>
        <v>50126</v>
      </c>
      <c r="AF1166" s="6">
        <v>2.6067074706999396</v>
      </c>
    </row>
    <row r="1167" spans="30:32" x14ac:dyDescent="0.2">
      <c r="AD1167" s="98">
        <f t="shared" ca="1" si="41"/>
        <v>22.308008213552363</v>
      </c>
      <c r="AE1167" s="99">
        <f t="shared" ca="1" si="40"/>
        <v>50133</v>
      </c>
      <c r="AF1167" s="6">
        <v>2.607076090670732</v>
      </c>
    </row>
    <row r="1168" spans="30:32" x14ac:dyDescent="0.2">
      <c r="AD1168" s="98">
        <f t="shared" ca="1" si="41"/>
        <v>22.327173169062284</v>
      </c>
      <c r="AE1168" s="99">
        <f t="shared" ca="1" si="40"/>
        <v>50140</v>
      </c>
      <c r="AF1168" s="6">
        <v>2.607441142795849</v>
      </c>
    </row>
    <row r="1169" spans="30:32" x14ac:dyDescent="0.2">
      <c r="AD1169" s="98">
        <f t="shared" ca="1" si="41"/>
        <v>22.34633812457221</v>
      </c>
      <c r="AE1169" s="99">
        <f t="shared" ca="1" si="40"/>
        <v>50147</v>
      </c>
      <c r="AF1169" s="6">
        <v>2.6078026530133531</v>
      </c>
    </row>
    <row r="1170" spans="30:32" x14ac:dyDescent="0.2">
      <c r="AD1170" s="98">
        <f t="shared" ca="1" si="41"/>
        <v>22.365503080082135</v>
      </c>
      <c r="AE1170" s="99">
        <f t="shared" ca="1" si="40"/>
        <v>50154</v>
      </c>
      <c r="AF1170" s="6">
        <v>2.6081606481297213</v>
      </c>
    </row>
    <row r="1171" spans="30:32" x14ac:dyDescent="0.2">
      <c r="AD1171" s="98">
        <f t="shared" ca="1" si="41"/>
        <v>22.38466803559206</v>
      </c>
      <c r="AE1171" s="99">
        <f t="shared" ca="1" si="40"/>
        <v>50161</v>
      </c>
      <c r="AF1171" s="6">
        <v>2.6085151558107915</v>
      </c>
    </row>
    <row r="1172" spans="30:32" x14ac:dyDescent="0.2">
      <c r="AD1172" s="98">
        <f t="shared" ca="1" si="41"/>
        <v>22.403832991101986</v>
      </c>
      <c r="AE1172" s="99">
        <f t="shared" ca="1" si="40"/>
        <v>50168</v>
      </c>
      <c r="AF1172" s="6">
        <v>2.6088662045721995</v>
      </c>
    </row>
    <row r="1173" spans="30:32" x14ac:dyDescent="0.2">
      <c r="AD1173" s="98">
        <f t="shared" ca="1" si="41"/>
        <v>22.422997946611911</v>
      </c>
      <c r="AE1173" s="99">
        <f t="shared" ca="1" si="40"/>
        <v>50175</v>
      </c>
      <c r="AF1173" s="6">
        <v>2.6092138237692937</v>
      </c>
    </row>
    <row r="1174" spans="30:32" x14ac:dyDescent="0.2">
      <c r="AD1174" s="98">
        <f t="shared" ca="1" si="41"/>
        <v>22.442162902121833</v>
      </c>
      <c r="AE1174" s="99">
        <f t="shared" ca="1" si="40"/>
        <v>50182</v>
      </c>
      <c r="AF1174" s="6">
        <v>2.6095580435865426</v>
      </c>
    </row>
    <row r="1175" spans="30:32" x14ac:dyDescent="0.2">
      <c r="AD1175" s="98">
        <f t="shared" ca="1" si="41"/>
        <v>22.461327857631758</v>
      </c>
      <c r="AE1175" s="99">
        <f t="shared" ca="1" si="40"/>
        <v>50189</v>
      </c>
      <c r="AF1175" s="6">
        <v>2.6098988950264417</v>
      </c>
    </row>
    <row r="1176" spans="30:32" x14ac:dyDescent="0.2">
      <c r="AD1176" s="98">
        <f t="shared" ca="1" si="41"/>
        <v>22.480492813141684</v>
      </c>
      <c r="AE1176" s="99">
        <f t="shared" ca="1" si="40"/>
        <v>50196</v>
      </c>
      <c r="AF1176" s="6">
        <v>2.6102364098979383</v>
      </c>
    </row>
    <row r="1177" spans="30:32" x14ac:dyDescent="0.2">
      <c r="AD1177" s="98">
        <f t="shared" ca="1" si="41"/>
        <v>22.499657768651609</v>
      </c>
      <c r="AE1177" s="99">
        <f t="shared" ca="1" si="40"/>
        <v>50203</v>
      </c>
      <c r="AF1177" s="6">
        <v>2.6105706208043613</v>
      </c>
    </row>
    <row r="1178" spans="30:32" x14ac:dyDescent="0.2">
      <c r="AD1178" s="98">
        <f t="shared" ca="1" si="41"/>
        <v>22.518822724161534</v>
      </c>
      <c r="AE1178" s="99">
        <f t="shared" ca="1" si="40"/>
        <v>50210</v>
      </c>
      <c r="AF1178" s="6">
        <v>2.6109015611308841</v>
      </c>
    </row>
    <row r="1179" spans="30:32" x14ac:dyDescent="0.2">
      <c r="AD1179" s="98">
        <f t="shared" ca="1" si="41"/>
        <v>22.537987679671456</v>
      </c>
      <c r="AE1179" s="99">
        <f t="shared" ca="1" si="40"/>
        <v>50217</v>
      </c>
      <c r="AF1179" s="6">
        <v>2.6112292650315267</v>
      </c>
    </row>
    <row r="1180" spans="30:32" x14ac:dyDescent="0.2">
      <c r="AD1180" s="98">
        <f t="shared" ca="1" si="41"/>
        <v>22.557152635181382</v>
      </c>
      <c r="AE1180" s="99">
        <f t="shared" ca="1" si="40"/>
        <v>50224</v>
      </c>
      <c r="AF1180" s="6">
        <v>2.6115537674157063</v>
      </c>
    </row>
    <row r="1181" spans="30:32" x14ac:dyDescent="0.2">
      <c r="AD1181" s="98">
        <f t="shared" ca="1" si="41"/>
        <v>22.576317590691307</v>
      </c>
      <c r="AE1181" s="99">
        <f t="shared" ca="1" si="40"/>
        <v>50231</v>
      </c>
      <c r="AF1181" s="6">
        <v>2.6118751039343433</v>
      </c>
    </row>
    <row r="1182" spans="30:32" x14ac:dyDescent="0.2">
      <c r="AD1182" s="98">
        <f t="shared" ca="1" si="41"/>
        <v>22.595482546201232</v>
      </c>
      <c r="AE1182" s="99">
        <f t="shared" ca="1" si="40"/>
        <v>50238</v>
      </c>
      <c r="AF1182" s="6">
        <v>2.6121933109655404</v>
      </c>
    </row>
    <row r="1183" spans="30:32" x14ac:dyDescent="0.2">
      <c r="AD1183" s="98">
        <f t="shared" ca="1" si="41"/>
        <v>22.614647501711158</v>
      </c>
      <c r="AE1183" s="99">
        <f t="shared" ca="1" si="40"/>
        <v>50245</v>
      </c>
      <c r="AF1183" s="6">
        <v>2.6125084255998448</v>
      </c>
    </row>
    <row r="1184" spans="30:32" x14ac:dyDescent="0.2">
      <c r="AD1184" s="98">
        <f t="shared" ca="1" si="41"/>
        <v>22.633812457221083</v>
      </c>
      <c r="AE1184" s="99">
        <f t="shared" ca="1" si="40"/>
        <v>50252</v>
      </c>
      <c r="AF1184" s="6">
        <v>2.6128204856251043</v>
      </c>
    </row>
    <row r="1185" spans="30:32" x14ac:dyDescent="0.2">
      <c r="AD1185" s="98">
        <f t="shared" ca="1" si="41"/>
        <v>22.652977412731005</v>
      </c>
      <c r="AE1185" s="99">
        <f t="shared" ca="1" si="40"/>
        <v>50259</v>
      </c>
      <c r="AF1185" s="6">
        <v>2.6131295295109367</v>
      </c>
    </row>
    <row r="1186" spans="30:32" x14ac:dyDescent="0.2">
      <c r="AD1186" s="98">
        <f t="shared" ca="1" si="41"/>
        <v>22.67214236824093</v>
      </c>
      <c r="AE1186" s="99">
        <f t="shared" ca="1" si="40"/>
        <v>50266</v>
      </c>
      <c r="AF1186" s="6">
        <v>2.6134355963928169</v>
      </c>
    </row>
    <row r="1187" spans="30:32" x14ac:dyDescent="0.2">
      <c r="AD1187" s="98">
        <f t="shared" ca="1" si="41"/>
        <v>22.691307323750856</v>
      </c>
      <c r="AE1187" s="99">
        <f t="shared" ca="1" si="40"/>
        <v>50273</v>
      </c>
      <c r="AF1187" s="6">
        <v>2.6137387260557947</v>
      </c>
    </row>
    <row r="1188" spans="30:32" x14ac:dyDescent="0.2">
      <c r="AD1188" s="98">
        <f t="shared" ca="1" si="41"/>
        <v>22.710472279260781</v>
      </c>
      <c r="AE1188" s="99">
        <f t="shared" ca="1" si="40"/>
        <v>50280</v>
      </c>
      <c r="AF1188" s="6">
        <v>2.614038958917877</v>
      </c>
    </row>
    <row r="1189" spans="30:32" x14ac:dyDescent="0.2">
      <c r="AD1189" s="98">
        <f t="shared" ca="1" si="41"/>
        <v>22.729637234770706</v>
      </c>
      <c r="AE1189" s="99">
        <f t="shared" ca="1" si="40"/>
        <v>50287</v>
      </c>
      <c r="AF1189" s="6">
        <v>2.6143363360130554</v>
      </c>
    </row>
    <row r="1190" spans="30:32" x14ac:dyDescent="0.2">
      <c r="AD1190" s="98">
        <f t="shared" ca="1" si="41"/>
        <v>22.748802190280628</v>
      </c>
      <c r="AE1190" s="99">
        <f t="shared" ca="1" si="40"/>
        <v>50294</v>
      </c>
      <c r="AF1190" s="6">
        <v>2.6146308989740281</v>
      </c>
    </row>
    <row r="1191" spans="30:32" x14ac:dyDescent="0.2">
      <c r="AD1191" s="98">
        <f t="shared" ca="1" si="41"/>
        <v>22.767967145790553</v>
      </c>
      <c r="AE1191" s="99">
        <f t="shared" ca="1" si="40"/>
        <v>50301</v>
      </c>
      <c r="AF1191" s="6">
        <v>2.614922690014609</v>
      </c>
    </row>
    <row r="1192" spans="30:32" x14ac:dyDescent="0.2">
      <c r="AD1192" s="98">
        <f t="shared" ca="1" si="41"/>
        <v>22.787132101300479</v>
      </c>
      <c r="AE1192" s="99">
        <f t="shared" ca="1" si="40"/>
        <v>50308</v>
      </c>
      <c r="AF1192" s="6">
        <v>2.615211751911843</v>
      </c>
    </row>
    <row r="1193" spans="30:32" x14ac:dyDescent="0.2">
      <c r="AD1193" s="98">
        <f t="shared" ca="1" si="41"/>
        <v>22.806297056810404</v>
      </c>
      <c r="AE1193" s="99">
        <f t="shared" ca="1" si="40"/>
        <v>50315</v>
      </c>
      <c r="AF1193" s="6">
        <v>2.6154981279878564</v>
      </c>
    </row>
    <row r="1194" spans="30:32" x14ac:dyDescent="0.2">
      <c r="AD1194" s="98">
        <f t="shared" ca="1" si="41"/>
        <v>22.82546201232033</v>
      </c>
      <c r="AE1194" s="99">
        <f t="shared" ca="1" si="40"/>
        <v>50322</v>
      </c>
      <c r="AF1194" s="6">
        <v>2.6157818620914335</v>
      </c>
    </row>
    <row r="1195" spans="30:32" x14ac:dyDescent="0.2">
      <c r="AD1195" s="98">
        <f t="shared" ca="1" si="41"/>
        <v>22.844626967830255</v>
      </c>
      <c r="AE1195" s="99">
        <f t="shared" ca="1" si="40"/>
        <v>50329</v>
      </c>
      <c r="AF1195" s="6">
        <v>2.616062998579368</v>
      </c>
    </row>
    <row r="1196" spans="30:32" x14ac:dyDescent="0.2">
      <c r="AD1196" s="98">
        <f t="shared" ca="1" si="41"/>
        <v>22.863791923340177</v>
      </c>
      <c r="AE1196" s="99">
        <f t="shared" ca="1" si="40"/>
        <v>50336</v>
      </c>
      <c r="AF1196" s="6">
        <v>2.6163415822975691</v>
      </c>
    </row>
    <row r="1197" spans="30:32" x14ac:dyDescent="0.2">
      <c r="AD1197" s="98">
        <f t="shared" ca="1" si="41"/>
        <v>22.882956878850102</v>
      </c>
      <c r="AE1197" s="99">
        <f t="shared" ca="1" si="40"/>
        <v>50343</v>
      </c>
      <c r="AF1197" s="6">
        <v>2.6166176585619714</v>
      </c>
    </row>
    <row r="1198" spans="30:32" x14ac:dyDescent="0.2">
      <c r="AD1198" s="98">
        <f t="shared" ca="1" si="41"/>
        <v>22.902121834360027</v>
      </c>
      <c r="AE1198" s="99">
        <f t="shared" ca="1" si="40"/>
        <v>50350</v>
      </c>
      <c r="AF1198" s="6">
        <v>2.6168912731392449</v>
      </c>
    </row>
    <row r="1199" spans="30:32" x14ac:dyDescent="0.2">
      <c r="AD1199" s="98">
        <f t="shared" ca="1" si="41"/>
        <v>22.921286789869953</v>
      </c>
      <c r="AE1199" s="99">
        <f t="shared" ca="1" si="40"/>
        <v>50357</v>
      </c>
      <c r="AF1199" s="6">
        <v>2.6171624722273257</v>
      </c>
    </row>
    <row r="1200" spans="30:32" x14ac:dyDescent="0.2">
      <c r="AD1200" s="98">
        <f t="shared" ca="1" si="41"/>
        <v>22.940451745379878</v>
      </c>
      <c r="AE1200" s="99">
        <f t="shared" ca="1" si="40"/>
        <v>50364</v>
      </c>
      <c r="AF1200" s="6">
        <v>2.6174313024357923</v>
      </c>
    </row>
    <row r="1201" spans="30:32" x14ac:dyDescent="0.2">
      <c r="AD1201" s="98">
        <f t="shared" ca="1" si="41"/>
        <v>22.9596167008898</v>
      </c>
      <c r="AE1201" s="99">
        <f t="shared" ca="1" si="40"/>
        <v>50371</v>
      </c>
      <c r="AF1201" s="6">
        <v>2.6176978107660926</v>
      </c>
    </row>
    <row r="1202" spans="30:32" x14ac:dyDescent="0.2">
      <c r="AD1202" s="98">
        <f t="shared" ca="1" si="41"/>
        <v>22.978781656399725</v>
      </c>
      <c r="AE1202" s="99">
        <f t="shared" ca="1" si="40"/>
        <v>50378</v>
      </c>
      <c r="AF1202" s="6">
        <v>2.6179620445916529</v>
      </c>
    </row>
    <row r="1203" spans="30:32" x14ac:dyDescent="0.2">
      <c r="AD1203" s="98">
        <f t="shared" ca="1" si="41"/>
        <v>22.997946611909651</v>
      </c>
      <c r="AE1203" s="99">
        <f t="shared" ca="1" si="40"/>
        <v>50385</v>
      </c>
      <c r="AF1203" s="6">
        <v>2.6182240516378612</v>
      </c>
    </row>
    <row r="1204" spans="30:32" x14ac:dyDescent="0.2">
      <c r="AD1204" s="98">
        <f t="shared" ca="1" si="41"/>
        <v>23.017111567419576</v>
      </c>
      <c r="AE1204" s="99">
        <f t="shared" ca="1" si="40"/>
        <v>50392</v>
      </c>
      <c r="AF1204" s="6">
        <v>2.6184838799619787</v>
      </c>
    </row>
    <row r="1205" spans="30:32" x14ac:dyDescent="0.2">
      <c r="AD1205" s="98">
        <f t="shared" ca="1" si="41"/>
        <v>23.036276522929501</v>
      </c>
      <c r="AE1205" s="99">
        <f t="shared" ca="1" si="40"/>
        <v>50399</v>
      </c>
      <c r="AF1205" s="6">
        <v>2.6187415779329557</v>
      </c>
    </row>
    <row r="1206" spans="30:32" x14ac:dyDescent="0.2">
      <c r="AD1206" s="98">
        <f t="shared" ca="1" si="41"/>
        <v>23.055441478439427</v>
      </c>
      <c r="AE1206" s="99">
        <f t="shared" ca="1" si="40"/>
        <v>50406</v>
      </c>
      <c r="AF1206" s="6">
        <v>2.6189971942112038</v>
      </c>
    </row>
    <row r="1207" spans="30:32" x14ac:dyDescent="0.2">
      <c r="AD1207" s="98">
        <f t="shared" ca="1" si="41"/>
        <v>23.074606433949349</v>
      </c>
      <c r="AE1207" s="99">
        <f t="shared" ca="1" si="40"/>
        <v>50413</v>
      </c>
      <c r="AF1207" s="6">
        <v>2.6192507777283178</v>
      </c>
    </row>
    <row r="1208" spans="30:32" x14ac:dyDescent="0.2">
      <c r="AD1208" s="98">
        <f t="shared" ca="1" si="41"/>
        <v>23.093771389459274</v>
      </c>
      <c r="AE1208" s="99">
        <f t="shared" ca="1" si="40"/>
        <v>50420</v>
      </c>
      <c r="AF1208" s="6">
        <v>2.6195023776667727</v>
      </c>
    </row>
    <row r="1209" spans="30:32" x14ac:dyDescent="0.2">
      <c r="AD1209" s="98">
        <f t="shared" ca="1" si="41"/>
        <v>23.112936344969199</v>
      </c>
      <c r="AE1209" s="99">
        <f t="shared" ca="1" si="40"/>
        <v>50427</v>
      </c>
      <c r="AF1209" s="6">
        <v>2.6197520434396124</v>
      </c>
    </row>
    <row r="1210" spans="30:32" x14ac:dyDescent="0.2">
      <c r="AD1210" s="98">
        <f t="shared" ca="1" si="41"/>
        <v>23.132101300479125</v>
      </c>
      <c r="AE1210" s="99">
        <f t="shared" ca="1" si="40"/>
        <v>50434</v>
      </c>
      <c r="AF1210" s="6">
        <v>2.6199998246701508</v>
      </c>
    </row>
    <row r="1211" spans="30:32" x14ac:dyDescent="0.2">
      <c r="AD1211" s="98">
        <f t="shared" ca="1" si="41"/>
        <v>23.15126625598905</v>
      </c>
      <c r="AE1211" s="99">
        <f t="shared" ca="1" si="40"/>
        <v>50441</v>
      </c>
      <c r="AF1211" s="6">
        <v>2.6202457711716867</v>
      </c>
    </row>
    <row r="1212" spans="30:32" x14ac:dyDescent="0.2">
      <c r="AD1212" s="98">
        <f t="shared" ca="1" si="41"/>
        <v>23.170431211498972</v>
      </c>
      <c r="AE1212" s="99">
        <f t="shared" ca="1" si="40"/>
        <v>50448</v>
      </c>
      <c r="AF1212" s="6">
        <v>2.6204899329272666</v>
      </c>
    </row>
    <row r="1213" spans="30:32" x14ac:dyDescent="0.2">
      <c r="AD1213" s="98">
        <f t="shared" ca="1" si="41"/>
        <v>23.189596167008897</v>
      </c>
      <c r="AE1213" s="99">
        <f t="shared" ca="1" si="40"/>
        <v>50455</v>
      </c>
      <c r="AF1213" s="6">
        <v>2.6207323600695021</v>
      </c>
    </row>
    <row r="1214" spans="30:32" x14ac:dyDescent="0.2">
      <c r="AD1214" s="98">
        <f t="shared" ca="1" si="41"/>
        <v>23.208761122518823</v>
      </c>
      <c r="AE1214" s="99">
        <f t="shared" ca="1" si="40"/>
        <v>50462</v>
      </c>
      <c r="AF1214" s="6">
        <v>2.6209731028604581</v>
      </c>
    </row>
    <row r="1215" spans="30:32" x14ac:dyDescent="0.2">
      <c r="AD1215" s="98">
        <f t="shared" ca="1" si="41"/>
        <v>23.227926078028748</v>
      </c>
      <c r="AE1215" s="99">
        <f t="shared" ca="1" si="40"/>
        <v>50469</v>
      </c>
      <c r="AF1215" s="6">
        <v>2.6212122116716214</v>
      </c>
    </row>
    <row r="1216" spans="30:32" x14ac:dyDescent="0.2">
      <c r="AD1216" s="98">
        <f t="shared" ca="1" si="41"/>
        <v>23.247091033538673</v>
      </c>
      <c r="AE1216" s="99">
        <f t="shared" ca="1" si="40"/>
        <v>50476</v>
      </c>
      <c r="AF1216" s="6">
        <v>2.621449736963982</v>
      </c>
    </row>
    <row r="1217" spans="30:32" x14ac:dyDescent="0.2">
      <c r="AD1217" s="98">
        <f t="shared" ca="1" si="41"/>
        <v>23.266255989048595</v>
      </c>
      <c r="AE1217" s="99">
        <f t="shared" ca="1" si="40"/>
        <v>50483</v>
      </c>
      <c r="AF1217" s="6">
        <v>2.6216857292682278</v>
      </c>
    </row>
    <row r="1218" spans="30:32" x14ac:dyDescent="0.2">
      <c r="AD1218" s="98">
        <f t="shared" ca="1" si="41"/>
        <v>23.285420944558521</v>
      </c>
      <c r="AE1218" s="99">
        <f t="shared" ca="1" si="40"/>
        <v>50490</v>
      </c>
      <c r="AF1218" s="6">
        <v>2.6219202391650653</v>
      </c>
    </row>
    <row r="1219" spans="30:32" x14ac:dyDescent="0.2">
      <c r="AD1219" s="98">
        <f t="shared" ca="1" si="41"/>
        <v>23.304585900068446</v>
      </c>
      <c r="AE1219" s="99">
        <f t="shared" ca="1" si="40"/>
        <v>50497</v>
      </c>
      <c r="AF1219" s="6">
        <v>2.6221533172656937</v>
      </c>
    </row>
    <row r="1220" spans="30:32" x14ac:dyDescent="0.2">
      <c r="AD1220" s="98">
        <f t="shared" ca="1" si="41"/>
        <v>23.323750855578371</v>
      </c>
      <c r="AE1220" s="99">
        <f t="shared" ref="AE1220:AE1283" ca="1" si="42">AE1219+7</f>
        <v>50504</v>
      </c>
      <c r="AF1220" s="6">
        <v>2.6223850141924334</v>
      </c>
    </row>
    <row r="1221" spans="30:32" x14ac:dyDescent="0.2">
      <c r="AD1221" s="98">
        <f t="shared" ref="AD1221:AD1284" ca="1" si="43">(AE1221-$B$3)/365.25</f>
        <v>23.342915811088297</v>
      </c>
      <c r="AE1221" s="99">
        <f t="shared" ca="1" si="42"/>
        <v>50511</v>
      </c>
      <c r="AF1221" s="6">
        <v>2.6226153805595294</v>
      </c>
    </row>
    <row r="1222" spans="30:32" x14ac:dyDescent="0.2">
      <c r="AD1222" s="98">
        <f t="shared" ca="1" si="43"/>
        <v>23.362080766598222</v>
      </c>
      <c r="AE1222" s="99">
        <f t="shared" ca="1" si="42"/>
        <v>50518</v>
      </c>
      <c r="AF1222" s="6">
        <v>2.6228444669541457</v>
      </c>
    </row>
    <row r="1223" spans="30:32" x14ac:dyDescent="0.2">
      <c r="AD1223" s="98">
        <f t="shared" ca="1" si="43"/>
        <v>23.381245722108144</v>
      </c>
      <c r="AE1223" s="99">
        <f t="shared" ca="1" si="42"/>
        <v>50525</v>
      </c>
      <c r="AF1223" s="6">
        <v>2.6230723239175555</v>
      </c>
    </row>
    <row r="1224" spans="30:32" x14ac:dyDescent="0.2">
      <c r="AD1224" s="98">
        <f t="shared" ca="1" si="43"/>
        <v>23.400410677618069</v>
      </c>
      <c r="AE1224" s="99">
        <f t="shared" ca="1" si="42"/>
        <v>50532</v>
      </c>
      <c r="AF1224" s="6">
        <v>2.6232990019265392</v>
      </c>
    </row>
    <row r="1225" spans="30:32" x14ac:dyDescent="0.2">
      <c r="AD1225" s="98">
        <f t="shared" ca="1" si="43"/>
        <v>23.419575633127995</v>
      </c>
      <c r="AE1225" s="99">
        <f t="shared" ca="1" si="42"/>
        <v>50539</v>
      </c>
      <c r="AF1225" s="6">
        <v>2.6235245513750161</v>
      </c>
    </row>
    <row r="1226" spans="30:32" x14ac:dyDescent="0.2">
      <c r="AD1226" s="98">
        <f t="shared" ca="1" si="43"/>
        <v>23.43874058863792</v>
      </c>
      <c r="AE1226" s="99">
        <f t="shared" ca="1" si="42"/>
        <v>50546</v>
      </c>
      <c r="AF1226" s="6">
        <v>2.6237490225559048</v>
      </c>
    </row>
    <row r="1227" spans="30:32" x14ac:dyDescent="0.2">
      <c r="AD1227" s="98">
        <f t="shared" ca="1" si="43"/>
        <v>23.457905544147845</v>
      </c>
      <c r="AE1227" s="99">
        <f t="shared" ca="1" si="42"/>
        <v>50553</v>
      </c>
      <c r="AF1227" s="6">
        <v>2.623972465643241</v>
      </c>
    </row>
    <row r="1228" spans="30:32" x14ac:dyDescent="0.2">
      <c r="AD1228" s="98">
        <f t="shared" ca="1" si="43"/>
        <v>23.477070499657767</v>
      </c>
      <c r="AE1228" s="99">
        <f t="shared" ca="1" si="42"/>
        <v>50560</v>
      </c>
      <c r="AF1228" s="6">
        <v>2.6241949306745385</v>
      </c>
    </row>
    <row r="1229" spans="30:32" x14ac:dyDescent="0.2">
      <c r="AD1229" s="98">
        <f t="shared" ca="1" si="43"/>
        <v>23.496235455167692</v>
      </c>
      <c r="AE1229" s="99">
        <f t="shared" ca="1" si="42"/>
        <v>50567</v>
      </c>
      <c r="AF1229" s="6">
        <v>2.6244164675334312</v>
      </c>
    </row>
    <row r="1230" spans="30:32" x14ac:dyDescent="0.2">
      <c r="AD1230" s="98">
        <f t="shared" ca="1" si="43"/>
        <v>23.515400410677618</v>
      </c>
      <c r="AE1230" s="99">
        <f t="shared" ca="1" si="42"/>
        <v>50574</v>
      </c>
      <c r="AF1230" s="6">
        <v>2.6246371259325931</v>
      </c>
    </row>
    <row r="1231" spans="30:32" x14ac:dyDescent="0.2">
      <c r="AD1231" s="98">
        <f t="shared" ca="1" si="43"/>
        <v>23.534565366187543</v>
      </c>
      <c r="AE1231" s="99">
        <f t="shared" ca="1" si="42"/>
        <v>50581</v>
      </c>
      <c r="AF1231" s="6">
        <v>2.6248569553969392</v>
      </c>
    </row>
    <row r="1232" spans="30:32" x14ac:dyDescent="0.2">
      <c r="AD1232" s="98">
        <f t="shared" ca="1" si="43"/>
        <v>23.553730321697468</v>
      </c>
      <c r="AE1232" s="99">
        <f t="shared" ca="1" si="42"/>
        <v>50588</v>
      </c>
      <c r="AF1232" s="6">
        <v>2.6250760052471356</v>
      </c>
    </row>
    <row r="1233" spans="30:32" x14ac:dyDescent="0.2">
      <c r="AD1233" s="98">
        <f t="shared" ca="1" si="43"/>
        <v>23.572895277207394</v>
      </c>
      <c r="AE1233" s="99">
        <f t="shared" ca="1" si="42"/>
        <v>50595</v>
      </c>
      <c r="AF1233" s="6">
        <v>2.6252943245834053</v>
      </c>
    </row>
    <row r="1234" spans="30:32" x14ac:dyDescent="0.2">
      <c r="AD1234" s="98">
        <f t="shared" ca="1" si="43"/>
        <v>23.592060232717316</v>
      </c>
      <c r="AE1234" s="99">
        <f t="shared" ca="1" si="42"/>
        <v>50602</v>
      </c>
      <c r="AF1234" s="6">
        <v>2.6255119622696586</v>
      </c>
    </row>
    <row r="1235" spans="30:32" x14ac:dyDescent="0.2">
      <c r="AD1235" s="98">
        <f t="shared" ca="1" si="43"/>
        <v>23.611225188227241</v>
      </c>
      <c r="AE1235" s="99">
        <f t="shared" ca="1" si="42"/>
        <v>50609</v>
      </c>
      <c r="AF1235" s="6">
        <v>2.6257289669179347</v>
      </c>
    </row>
    <row r="1236" spans="30:32" x14ac:dyDescent="0.2">
      <c r="AD1236" s="98">
        <f t="shared" ca="1" si="43"/>
        <v>23.630390143737166</v>
      </c>
      <c r="AE1236" s="99">
        <f t="shared" ca="1" si="42"/>
        <v>50616</v>
      </c>
      <c r="AF1236" s="6">
        <v>2.6259453868731906</v>
      </c>
    </row>
    <row r="1237" spans="30:32" x14ac:dyDescent="0.2">
      <c r="AD1237" s="98">
        <f t="shared" ca="1" si="43"/>
        <v>23.649555099247092</v>
      </c>
      <c r="AE1237" s="99">
        <f t="shared" ca="1" si="42"/>
        <v>50623</v>
      </c>
      <c r="AF1237" s="6">
        <v>2.6261612701984061</v>
      </c>
    </row>
    <row r="1238" spans="30:32" x14ac:dyDescent="0.2">
      <c r="AD1238" s="98">
        <f t="shared" ca="1" si="43"/>
        <v>23.668720054757017</v>
      </c>
      <c r="AE1238" s="99">
        <f t="shared" ca="1" si="42"/>
        <v>50630</v>
      </c>
      <c r="AF1238" s="6">
        <v>2.626376664660051</v>
      </c>
    </row>
    <row r="1239" spans="30:32" x14ac:dyDescent="0.2">
      <c r="AD1239" s="98">
        <f t="shared" ca="1" si="43"/>
        <v>23.687885010266939</v>
      </c>
      <c r="AE1239" s="99">
        <f t="shared" ca="1" si="42"/>
        <v>50637</v>
      </c>
      <c r="AF1239" s="6">
        <v>2.6265916177138928</v>
      </c>
    </row>
    <row r="1240" spans="30:32" x14ac:dyDescent="0.2">
      <c r="AD1240" s="98">
        <f t="shared" ca="1" si="43"/>
        <v>23.707049965776864</v>
      </c>
      <c r="AE1240" s="99">
        <f t="shared" ca="1" si="42"/>
        <v>50644</v>
      </c>
      <c r="AF1240" s="6">
        <v>2.6268061764911543</v>
      </c>
    </row>
    <row r="1241" spans="30:32" x14ac:dyDescent="0.2">
      <c r="AD1241" s="98">
        <f t="shared" ca="1" si="43"/>
        <v>23.72621492128679</v>
      </c>
      <c r="AE1241" s="99">
        <f t="shared" ca="1" si="42"/>
        <v>50651</v>
      </c>
      <c r="AF1241" s="6">
        <v>2.6270203877850471</v>
      </c>
    </row>
    <row r="1242" spans="30:32" x14ac:dyDescent="0.2">
      <c r="AD1242" s="98">
        <f t="shared" ca="1" si="43"/>
        <v>23.745379876796715</v>
      </c>
      <c r="AE1242" s="99">
        <f t="shared" ca="1" si="42"/>
        <v>50658</v>
      </c>
      <c r="AF1242" s="6">
        <v>2.6272342980376542</v>
      </c>
    </row>
    <row r="1243" spans="30:32" x14ac:dyDescent="0.2">
      <c r="AD1243" s="98">
        <f t="shared" ca="1" si="43"/>
        <v>23.76454483230664</v>
      </c>
      <c r="AE1243" s="99">
        <f t="shared" ca="1" si="42"/>
        <v>50665</v>
      </c>
      <c r="AF1243" s="6">
        <v>2.6274479533271902</v>
      </c>
    </row>
    <row r="1244" spans="30:32" x14ac:dyDescent="0.2">
      <c r="AD1244" s="98">
        <f t="shared" ca="1" si="43"/>
        <v>23.783709787816566</v>
      </c>
      <c r="AE1244" s="99">
        <f t="shared" ca="1" si="42"/>
        <v>50672</v>
      </c>
      <c r="AF1244" s="6">
        <v>2.6276613993556319</v>
      </c>
    </row>
    <row r="1245" spans="30:32" x14ac:dyDescent="0.2">
      <c r="AD1245" s="98">
        <f t="shared" ca="1" si="43"/>
        <v>23.802874743326488</v>
      </c>
      <c r="AE1245" s="99">
        <f t="shared" ca="1" si="42"/>
        <v>50679</v>
      </c>
      <c r="AF1245" s="6">
        <v>2.627874681436726</v>
      </c>
    </row>
    <row r="1246" spans="30:32" x14ac:dyDescent="0.2">
      <c r="AD1246" s="98">
        <f t="shared" ca="1" si="43"/>
        <v>23.822039698836413</v>
      </c>
      <c r="AE1246" s="99">
        <f t="shared" ca="1" si="42"/>
        <v>50686</v>
      </c>
      <c r="AF1246" s="6">
        <v>2.6280878444843703</v>
      </c>
    </row>
    <row r="1247" spans="30:32" x14ac:dyDescent="0.2">
      <c r="AD1247" s="98">
        <f t="shared" ca="1" si="43"/>
        <v>23.841204654346338</v>
      </c>
      <c r="AE1247" s="99">
        <f t="shared" ca="1" si="42"/>
        <v>50693</v>
      </c>
      <c r="AF1247" s="6">
        <v>2.6283009330013876</v>
      </c>
    </row>
    <row r="1248" spans="30:32" x14ac:dyDescent="0.2">
      <c r="AD1248" s="98">
        <f t="shared" ca="1" si="43"/>
        <v>23.860369609856264</v>
      </c>
      <c r="AE1248" s="99">
        <f t="shared" ca="1" si="42"/>
        <v>50700</v>
      </c>
      <c r="AF1248" s="6">
        <v>2.6285139910686683</v>
      </c>
    </row>
    <row r="1249" spans="30:32" x14ac:dyDescent="0.2">
      <c r="AD1249" s="98">
        <f t="shared" ca="1" si="43"/>
        <v>23.879534565366189</v>
      </c>
      <c r="AE1249" s="99">
        <f t="shared" ca="1" si="42"/>
        <v>50707</v>
      </c>
      <c r="AF1249" s="6">
        <v>2.6287270623347134</v>
      </c>
    </row>
    <row r="1250" spans="30:32" x14ac:dyDescent="0.2">
      <c r="AD1250" s="98">
        <f t="shared" ca="1" si="43"/>
        <v>23.898699520876111</v>
      </c>
      <c r="AE1250" s="99">
        <f t="shared" ca="1" si="42"/>
        <v>50714</v>
      </c>
      <c r="AF1250" s="6">
        <v>2.6289401900055474</v>
      </c>
    </row>
    <row r="1251" spans="30:32" x14ac:dyDescent="0.2">
      <c r="AD1251" s="98">
        <f t="shared" ca="1" si="43"/>
        <v>23.917864476386036</v>
      </c>
      <c r="AE1251" s="99">
        <f t="shared" ca="1" si="42"/>
        <v>50721</v>
      </c>
      <c r="AF1251" s="6">
        <v>2.6291534168350315</v>
      </c>
    </row>
    <row r="1252" spans="30:32" x14ac:dyDescent="0.2">
      <c r="AD1252" s="98">
        <f t="shared" ca="1" si="43"/>
        <v>23.937029431895962</v>
      </c>
      <c r="AE1252" s="99">
        <f t="shared" ca="1" si="42"/>
        <v>50728</v>
      </c>
      <c r="AF1252" s="6">
        <v>2.6293667851155558</v>
      </c>
    </row>
    <row r="1253" spans="30:32" x14ac:dyDescent="0.2">
      <c r="AD1253" s="98">
        <f t="shared" ca="1" si="43"/>
        <v>23.956194387405887</v>
      </c>
      <c r="AE1253" s="99">
        <f t="shared" ca="1" si="42"/>
        <v>50735</v>
      </c>
      <c r="AF1253" s="6">
        <v>2.6295803366691199</v>
      </c>
    </row>
    <row r="1254" spans="30:32" x14ac:dyDescent="0.2">
      <c r="AD1254" s="98">
        <f t="shared" ca="1" si="43"/>
        <v>23.975359342915812</v>
      </c>
      <c r="AE1254" s="99">
        <f t="shared" ca="1" si="42"/>
        <v>50742</v>
      </c>
      <c r="AF1254" s="6">
        <v>2.6297941128388085</v>
      </c>
    </row>
    <row r="1255" spans="30:32" x14ac:dyDescent="0.2">
      <c r="AD1255" s="98">
        <f t="shared" ca="1" si="43"/>
        <v>23.994524298425734</v>
      </c>
      <c r="AE1255" s="99">
        <f t="shared" ca="1" si="42"/>
        <v>50749</v>
      </c>
      <c r="AF1255" s="6">
        <v>2.630008154480636</v>
      </c>
    </row>
    <row r="1256" spans="30:32" x14ac:dyDescent="0.2">
      <c r="AD1256" s="98">
        <f t="shared" ca="1" si="43"/>
        <v>24.013689253935659</v>
      </c>
      <c r="AE1256" s="99">
        <f t="shared" ca="1" si="42"/>
        <v>50756</v>
      </c>
      <c r="AF1256" s="6">
        <v>2.6302225019557905</v>
      </c>
    </row>
    <row r="1257" spans="30:32" x14ac:dyDescent="0.2">
      <c r="AD1257" s="98">
        <f t="shared" ca="1" si="43"/>
        <v>24.032854209445585</v>
      </c>
      <c r="AE1257" s="99">
        <f t="shared" ca="1" si="42"/>
        <v>50763</v>
      </c>
      <c r="AF1257" s="6">
        <v>2.6304371951232577</v>
      </c>
    </row>
    <row r="1258" spans="30:32" x14ac:dyDescent="0.2">
      <c r="AD1258" s="98">
        <f t="shared" ca="1" si="43"/>
        <v>24.05201916495551</v>
      </c>
      <c r="AE1258" s="99">
        <f t="shared" ca="1" si="42"/>
        <v>50770</v>
      </c>
      <c r="AF1258" s="6">
        <v>2.6306522733328221</v>
      </c>
    </row>
    <row r="1259" spans="30:32" x14ac:dyDescent="0.2">
      <c r="AD1259" s="98">
        <f t="shared" ca="1" si="43"/>
        <v>24.071184120465436</v>
      </c>
      <c r="AE1259" s="99">
        <f t="shared" ca="1" si="42"/>
        <v>50777</v>
      </c>
      <c r="AF1259" s="6">
        <v>2.6308677754184471</v>
      </c>
    </row>
    <row r="1260" spans="30:32" x14ac:dyDescent="0.2">
      <c r="AD1260" s="98">
        <f t="shared" ca="1" si="43"/>
        <v>24.090349075975361</v>
      </c>
      <c r="AE1260" s="99">
        <f t="shared" ca="1" si="42"/>
        <v>50784</v>
      </c>
      <c r="AF1260" s="6">
        <v>2.6310837396920421</v>
      </c>
    </row>
    <row r="1261" spans="30:32" x14ac:dyDescent="0.2">
      <c r="AD1261" s="98">
        <f t="shared" ca="1" si="43"/>
        <v>24.109514031485283</v>
      </c>
      <c r="AE1261" s="99">
        <f t="shared" ca="1" si="42"/>
        <v>50791</v>
      </c>
      <c r="AF1261" s="6">
        <v>2.6313002039375877</v>
      </c>
    </row>
    <row r="1262" spans="30:32" x14ac:dyDescent="0.2">
      <c r="AD1262" s="98">
        <f t="shared" ca="1" si="43"/>
        <v>24.128678986995208</v>
      </c>
      <c r="AE1262" s="99">
        <f t="shared" ca="1" si="42"/>
        <v>50798</v>
      </c>
      <c r="AF1262" s="6">
        <v>2.6315172054056468</v>
      </c>
    </row>
    <row r="1263" spans="30:32" x14ac:dyDescent="0.2">
      <c r="AD1263" s="98">
        <f t="shared" ca="1" si="43"/>
        <v>24.147843942505133</v>
      </c>
      <c r="AE1263" s="99">
        <f t="shared" ca="1" si="42"/>
        <v>50805</v>
      </c>
      <c r="AF1263" s="6">
        <v>2.631734780808233</v>
      </c>
    </row>
    <row r="1264" spans="30:32" x14ac:dyDescent="0.2">
      <c r="AD1264" s="98">
        <f t="shared" ca="1" si="43"/>
        <v>24.167008898015059</v>
      </c>
      <c r="AE1264" s="99">
        <f t="shared" ca="1" si="42"/>
        <v>50812</v>
      </c>
      <c r="AF1264" s="6">
        <v>2.6319529663140444</v>
      </c>
    </row>
    <row r="1265" spans="30:32" x14ac:dyDescent="0.2">
      <c r="AD1265" s="98">
        <f t="shared" ca="1" si="43"/>
        <v>24.186173853524984</v>
      </c>
      <c r="AE1265" s="99">
        <f t="shared" ca="1" si="42"/>
        <v>50819</v>
      </c>
      <c r="AF1265" s="6">
        <v>2.6321717975440659</v>
      </c>
    </row>
    <row r="1266" spans="30:32" x14ac:dyDescent="0.2">
      <c r="AD1266" s="98">
        <f t="shared" ca="1" si="43"/>
        <v>24.205338809034906</v>
      </c>
      <c r="AE1266" s="99">
        <f t="shared" ca="1" si="42"/>
        <v>50826</v>
      </c>
      <c r="AF1266" s="6">
        <v>2.6323913095675122</v>
      </c>
    </row>
    <row r="1267" spans="30:32" x14ac:dyDescent="0.2">
      <c r="AD1267" s="98">
        <f t="shared" ca="1" si="43"/>
        <v>24.224503764544831</v>
      </c>
      <c r="AE1267" s="99">
        <f t="shared" ca="1" si="42"/>
        <v>50833</v>
      </c>
      <c r="AF1267" s="6">
        <v>2.6326115368981342</v>
      </c>
    </row>
    <row r="1268" spans="30:32" x14ac:dyDescent="0.2">
      <c r="AD1268" s="98">
        <f t="shared" ca="1" si="43"/>
        <v>24.243668720054757</v>
      </c>
      <c r="AE1268" s="99">
        <f t="shared" ca="1" si="42"/>
        <v>50840</v>
      </c>
      <c r="AF1268" s="6">
        <v>2.6328325134908721</v>
      </c>
    </row>
    <row r="1269" spans="30:32" x14ac:dyDescent="0.2">
      <c r="AD1269" s="98">
        <f t="shared" ca="1" si="43"/>
        <v>24.262833675564682</v>
      </c>
      <c r="AE1269" s="99">
        <f t="shared" ca="1" si="42"/>
        <v>50847</v>
      </c>
      <c r="AF1269" s="6">
        <v>2.6330542727388386</v>
      </c>
    </row>
    <row r="1270" spans="30:32" x14ac:dyDescent="0.2">
      <c r="AD1270" s="98">
        <f t="shared" ca="1" si="43"/>
        <v>24.281998631074607</v>
      </c>
      <c r="AE1270" s="99">
        <f t="shared" ca="1" si="42"/>
        <v>50854</v>
      </c>
      <c r="AF1270" s="6">
        <v>2.6332768474706532</v>
      </c>
    </row>
    <row r="1271" spans="30:32" x14ac:dyDescent="0.2">
      <c r="AD1271" s="98">
        <f t="shared" ca="1" si="43"/>
        <v>24.301163586584533</v>
      </c>
      <c r="AE1271" s="99">
        <f t="shared" ca="1" si="42"/>
        <v>50861</v>
      </c>
      <c r="AF1271" s="6">
        <v>2.6335002699480947</v>
      </c>
    </row>
    <row r="1272" spans="30:32" x14ac:dyDescent="0.2">
      <c r="AD1272" s="98">
        <f t="shared" ca="1" si="43"/>
        <v>24.320328542094455</v>
      </c>
      <c r="AE1272" s="99">
        <f t="shared" ca="1" si="42"/>
        <v>50868</v>
      </c>
      <c r="AF1272" s="6">
        <v>2.6337245718640996</v>
      </c>
    </row>
    <row r="1273" spans="30:32" x14ac:dyDescent="0.2">
      <c r="AD1273" s="98">
        <f t="shared" ca="1" si="43"/>
        <v>24.33949349760438</v>
      </c>
      <c r="AE1273" s="99">
        <f t="shared" ca="1" si="42"/>
        <v>50875</v>
      </c>
      <c r="AF1273" s="6">
        <v>2.6339497843410515</v>
      </c>
    </row>
    <row r="1274" spans="30:32" x14ac:dyDescent="0.2">
      <c r="AD1274" s="98">
        <f t="shared" ca="1" si="43"/>
        <v>24.358658453114305</v>
      </c>
      <c r="AE1274" s="99">
        <f t="shared" ca="1" si="42"/>
        <v>50882</v>
      </c>
      <c r="AF1274" s="6">
        <v>2.6341759379294127</v>
      </c>
    </row>
    <row r="1275" spans="30:32" x14ac:dyDescent="0.2">
      <c r="AD1275" s="98">
        <f t="shared" ca="1" si="43"/>
        <v>24.377823408624231</v>
      </c>
      <c r="AE1275" s="99">
        <f t="shared" ca="1" si="42"/>
        <v>50889</v>
      </c>
      <c r="AF1275" s="6">
        <v>2.6344030626066539</v>
      </c>
    </row>
    <row r="1276" spans="30:32" x14ac:dyDescent="0.2">
      <c r="AD1276" s="98">
        <f t="shared" ca="1" si="43"/>
        <v>24.396988364134156</v>
      </c>
      <c r="AE1276" s="99">
        <f t="shared" ca="1" si="42"/>
        <v>50896</v>
      </c>
      <c r="AF1276" s="6">
        <v>2.6346311877764785</v>
      </c>
    </row>
    <row r="1277" spans="30:32" x14ac:dyDescent="0.2">
      <c r="AD1277" s="98">
        <f t="shared" ca="1" si="43"/>
        <v>24.416153319644078</v>
      </c>
      <c r="AE1277" s="99">
        <f t="shared" ca="1" si="42"/>
        <v>50903</v>
      </c>
      <c r="AF1277" s="6">
        <v>2.6348603422683587</v>
      </c>
    </row>
    <row r="1278" spans="30:32" x14ac:dyDescent="0.2">
      <c r="AD1278" s="98">
        <f t="shared" ca="1" si="43"/>
        <v>24.435318275154003</v>
      </c>
      <c r="AE1278" s="99">
        <f t="shared" ca="1" si="42"/>
        <v>50910</v>
      </c>
      <c r="AF1278" s="6">
        <v>2.6350905543373533</v>
      </c>
    </row>
    <row r="1279" spans="30:32" x14ac:dyDescent="0.2">
      <c r="AD1279" s="98">
        <f t="shared" ca="1" si="43"/>
        <v>24.454483230663929</v>
      </c>
      <c r="AE1279" s="99">
        <f t="shared" ca="1" si="42"/>
        <v>50917</v>
      </c>
      <c r="AF1279" s="6">
        <v>2.6353218516642096</v>
      </c>
    </row>
    <row r="1280" spans="30:32" x14ac:dyDescent="0.2">
      <c r="AD1280" s="98">
        <f t="shared" ca="1" si="43"/>
        <v>24.473648186173854</v>
      </c>
      <c r="AE1280" s="99">
        <f t="shared" ca="1" si="42"/>
        <v>50924</v>
      </c>
      <c r="AF1280" s="6">
        <v>2.6355542613557446</v>
      </c>
    </row>
    <row r="1281" spans="30:32" x14ac:dyDescent="0.2">
      <c r="AD1281" s="98">
        <f t="shared" ca="1" si="43"/>
        <v>24.492813141683779</v>
      </c>
      <c r="AE1281" s="99">
        <f t="shared" ca="1" si="42"/>
        <v>50931</v>
      </c>
      <c r="AF1281" s="6">
        <v>2.6357878099454948</v>
      </c>
    </row>
    <row r="1282" spans="30:32" x14ac:dyDescent="0.2">
      <c r="AD1282" s="98">
        <f t="shared" ca="1" si="43"/>
        <v>24.511978097193705</v>
      </c>
      <c r="AE1282" s="99">
        <f t="shared" ca="1" si="42"/>
        <v>50938</v>
      </c>
      <c r="AF1282" s="6">
        <v>2.6360225233946362</v>
      </c>
    </row>
    <row r="1283" spans="30:32" x14ac:dyDescent="0.2">
      <c r="AD1283" s="98">
        <f t="shared" ca="1" si="43"/>
        <v>24.531143052703626</v>
      </c>
      <c r="AE1283" s="99">
        <f t="shared" ca="1" si="42"/>
        <v>50945</v>
      </c>
      <c r="AF1283" s="6">
        <v>2.6362584270931522</v>
      </c>
    </row>
    <row r="1284" spans="30:32" x14ac:dyDescent="0.2">
      <c r="AD1284" s="98">
        <f t="shared" ca="1" si="43"/>
        <v>24.550308008213552</v>
      </c>
      <c r="AE1284" s="99">
        <f t="shared" ref="AE1284:AE1347" ca="1" si="44">AE1283+7</f>
        <v>50952</v>
      </c>
      <c r="AF1284" s="6">
        <v>2.6364955458612607</v>
      </c>
    </row>
    <row r="1285" spans="30:32" x14ac:dyDescent="0.2">
      <c r="AD1285" s="98">
        <f t="shared" ref="AD1285:AD1348" ca="1" si="45">(AE1285-$B$3)/365.25</f>
        <v>24.569472963723477</v>
      </c>
      <c r="AE1285" s="99">
        <f t="shared" ca="1" si="44"/>
        <v>50959</v>
      </c>
      <c r="AF1285" s="6">
        <v>2.6367339039510833</v>
      </c>
    </row>
    <row r="1286" spans="30:32" x14ac:dyDescent="0.2">
      <c r="AD1286" s="98">
        <f t="shared" ca="1" si="45"/>
        <v>24.588637919233403</v>
      </c>
      <c r="AE1286" s="99">
        <f t="shared" ca="1" si="44"/>
        <v>50966</v>
      </c>
      <c r="AF1286" s="6">
        <v>2.6369735250485471</v>
      </c>
    </row>
    <row r="1287" spans="30:32" x14ac:dyDescent="0.2">
      <c r="AD1287" s="98">
        <f t="shared" ca="1" si="45"/>
        <v>24.607802874743328</v>
      </c>
      <c r="AE1287" s="99">
        <f t="shared" ca="1" si="44"/>
        <v>50973</v>
      </c>
      <c r="AF1287" s="6">
        <v>2.6372144322755218</v>
      </c>
    </row>
    <row r="1288" spans="30:32" x14ac:dyDescent="0.2">
      <c r="AD1288" s="98">
        <f t="shared" ca="1" si="45"/>
        <v>24.62696783025325</v>
      </c>
      <c r="AE1288" s="99">
        <f t="shared" ca="1" si="44"/>
        <v>50980</v>
      </c>
      <c r="AF1288" s="6">
        <v>2.6374566481921775</v>
      </c>
    </row>
    <row r="1289" spans="30:32" x14ac:dyDescent="0.2">
      <c r="AD1289" s="98">
        <f t="shared" ca="1" si="45"/>
        <v>24.646132785763175</v>
      </c>
      <c r="AE1289" s="99">
        <f t="shared" ca="1" si="44"/>
        <v>50987</v>
      </c>
      <c r="AF1289" s="6">
        <v>2.6377001947995633</v>
      </c>
    </row>
    <row r="1290" spans="30:32" x14ac:dyDescent="0.2">
      <c r="AD1290" s="98">
        <f t="shared" ca="1" si="45"/>
        <v>24.6652977412731</v>
      </c>
      <c r="AE1290" s="99">
        <f t="shared" ca="1" si="44"/>
        <v>50994</v>
      </c>
      <c r="AF1290" s="6">
        <v>2.6379450935423874</v>
      </c>
    </row>
    <row r="1291" spans="30:32" x14ac:dyDescent="0.2">
      <c r="AD1291" s="98">
        <f t="shared" ca="1" si="45"/>
        <v>24.684462696783026</v>
      </c>
      <c r="AE1291" s="99">
        <f t="shared" ca="1" si="44"/>
        <v>51001</v>
      </c>
      <c r="AF1291" s="6">
        <v>2.6381913653120077</v>
      </c>
    </row>
    <row r="1292" spans="30:32" x14ac:dyDescent="0.2">
      <c r="AD1292" s="98">
        <f t="shared" ca="1" si="45"/>
        <v>24.703627652292951</v>
      </c>
      <c r="AE1292" s="99">
        <f t="shared" ca="1" si="44"/>
        <v>51008</v>
      </c>
      <c r="AF1292" s="6">
        <v>2.6384390304496139</v>
      </c>
    </row>
    <row r="1293" spans="30:32" x14ac:dyDescent="0.2">
      <c r="AD1293" s="98">
        <f t="shared" ca="1" si="45"/>
        <v>24.722792607802873</v>
      </c>
      <c r="AE1293" s="99">
        <f t="shared" ca="1" si="44"/>
        <v>51015</v>
      </c>
      <c r="AF1293" s="6">
        <v>2.6386881087495997</v>
      </c>
    </row>
    <row r="1294" spans="30:32" x14ac:dyDescent="0.2">
      <c r="AD1294" s="98">
        <f t="shared" ca="1" si="45"/>
        <v>24.741957563312798</v>
      </c>
      <c r="AE1294" s="99">
        <f t="shared" ca="1" si="44"/>
        <v>51022</v>
      </c>
      <c r="AF1294" s="6">
        <v>2.638938619463119</v>
      </c>
    </row>
    <row r="1295" spans="30:32" x14ac:dyDescent="0.2">
      <c r="AD1295" s="98">
        <f t="shared" ca="1" si="45"/>
        <v>24.761122518822724</v>
      </c>
      <c r="AE1295" s="99">
        <f t="shared" ca="1" si="44"/>
        <v>51029</v>
      </c>
      <c r="AF1295" s="6">
        <v>2.6391905813018122</v>
      </c>
    </row>
    <row r="1296" spans="30:32" x14ac:dyDescent="0.2">
      <c r="AD1296" s="98">
        <f t="shared" ca="1" si="45"/>
        <v>24.780287474332649</v>
      </c>
      <c r="AE1296" s="99">
        <f t="shared" ca="1" si="44"/>
        <v>51036</v>
      </c>
      <c r="AF1296" s="6">
        <v>2.6394440124417113</v>
      </c>
    </row>
    <row r="1297" spans="30:32" x14ac:dyDescent="0.2">
      <c r="AD1297" s="98">
        <f t="shared" ca="1" si="45"/>
        <v>24.799452429842574</v>
      </c>
      <c r="AE1297" s="99">
        <f t="shared" ca="1" si="44"/>
        <v>51043</v>
      </c>
      <c r="AF1297" s="6">
        <v>2.6396989305272913</v>
      </c>
    </row>
    <row r="1298" spans="30:32" x14ac:dyDescent="0.2">
      <c r="AD1298" s="98">
        <f t="shared" ca="1" si="45"/>
        <v>24.8186173853525</v>
      </c>
      <c r="AE1298" s="99">
        <f t="shared" ca="1" si="44"/>
        <v>51050</v>
      </c>
      <c r="AF1298" s="6">
        <v>2.6399553526756945</v>
      </c>
    </row>
    <row r="1299" spans="30:32" x14ac:dyDescent="0.2">
      <c r="AD1299" s="98">
        <f t="shared" ca="1" si="45"/>
        <v>24.837782340862422</v>
      </c>
      <c r="AE1299" s="99">
        <f t="shared" ca="1" si="44"/>
        <v>51057</v>
      </c>
      <c r="AF1299" s="6">
        <v>2.6402132954810877</v>
      </c>
    </row>
    <row r="1300" spans="30:32" x14ac:dyDescent="0.2">
      <c r="AD1300" s="98">
        <f t="shared" ca="1" si="45"/>
        <v>24.856947296372347</v>
      </c>
      <c r="AE1300" s="99">
        <f t="shared" ca="1" si="44"/>
        <v>51064</v>
      </c>
      <c r="AF1300" s="6">
        <v>2.6404727750191732</v>
      </c>
    </row>
    <row r="1301" spans="30:32" x14ac:dyDescent="0.2">
      <c r="AD1301" s="98">
        <f t="shared" ca="1" si="45"/>
        <v>24.876112251882272</v>
      </c>
      <c r="AE1301" s="99">
        <f t="shared" ca="1" si="44"/>
        <v>51071</v>
      </c>
      <c r="AF1301" s="6">
        <v>2.6407338068518289</v>
      </c>
    </row>
    <row r="1302" spans="30:32" x14ac:dyDescent="0.2">
      <c r="AD1302" s="98">
        <f t="shared" ca="1" si="45"/>
        <v>24.895277207392198</v>
      </c>
      <c r="AE1302" s="99">
        <f t="shared" ca="1" si="44"/>
        <v>51078</v>
      </c>
      <c r="AF1302" s="6">
        <v>2.64099640603188</v>
      </c>
    </row>
    <row r="1303" spans="30:32" x14ac:dyDescent="0.2">
      <c r="AD1303" s="98">
        <f t="shared" ca="1" si="45"/>
        <v>24.914442162902123</v>
      </c>
      <c r="AE1303" s="99">
        <f t="shared" ca="1" si="44"/>
        <v>51085</v>
      </c>
      <c r="AF1303" s="6">
        <v>2.6412605871079959</v>
      </c>
    </row>
    <row r="1304" spans="30:32" x14ac:dyDescent="0.2">
      <c r="AD1304" s="98">
        <f t="shared" ca="1" si="45"/>
        <v>24.933607118412045</v>
      </c>
      <c r="AE1304" s="99">
        <f t="shared" ca="1" si="44"/>
        <v>51092</v>
      </c>
      <c r="AF1304" s="6">
        <v>2.6415263641296951</v>
      </c>
    </row>
    <row r="1305" spans="30:32" x14ac:dyDescent="0.2">
      <c r="AD1305" s="98">
        <f t="shared" ca="1" si="45"/>
        <v>24.95277207392197</v>
      </c>
      <c r="AE1305" s="99">
        <f t="shared" ca="1" si="44"/>
        <v>51099</v>
      </c>
      <c r="AF1305" s="6">
        <v>2.6417937506524729</v>
      </c>
    </row>
    <row r="1306" spans="30:32" x14ac:dyDescent="0.2">
      <c r="AD1306" s="98">
        <f t="shared" ca="1" si="45"/>
        <v>24.971937029431896</v>
      </c>
      <c r="AE1306" s="99">
        <f t="shared" ca="1" si="44"/>
        <v>51106</v>
      </c>
      <c r="AF1306" s="6">
        <v>2.6420627597430268</v>
      </c>
    </row>
    <row r="1307" spans="30:32" x14ac:dyDescent="0.2">
      <c r="AD1307" s="98">
        <f t="shared" ca="1" si="45"/>
        <v>24.991101984941821</v>
      </c>
      <c r="AE1307" s="99">
        <f t="shared" ca="1" si="44"/>
        <v>51113</v>
      </c>
      <c r="AF1307" s="6">
        <v>2.6423334039845767</v>
      </c>
    </row>
    <row r="1308" spans="30:32" x14ac:dyDescent="0.2">
      <c r="AD1308" s="98">
        <f t="shared" ca="1" si="45"/>
        <v>25.010266940451746</v>
      </c>
      <c r="AE1308" s="99">
        <f t="shared" ca="1" si="44"/>
        <v>51120</v>
      </c>
      <c r="AF1308" s="6">
        <v>2.6426055027260036</v>
      </c>
    </row>
    <row r="1309" spans="30:32" x14ac:dyDescent="0.2">
      <c r="AD1309" s="98">
        <f t="shared" ca="1" si="45"/>
        <v>25.029431895961672</v>
      </c>
      <c r="AE1309" s="99">
        <f t="shared" ca="1" si="44"/>
        <v>51127</v>
      </c>
      <c r="AF1309" s="6">
        <v>2.642878052730556</v>
      </c>
    </row>
    <row r="1310" spans="30:32" x14ac:dyDescent="0.2">
      <c r="AD1310" s="98">
        <f t="shared" ca="1" si="45"/>
        <v>25.048596851471594</v>
      </c>
      <c r="AE1310" s="99">
        <f t="shared" ca="1" si="44"/>
        <v>51134</v>
      </c>
      <c r="AF1310" s="6">
        <v>2.6431508981620859</v>
      </c>
    </row>
    <row r="1311" spans="30:32" x14ac:dyDescent="0.2">
      <c r="AD1311" s="98">
        <f t="shared" ca="1" si="45"/>
        <v>25.067761806981519</v>
      </c>
      <c r="AE1311" s="99">
        <f t="shared" ca="1" si="44"/>
        <v>51141</v>
      </c>
      <c r="AF1311" s="6">
        <v>2.6434240268935723</v>
      </c>
    </row>
    <row r="1312" spans="30:32" x14ac:dyDescent="0.2">
      <c r="AD1312" s="98">
        <f t="shared" ca="1" si="45"/>
        <v>25.086926762491444</v>
      </c>
      <c r="AE1312" s="99">
        <f t="shared" ca="1" si="44"/>
        <v>51148</v>
      </c>
      <c r="AF1312" s="6">
        <v>2.6436974265616962</v>
      </c>
    </row>
    <row r="1313" spans="30:32" x14ac:dyDescent="0.2">
      <c r="AD1313" s="98">
        <f t="shared" ca="1" si="45"/>
        <v>25.10609171800137</v>
      </c>
      <c r="AE1313" s="99">
        <f t="shared" ca="1" si="44"/>
        <v>51155</v>
      </c>
      <c r="AF1313" s="6">
        <v>2.6439710845660263</v>
      </c>
    </row>
    <row r="1314" spans="30:32" x14ac:dyDescent="0.2">
      <c r="AD1314" s="98">
        <f t="shared" ca="1" si="45"/>
        <v>25.125256673511295</v>
      </c>
      <c r="AE1314" s="99">
        <f t="shared" ca="1" si="44"/>
        <v>51162</v>
      </c>
      <c r="AF1314" s="6">
        <v>2.6442449880683143</v>
      </c>
    </row>
    <row r="1315" spans="30:32" x14ac:dyDescent="0.2">
      <c r="AD1315" s="98">
        <f t="shared" ca="1" si="45"/>
        <v>25.144421629021217</v>
      </c>
      <c r="AE1315" s="99">
        <f t="shared" ca="1" si="44"/>
        <v>51169</v>
      </c>
      <c r="AF1315" s="6">
        <v>2.6445191239918513</v>
      </c>
    </row>
    <row r="1316" spans="30:32" x14ac:dyDescent="0.2">
      <c r="AD1316" s="98">
        <f t="shared" ca="1" si="45"/>
        <v>25.163586584531142</v>
      </c>
      <c r="AE1316" s="99">
        <f t="shared" ca="1" si="44"/>
        <v>51176</v>
      </c>
      <c r="AF1316" s="6">
        <v>2.6447934790209473</v>
      </c>
    </row>
    <row r="1317" spans="30:32" x14ac:dyDescent="0.2">
      <c r="AD1317" s="98">
        <f t="shared" ca="1" si="45"/>
        <v>25.182751540041068</v>
      </c>
      <c r="AE1317" s="99">
        <f t="shared" ca="1" si="44"/>
        <v>51183</v>
      </c>
      <c r="AF1317" s="6">
        <v>2.6450680396004862</v>
      </c>
    </row>
    <row r="1318" spans="30:32" x14ac:dyDescent="0.2">
      <c r="AD1318" s="98">
        <f t="shared" ca="1" si="45"/>
        <v>25.201916495550993</v>
      </c>
      <c r="AE1318" s="99">
        <f t="shared" ca="1" si="44"/>
        <v>51190</v>
      </c>
      <c r="AF1318" s="6">
        <v>2.6453427919355983</v>
      </c>
    </row>
    <row r="1319" spans="30:32" x14ac:dyDescent="0.2">
      <c r="AD1319" s="98">
        <f t="shared" ca="1" si="45"/>
        <v>25.221081451060918</v>
      </c>
      <c r="AE1319" s="99">
        <f t="shared" ca="1" si="44"/>
        <v>51197</v>
      </c>
      <c r="AF1319" s="6">
        <v>2.645617721991421</v>
      </c>
    </row>
    <row r="1320" spans="30:32" x14ac:dyDescent="0.2">
      <c r="AD1320" s="98">
        <f t="shared" ca="1" si="45"/>
        <v>25.240246406570844</v>
      </c>
      <c r="AE1320" s="99">
        <f t="shared" ca="1" si="44"/>
        <v>51204</v>
      </c>
      <c r="AF1320" s="6">
        <v>2.6458928154929748</v>
      </c>
    </row>
    <row r="1321" spans="30:32" x14ac:dyDescent="0.2">
      <c r="AD1321" s="98">
        <f t="shared" ca="1" si="45"/>
        <v>25.259411362080765</v>
      </c>
      <c r="AE1321" s="99">
        <f t="shared" ca="1" si="44"/>
        <v>51211</v>
      </c>
      <c r="AF1321" s="6">
        <v>2.6461680579251423</v>
      </c>
    </row>
    <row r="1322" spans="30:32" x14ac:dyDescent="0.2">
      <c r="AD1322" s="98">
        <f t="shared" ca="1" si="45"/>
        <v>25.278576317590691</v>
      </c>
      <c r="AE1322" s="99">
        <f t="shared" ca="1" si="44"/>
        <v>51218</v>
      </c>
      <c r="AF1322" s="6">
        <v>2.6464434345327623</v>
      </c>
    </row>
    <row r="1323" spans="30:32" x14ac:dyDescent="0.2">
      <c r="AD1323" s="98">
        <f t="shared" ca="1" si="45"/>
        <v>25.297741273100616</v>
      </c>
      <c r="AE1323" s="99">
        <f t="shared" ca="1" si="44"/>
        <v>51225</v>
      </c>
      <c r="AF1323" s="6">
        <v>2.6467189303208332</v>
      </c>
    </row>
    <row r="1324" spans="30:32" x14ac:dyDescent="0.2">
      <c r="AD1324" s="98">
        <f t="shared" ca="1" si="45"/>
        <v>25.316906228610542</v>
      </c>
      <c r="AE1324" s="99">
        <f t="shared" ca="1" si="44"/>
        <v>51232</v>
      </c>
      <c r="AF1324" s="6">
        <v>2.6469945300548408</v>
      </c>
    </row>
    <row r="1325" spans="30:32" x14ac:dyDescent="0.2">
      <c r="AD1325" s="98">
        <f t="shared" ca="1" si="45"/>
        <v>25.336071184120467</v>
      </c>
      <c r="AE1325" s="99">
        <f t="shared" ca="1" si="44"/>
        <v>51239</v>
      </c>
      <c r="AF1325" s="6">
        <v>2.6472702182611987</v>
      </c>
    </row>
    <row r="1326" spans="30:32" x14ac:dyDescent="0.2">
      <c r="AD1326" s="98">
        <f t="shared" ca="1" si="45"/>
        <v>25.355236139630389</v>
      </c>
      <c r="AE1326" s="99">
        <f t="shared" ca="1" si="44"/>
        <v>51246</v>
      </c>
      <c r="AF1326" s="6">
        <v>2.6475459792278131</v>
      </c>
    </row>
    <row r="1327" spans="30:32" x14ac:dyDescent="0.2">
      <c r="AD1327" s="98">
        <f t="shared" ca="1" si="45"/>
        <v>25.374401095140314</v>
      </c>
      <c r="AE1327" s="99">
        <f t="shared" ca="1" si="44"/>
        <v>51253</v>
      </c>
      <c r="AF1327" s="6">
        <v>2.6478217970047733</v>
      </c>
    </row>
    <row r="1328" spans="30:32" x14ac:dyDescent="0.2">
      <c r="AD1328" s="98">
        <f t="shared" ca="1" si="45"/>
        <v>25.393566050650239</v>
      </c>
      <c r="AE1328" s="99">
        <f t="shared" ca="1" si="44"/>
        <v>51260</v>
      </c>
      <c r="AF1328" s="6">
        <v>2.6480976554051745</v>
      </c>
    </row>
    <row r="1329" spans="30:32" x14ac:dyDescent="0.2">
      <c r="AD1329" s="98">
        <f t="shared" ca="1" si="45"/>
        <v>25.412731006160165</v>
      </c>
      <c r="AE1329" s="99">
        <f t="shared" ca="1" si="44"/>
        <v>51267</v>
      </c>
      <c r="AF1329" s="6">
        <v>2.6483735380060613</v>
      </c>
    </row>
    <row r="1330" spans="30:32" x14ac:dyDescent="0.2">
      <c r="AD1330" s="98">
        <f t="shared" ca="1" si="45"/>
        <v>25.43189596167009</v>
      </c>
      <c r="AE1330" s="99">
        <f t="shared" ca="1" si="44"/>
        <v>51274</v>
      </c>
      <c r="AF1330" s="6">
        <v>2.6486494281495117</v>
      </c>
    </row>
    <row r="1331" spans="30:32" x14ac:dyDescent="0.2">
      <c r="AD1331" s="98">
        <f t="shared" ca="1" si="45"/>
        <v>25.451060917180012</v>
      </c>
      <c r="AE1331" s="99">
        <f t="shared" ca="1" si="44"/>
        <v>51281</v>
      </c>
      <c r="AF1331" s="6">
        <v>2.6489253089438556</v>
      </c>
    </row>
    <row r="1332" spans="30:32" x14ac:dyDescent="0.2">
      <c r="AD1332" s="98">
        <f t="shared" ca="1" si="45"/>
        <v>25.470225872689937</v>
      </c>
      <c r="AE1332" s="99">
        <f t="shared" ca="1" si="44"/>
        <v>51288</v>
      </c>
      <c r="AF1332" s="6">
        <v>2.6492011632650301</v>
      </c>
    </row>
    <row r="1333" spans="30:32" x14ac:dyDescent="0.2">
      <c r="AD1333" s="98">
        <f t="shared" ca="1" si="45"/>
        <v>25.489390828199863</v>
      </c>
      <c r="AE1333" s="99">
        <f t="shared" ca="1" si="44"/>
        <v>51295</v>
      </c>
      <c r="AF1333" s="6">
        <v>2.6494769737580763</v>
      </c>
    </row>
    <row r="1334" spans="30:32" x14ac:dyDescent="0.2">
      <c r="AD1334" s="98">
        <f t="shared" ca="1" si="45"/>
        <v>25.508555783709788</v>
      </c>
      <c r="AE1334" s="99">
        <f t="shared" ca="1" si="44"/>
        <v>51302</v>
      </c>
      <c r="AF1334" s="6">
        <v>2.6497527228387772</v>
      </c>
    </row>
    <row r="1335" spans="30:32" x14ac:dyDescent="0.2">
      <c r="AD1335" s="98">
        <f t="shared" ca="1" si="45"/>
        <v>25.527720739219713</v>
      </c>
      <c r="AE1335" s="99">
        <f t="shared" ca="1" si="44"/>
        <v>51309</v>
      </c>
      <c r="AF1335" s="6">
        <v>2.6500283926954449</v>
      </c>
    </row>
    <row r="1336" spans="30:32" x14ac:dyDescent="0.2">
      <c r="AD1336" s="98">
        <f t="shared" ca="1" si="45"/>
        <v>25.546885694729639</v>
      </c>
      <c r="AE1336" s="99">
        <f t="shared" ca="1" si="44"/>
        <v>51316</v>
      </c>
      <c r="AF1336" s="6">
        <v>2.6503039652908513</v>
      </c>
    </row>
    <row r="1337" spans="30:32" x14ac:dyDescent="0.2">
      <c r="AD1337" s="98">
        <f t="shared" ca="1" si="45"/>
        <v>25.566050650239561</v>
      </c>
      <c r="AE1337" s="99">
        <f t="shared" ca="1" si="44"/>
        <v>51323</v>
      </c>
      <c r="AF1337" s="6">
        <v>2.6505794223643133</v>
      </c>
    </row>
    <row r="1338" spans="30:32" x14ac:dyDescent="0.2">
      <c r="AD1338" s="98">
        <f t="shared" ca="1" si="45"/>
        <v>25.585215605749486</v>
      </c>
      <c r="AE1338" s="99">
        <f t="shared" ca="1" si="44"/>
        <v>51330</v>
      </c>
      <c r="AF1338" s="6">
        <v>2.6508547454339251</v>
      </c>
    </row>
    <row r="1339" spans="30:32" x14ac:dyDescent="0.2">
      <c r="AD1339" s="98">
        <f t="shared" ca="1" si="45"/>
        <v>25.604380561259411</v>
      </c>
      <c r="AE1339" s="99">
        <f t="shared" ca="1" si="44"/>
        <v>51337</v>
      </c>
      <c r="AF1339" s="6">
        <v>2.6511299157989456</v>
      </c>
    </row>
    <row r="1340" spans="30:32" x14ac:dyDescent="0.2">
      <c r="AD1340" s="98">
        <f t="shared" ca="1" si="45"/>
        <v>25.623545516769337</v>
      </c>
      <c r="AE1340" s="99">
        <f t="shared" ca="1" si="44"/>
        <v>51344</v>
      </c>
      <c r="AF1340" s="6">
        <v>2.6514049145423457</v>
      </c>
    </row>
    <row r="1341" spans="30:32" x14ac:dyDescent="0.2">
      <c r="AD1341" s="98">
        <f t="shared" ca="1" si="45"/>
        <v>25.642710472279262</v>
      </c>
      <c r="AE1341" s="99">
        <f t="shared" ca="1" si="44"/>
        <v>51351</v>
      </c>
      <c r="AF1341" s="6">
        <v>2.6516797225335078</v>
      </c>
    </row>
    <row r="1342" spans="30:32" x14ac:dyDescent="0.2">
      <c r="AD1342" s="98">
        <f t="shared" ca="1" si="45"/>
        <v>25.661875427789184</v>
      </c>
      <c r="AE1342" s="99">
        <f t="shared" ca="1" si="44"/>
        <v>51358</v>
      </c>
      <c r="AF1342" s="6">
        <v>2.6519543204310909</v>
      </c>
    </row>
    <row r="1343" spans="30:32" x14ac:dyDescent="0.2">
      <c r="AD1343" s="98">
        <f t="shared" ca="1" si="45"/>
        <v>25.681040383299109</v>
      </c>
      <c r="AE1343" s="99">
        <f t="shared" ca="1" si="44"/>
        <v>51365</v>
      </c>
      <c r="AF1343" s="6">
        <v>2.65222868868605</v>
      </c>
    </row>
    <row r="1344" spans="30:32" x14ac:dyDescent="0.2">
      <c r="AD1344" s="98">
        <f t="shared" ca="1" si="45"/>
        <v>25.700205338809035</v>
      </c>
      <c r="AE1344" s="99">
        <f t="shared" ca="1" si="44"/>
        <v>51372</v>
      </c>
      <c r="AF1344" s="6">
        <v>2.6525028075448231</v>
      </c>
    </row>
    <row r="1345" spans="30:32" x14ac:dyDescent="0.2">
      <c r="AD1345" s="98">
        <f t="shared" ca="1" si="45"/>
        <v>25.71937029431896</v>
      </c>
      <c r="AE1345" s="99">
        <f t="shared" ca="1" si="44"/>
        <v>51379</v>
      </c>
      <c r="AF1345" s="6">
        <v>2.6527766570526854</v>
      </c>
    </row>
    <row r="1346" spans="30:32" x14ac:dyDescent="0.2">
      <c r="AD1346" s="98">
        <f t="shared" ca="1" si="45"/>
        <v>25.738535249828885</v>
      </c>
      <c r="AE1346" s="99">
        <f t="shared" ca="1" si="44"/>
        <v>51386</v>
      </c>
      <c r="AF1346" s="6">
        <v>2.6530502170572574</v>
      </c>
    </row>
    <row r="1347" spans="30:32" x14ac:dyDescent="0.2">
      <c r="AD1347" s="98">
        <f t="shared" ca="1" si="45"/>
        <v>25.757700205338811</v>
      </c>
      <c r="AE1347" s="99">
        <f t="shared" ca="1" si="44"/>
        <v>51393</v>
      </c>
      <c r="AF1347" s="6">
        <v>2.6533234672121964</v>
      </c>
    </row>
    <row r="1348" spans="30:32" x14ac:dyDescent="0.2">
      <c r="AD1348" s="98">
        <f t="shared" ca="1" si="45"/>
        <v>25.776865160848732</v>
      </c>
      <c r="AE1348" s="99">
        <f t="shared" ref="AE1348:AE1411" ca="1" si="46">AE1347+7</f>
        <v>51400</v>
      </c>
      <c r="AF1348" s="6">
        <v>2.6535963869810364</v>
      </c>
    </row>
    <row r="1349" spans="30:32" x14ac:dyDescent="0.2">
      <c r="AD1349" s="98">
        <f t="shared" ref="AD1349:AD1412" ca="1" si="47">(AE1349-$B$3)/365.25</f>
        <v>25.796030116358658</v>
      </c>
      <c r="AE1349" s="99">
        <f t="shared" ca="1" si="46"/>
        <v>51407</v>
      </c>
      <c r="AF1349" s="6">
        <v>2.6538689556412174</v>
      </c>
    </row>
    <row r="1350" spans="30:32" x14ac:dyDescent="0.2">
      <c r="AD1350" s="98">
        <f t="shared" ca="1" si="47"/>
        <v>25.815195071868583</v>
      </c>
      <c r="AE1350" s="99">
        <f t="shared" ca="1" si="46"/>
        <v>51414</v>
      </c>
      <c r="AF1350" s="6">
        <v>2.654141152288267</v>
      </c>
    </row>
    <row r="1351" spans="30:32" x14ac:dyDescent="0.2">
      <c r="AD1351" s="98">
        <f t="shared" ca="1" si="47"/>
        <v>25.834360027378509</v>
      </c>
      <c r="AE1351" s="99">
        <f t="shared" ca="1" si="46"/>
        <v>51421</v>
      </c>
      <c r="AF1351" s="6">
        <v>2.6544129558401632</v>
      </c>
    </row>
    <row r="1352" spans="30:32" x14ac:dyDescent="0.2">
      <c r="AD1352" s="98">
        <f t="shared" ca="1" si="47"/>
        <v>25.853524982888434</v>
      </c>
      <c r="AE1352" s="99">
        <f t="shared" ca="1" si="46"/>
        <v>51428</v>
      </c>
      <c r="AF1352" s="6">
        <v>2.6546843450418613</v>
      </c>
    </row>
    <row r="1353" spans="30:32" x14ac:dyDescent="0.2">
      <c r="AD1353" s="98">
        <f t="shared" ca="1" si="47"/>
        <v>25.872689938398356</v>
      </c>
      <c r="AE1353" s="99">
        <f t="shared" ca="1" si="46"/>
        <v>51435</v>
      </c>
      <c r="AF1353" s="6">
        <v>2.6549552984699973</v>
      </c>
    </row>
    <row r="1354" spans="30:32" x14ac:dyDescent="0.2">
      <c r="AD1354" s="98">
        <f t="shared" ca="1" si="47"/>
        <v>25.891854893908281</v>
      </c>
      <c r="AE1354" s="99">
        <f t="shared" ca="1" si="46"/>
        <v>51442</v>
      </c>
      <c r="AF1354" s="6">
        <v>2.6552257945377589</v>
      </c>
    </row>
    <row r="1355" spans="30:32" x14ac:dyDescent="0.2">
      <c r="AD1355" s="98">
        <f t="shared" ca="1" si="47"/>
        <v>25.911019849418206</v>
      </c>
      <c r="AE1355" s="99">
        <f t="shared" ca="1" si="46"/>
        <v>51449</v>
      </c>
      <c r="AF1355" s="6">
        <v>2.6554958114999265</v>
      </c>
    </row>
    <row r="1356" spans="30:32" x14ac:dyDescent="0.2">
      <c r="AD1356" s="98">
        <f t="shared" ca="1" si="47"/>
        <v>25.930184804928132</v>
      </c>
      <c r="AE1356" s="99">
        <f t="shared" ca="1" si="46"/>
        <v>51456</v>
      </c>
      <c r="AF1356" s="6">
        <v>2.6557653274580941</v>
      </c>
    </row>
    <row r="1357" spans="30:32" x14ac:dyDescent="0.2">
      <c r="AD1357" s="98">
        <f t="shared" ca="1" si="47"/>
        <v>25.949349760438057</v>
      </c>
      <c r="AE1357" s="99">
        <f t="shared" ca="1" si="46"/>
        <v>51463</v>
      </c>
      <c r="AF1357" s="6">
        <v>2.6560343203660475</v>
      </c>
    </row>
    <row r="1358" spans="30:32" x14ac:dyDescent="0.2">
      <c r="AD1358" s="98">
        <f t="shared" ca="1" si="47"/>
        <v>25.968514715947983</v>
      </c>
      <c r="AE1358" s="99">
        <f t="shared" ca="1" si="46"/>
        <v>51470</v>
      </c>
      <c r="AF1358" s="6">
        <v>2.6563027680353248</v>
      </c>
    </row>
    <row r="1359" spans="30:32" x14ac:dyDescent="0.2">
      <c r="AD1359" s="98">
        <f t="shared" ca="1" si="47"/>
        <v>25.987679671457904</v>
      </c>
      <c r="AE1359" s="99">
        <f t="shared" ca="1" si="46"/>
        <v>51477</v>
      </c>
      <c r="AF1359" s="6">
        <v>2.6565706481409466</v>
      </c>
    </row>
    <row r="1360" spans="30:32" x14ac:dyDescent="0.2">
      <c r="AD1360" s="98">
        <f t="shared" ca="1" si="47"/>
        <v>26.00684462696783</v>
      </c>
      <c r="AE1360" s="99">
        <f t="shared" ca="1" si="46"/>
        <v>51484</v>
      </c>
      <c r="AF1360" s="6">
        <v>2.6568379382273002</v>
      </c>
    </row>
    <row r="1361" spans="30:32" x14ac:dyDescent="0.2">
      <c r="AD1361" s="98">
        <f t="shared" ca="1" si="47"/>
        <v>26.026009582477755</v>
      </c>
      <c r="AE1361" s="99">
        <f t="shared" ca="1" si="46"/>
        <v>51491</v>
      </c>
      <c r="AF1361" s="6">
        <v>2.6571046157142106</v>
      </c>
    </row>
    <row r="1362" spans="30:32" x14ac:dyDescent="0.2">
      <c r="AD1362" s="98">
        <f t="shared" ca="1" si="47"/>
        <v>26.04517453798768</v>
      </c>
      <c r="AE1362" s="99">
        <f t="shared" ca="1" si="46"/>
        <v>51498</v>
      </c>
      <c r="AF1362" s="6">
        <v>2.6573706579031704</v>
      </c>
    </row>
    <row r="1363" spans="30:32" x14ac:dyDescent="0.2">
      <c r="AD1363" s="98">
        <f t="shared" ca="1" si="47"/>
        <v>26.064339493497606</v>
      </c>
      <c r="AE1363" s="99">
        <f t="shared" ca="1" si="46"/>
        <v>51505</v>
      </c>
      <c r="AF1363" s="6">
        <v>2.6576360419837322</v>
      </c>
    </row>
    <row r="1364" spans="30:32" x14ac:dyDescent="0.2">
      <c r="AD1364" s="98">
        <f t="shared" ca="1" si="47"/>
        <v>26.083504449007528</v>
      </c>
      <c r="AE1364" s="99">
        <f t="shared" ca="1" si="46"/>
        <v>51512</v>
      </c>
      <c r="AF1364" s="6">
        <v>2.6579007450400702</v>
      </c>
    </row>
    <row r="1365" spans="30:32" x14ac:dyDescent="0.2">
      <c r="AD1365" s="98">
        <f t="shared" ca="1" si="47"/>
        <v>26.102669404517453</v>
      </c>
      <c r="AE1365" s="99">
        <f t="shared" ca="1" si="46"/>
        <v>51519</v>
      </c>
      <c r="AF1365" s="6">
        <v>2.6581647440576988</v>
      </c>
    </row>
    <row r="1366" spans="30:32" x14ac:dyDescent="0.2">
      <c r="AD1366" s="98">
        <f t="shared" ca="1" si="47"/>
        <v>26.121834360027378</v>
      </c>
      <c r="AE1366" s="99">
        <f t="shared" ca="1" si="46"/>
        <v>51526</v>
      </c>
      <c r="AF1366" s="6">
        <v>2.6584280159303573</v>
      </c>
    </row>
    <row r="1367" spans="30:32" x14ac:dyDescent="0.2">
      <c r="AD1367" s="98">
        <f t="shared" ca="1" si="47"/>
        <v>26.140999315537304</v>
      </c>
      <c r="AE1367" s="99">
        <f t="shared" ca="1" si="46"/>
        <v>51533</v>
      </c>
      <c r="AF1367" s="6">
        <v>2.6586905374670491</v>
      </c>
    </row>
    <row r="1368" spans="30:32" x14ac:dyDescent="0.2">
      <c r="AD1368" s="98">
        <f t="shared" ca="1" si="47"/>
        <v>26.160164271047229</v>
      </c>
      <c r="AE1368" s="99">
        <f t="shared" ca="1" si="46"/>
        <v>51540</v>
      </c>
      <c r="AF1368" s="6">
        <v>2.6589522853992316</v>
      </c>
    </row>
    <row r="1369" spans="30:32" x14ac:dyDescent="0.2">
      <c r="AD1369" s="98">
        <f t="shared" ca="1" si="47"/>
        <v>26.179329226557151</v>
      </c>
      <c r="AE1369" s="99">
        <f t="shared" ca="1" si="46"/>
        <v>51547</v>
      </c>
      <c r="AF1369" s="6">
        <v>2.659213236388172</v>
      </c>
    </row>
    <row r="1370" spans="30:32" x14ac:dyDescent="0.2">
      <c r="AD1370" s="98">
        <f t="shared" ca="1" si="47"/>
        <v>26.198494182067076</v>
      </c>
      <c r="AE1370" s="99">
        <f t="shared" ca="1" si="46"/>
        <v>51554</v>
      </c>
      <c r="AF1370" s="6">
        <v>2.6594733670324406</v>
      </c>
    </row>
    <row r="1371" spans="30:32" x14ac:dyDescent="0.2">
      <c r="AD1371" s="98">
        <f t="shared" ca="1" si="47"/>
        <v>26.217659137577002</v>
      </c>
      <c r="AE1371" s="99">
        <f t="shared" ca="1" si="46"/>
        <v>51561</v>
      </c>
      <c r="AF1371" s="6">
        <v>2.659732653875555</v>
      </c>
    </row>
    <row r="1372" spans="30:32" x14ac:dyDescent="0.2">
      <c r="AD1372" s="98">
        <f t="shared" ca="1" si="47"/>
        <v>26.236824093086927</v>
      </c>
      <c r="AE1372" s="99">
        <f t="shared" ca="1" si="46"/>
        <v>51568</v>
      </c>
      <c r="AF1372" s="6">
        <v>2.6599910734137744</v>
      </c>
    </row>
    <row r="1373" spans="30:32" x14ac:dyDescent="0.2">
      <c r="AD1373" s="98">
        <f t="shared" ca="1" si="47"/>
        <v>26.255989048596852</v>
      </c>
      <c r="AE1373" s="99">
        <f t="shared" ca="1" si="46"/>
        <v>51575</v>
      </c>
      <c r="AF1373" s="6">
        <v>2.6602486021040233</v>
      </c>
    </row>
    <row r="1374" spans="30:32" x14ac:dyDescent="0.2">
      <c r="AD1374" s="98">
        <f t="shared" ca="1" si="47"/>
        <v>26.275154004106778</v>
      </c>
      <c r="AE1374" s="99">
        <f t="shared" ca="1" si="46"/>
        <v>51582</v>
      </c>
      <c r="AF1374" s="6">
        <v>2.6605052163719622</v>
      </c>
    </row>
    <row r="1375" spans="30:32" x14ac:dyDescent="0.2">
      <c r="AD1375" s="98">
        <f t="shared" ca="1" si="47"/>
        <v>26.2943189596167</v>
      </c>
      <c r="AE1375" s="99">
        <f t="shared" ca="1" si="46"/>
        <v>51589</v>
      </c>
      <c r="AF1375" s="6">
        <v>2.6607608926201878</v>
      </c>
    </row>
    <row r="1376" spans="30:32" x14ac:dyDescent="0.2">
      <c r="AD1376" s="98">
        <f t="shared" ca="1" si="47"/>
        <v>26.313483915126625</v>
      </c>
      <c r="AE1376" s="99">
        <f t="shared" ca="1" si="46"/>
        <v>51596</v>
      </c>
      <c r="AF1376" s="6">
        <v>2.6610156072365583</v>
      </c>
    </row>
    <row r="1377" spans="30:32" x14ac:dyDescent="0.2">
      <c r="AD1377" s="98">
        <f t="shared" ca="1" si="47"/>
        <v>26.33264887063655</v>
      </c>
      <c r="AE1377" s="99">
        <f t="shared" ca="1" si="46"/>
        <v>51603</v>
      </c>
      <c r="AF1377" s="6">
        <v>2.6612693366026487</v>
      </c>
    </row>
    <row r="1378" spans="30:32" x14ac:dyDescent="0.2">
      <c r="AD1378" s="98">
        <f t="shared" ca="1" si="47"/>
        <v>26.351813826146476</v>
      </c>
      <c r="AE1378" s="99">
        <f t="shared" ca="1" si="46"/>
        <v>51610</v>
      </c>
      <c r="AF1378" s="6">
        <v>2.661522057102323</v>
      </c>
    </row>
    <row r="1379" spans="30:32" x14ac:dyDescent="0.2">
      <c r="AD1379" s="98">
        <f t="shared" ca="1" si="47"/>
        <v>26.370978781656401</v>
      </c>
      <c r="AE1379" s="99">
        <f t="shared" ca="1" si="46"/>
        <v>51617</v>
      </c>
      <c r="AF1379" s="6">
        <v>2.6617737451304277</v>
      </c>
    </row>
    <row r="1380" spans="30:32" x14ac:dyDescent="0.2">
      <c r="AD1380" s="98">
        <f t="shared" ca="1" si="47"/>
        <v>26.390143737166323</v>
      </c>
      <c r="AE1380" s="99">
        <f t="shared" ca="1" si="46"/>
        <v>51624</v>
      </c>
      <c r="AF1380" s="6">
        <v>2.6620243771015875</v>
      </c>
    </row>
    <row r="1381" spans="30:32" x14ac:dyDescent="0.2">
      <c r="AD1381" s="98">
        <f t="shared" ca="1" si="47"/>
        <v>26.409308692676248</v>
      </c>
      <c r="AE1381" s="99">
        <f t="shared" ca="1" si="46"/>
        <v>51631</v>
      </c>
      <c r="AF1381" s="6">
        <v>2.6622739294591096</v>
      </c>
    </row>
    <row r="1382" spans="30:32" x14ac:dyDescent="0.2">
      <c r="AD1382" s="98">
        <f t="shared" ca="1" si="47"/>
        <v>26.428473648186174</v>
      </c>
      <c r="AE1382" s="99">
        <f t="shared" ca="1" si="46"/>
        <v>51638</v>
      </c>
      <c r="AF1382" s="6">
        <v>2.6625223786839949</v>
      </c>
    </row>
    <row r="1383" spans="30:32" x14ac:dyDescent="0.2">
      <c r="AD1383" s="98">
        <f t="shared" ca="1" si="47"/>
        <v>26.447638603696099</v>
      </c>
      <c r="AE1383" s="99">
        <f t="shared" ca="1" si="46"/>
        <v>51645</v>
      </c>
      <c r="AF1383" s="6">
        <v>2.6627697013040343</v>
      </c>
    </row>
    <row r="1384" spans="30:32" x14ac:dyDescent="0.2">
      <c r="AD1384" s="98">
        <f t="shared" ca="1" si="47"/>
        <v>26.466803559206024</v>
      </c>
      <c r="AE1384" s="99">
        <f t="shared" ca="1" si="46"/>
        <v>51652</v>
      </c>
      <c r="AF1384" s="6">
        <v>2.6630158739029999</v>
      </c>
    </row>
    <row r="1385" spans="30:32" x14ac:dyDescent="0.2">
      <c r="AD1385" s="98">
        <f t="shared" ca="1" si="47"/>
        <v>26.48596851471595</v>
      </c>
      <c r="AE1385" s="99">
        <f t="shared" ca="1" si="46"/>
        <v>51659</v>
      </c>
      <c r="AF1385" s="6">
        <v>2.6632608731299188</v>
      </c>
    </row>
    <row r="1386" spans="30:32" x14ac:dyDescent="0.2">
      <c r="AD1386" s="98">
        <f t="shared" ca="1" si="47"/>
        <v>26.505133470225871</v>
      </c>
      <c r="AE1386" s="99">
        <f t="shared" ca="1" si="46"/>
        <v>51666</v>
      </c>
      <c r="AF1386" s="6">
        <v>2.6635046757084209</v>
      </c>
    </row>
    <row r="1387" spans="30:32" x14ac:dyDescent="0.2">
      <c r="AD1387" s="98">
        <f t="shared" ca="1" si="47"/>
        <v>26.524298425735797</v>
      </c>
      <c r="AE1387" s="99">
        <f t="shared" ca="1" si="46"/>
        <v>51673</v>
      </c>
      <c r="AF1387" s="6">
        <v>2.6637472584461652</v>
      </c>
    </row>
    <row r="1388" spans="30:32" x14ac:dyDescent="0.2">
      <c r="AD1388" s="98">
        <f t="shared" ca="1" si="47"/>
        <v>26.543463381245722</v>
      </c>
      <c r="AE1388" s="99">
        <f t="shared" ca="1" si="46"/>
        <v>51680</v>
      </c>
      <c r="AF1388" s="6">
        <v>2.663988598244321</v>
      </c>
    </row>
    <row r="1389" spans="30:32" x14ac:dyDescent="0.2">
      <c r="AD1389" s="98">
        <f t="shared" ca="1" si="47"/>
        <v>26.562628336755647</v>
      </c>
      <c r="AE1389" s="99">
        <f t="shared" ca="1" si="46"/>
        <v>51687</v>
      </c>
      <c r="AF1389" s="6">
        <v>2.6642286721071153</v>
      </c>
    </row>
    <row r="1390" spans="30:32" x14ac:dyDescent="0.2">
      <c r="AD1390" s="98">
        <f t="shared" ca="1" si="47"/>
        <v>26.581793292265573</v>
      </c>
      <c r="AE1390" s="99">
        <f t="shared" ca="1" si="46"/>
        <v>51694</v>
      </c>
      <c r="AF1390" s="6">
        <v>2.6644674571514262</v>
      </c>
    </row>
    <row r="1391" spans="30:32" x14ac:dyDescent="0.2">
      <c r="AD1391" s="98">
        <f t="shared" ca="1" si="47"/>
        <v>26.600958247775495</v>
      </c>
      <c r="AE1391" s="99">
        <f t="shared" ca="1" si="46"/>
        <v>51701</v>
      </c>
      <c r="AF1391" s="6">
        <v>2.6647049306164243</v>
      </c>
    </row>
    <row r="1392" spans="30:32" x14ac:dyDescent="0.2">
      <c r="AD1392" s="98">
        <f t="shared" ca="1" si="47"/>
        <v>26.62012320328542</v>
      </c>
      <c r="AE1392" s="99">
        <f t="shared" ca="1" si="46"/>
        <v>51708</v>
      </c>
      <c r="AF1392" s="6">
        <v>2.6649410698732483</v>
      </c>
    </row>
    <row r="1393" spans="30:32" x14ac:dyDescent="0.2">
      <c r="AD1393" s="98">
        <f t="shared" ca="1" si="47"/>
        <v>26.639288158795345</v>
      </c>
      <c r="AE1393" s="99">
        <f t="shared" ca="1" si="46"/>
        <v>51715</v>
      </c>
      <c r="AF1393" s="6">
        <v>2.665175852434718</v>
      </c>
    </row>
    <row r="1394" spans="30:32" x14ac:dyDescent="0.2">
      <c r="AD1394" s="98">
        <f t="shared" ca="1" si="47"/>
        <v>26.658453114305271</v>
      </c>
      <c r="AE1394" s="99">
        <f t="shared" ca="1" si="46"/>
        <v>51722</v>
      </c>
      <c r="AF1394" s="6">
        <v>2.6654092559650571</v>
      </c>
    </row>
    <row r="1395" spans="30:32" x14ac:dyDescent="0.2">
      <c r="AD1395" s="98">
        <f t="shared" ca="1" si="47"/>
        <v>26.677618069815196</v>
      </c>
      <c r="AE1395" s="99">
        <f t="shared" ca="1" si="46"/>
        <v>51729</v>
      </c>
      <c r="AF1395" s="6">
        <v>2.6656412582896447</v>
      </c>
    </row>
    <row r="1396" spans="30:32" x14ac:dyDescent="0.2">
      <c r="AD1396" s="98">
        <f t="shared" ca="1" si="47"/>
        <v>26.696783025325121</v>
      </c>
      <c r="AE1396" s="99">
        <f t="shared" ca="1" si="46"/>
        <v>51736</v>
      </c>
      <c r="AF1396" s="6">
        <v>2.6658718374047674</v>
      </c>
    </row>
    <row r="1397" spans="30:32" x14ac:dyDescent="0.2">
      <c r="AD1397" s="98">
        <f t="shared" ca="1" si="47"/>
        <v>26.715947980835043</v>
      </c>
      <c r="AE1397" s="99">
        <f t="shared" ca="1" si="46"/>
        <v>51743</v>
      </c>
      <c r="AF1397" s="6">
        <v>2.6661009714873742</v>
      </c>
    </row>
    <row r="1398" spans="30:32" x14ac:dyDescent="0.2">
      <c r="AD1398" s="98">
        <f t="shared" ca="1" si="47"/>
        <v>26.735112936344969</v>
      </c>
      <c r="AE1398" s="99">
        <f t="shared" ca="1" si="46"/>
        <v>51750</v>
      </c>
      <c r="AF1398" s="6">
        <v>2.6663286389048215</v>
      </c>
    </row>
    <row r="1399" spans="30:32" x14ac:dyDescent="0.2">
      <c r="AD1399" s="98">
        <f t="shared" ca="1" si="47"/>
        <v>26.754277891854894</v>
      </c>
      <c r="AE1399" s="99">
        <f t="shared" ca="1" si="46"/>
        <v>51757</v>
      </c>
      <c r="AF1399" s="6">
        <v>2.6665548182246068</v>
      </c>
    </row>
    <row r="1400" spans="30:32" x14ac:dyDescent="0.2">
      <c r="AD1400" s="98">
        <f t="shared" ca="1" si="47"/>
        <v>26.773442847364819</v>
      </c>
      <c r="AE1400" s="99">
        <f t="shared" ca="1" si="46"/>
        <v>51764</v>
      </c>
      <c r="AF1400" s="6">
        <v>2.6667794882240772</v>
      </c>
    </row>
    <row r="1401" spans="30:32" x14ac:dyDescent="0.2">
      <c r="AD1401" s="98">
        <f t="shared" ca="1" si="47"/>
        <v>26.792607802874745</v>
      </c>
      <c r="AE1401" s="99">
        <f t="shared" ca="1" si="46"/>
        <v>51771</v>
      </c>
      <c r="AF1401" s="6">
        <v>2.6670026279000991</v>
      </c>
    </row>
    <row r="1402" spans="30:32" x14ac:dyDescent="0.2">
      <c r="AD1402" s="98">
        <f t="shared" ca="1" si="47"/>
        <v>26.811772758384667</v>
      </c>
      <c r="AE1402" s="99">
        <f t="shared" ca="1" si="46"/>
        <v>51778</v>
      </c>
      <c r="AF1402" s="6">
        <v>2.6672242164787052</v>
      </c>
    </row>
    <row r="1403" spans="30:32" x14ac:dyDescent="0.2">
      <c r="AD1403" s="98">
        <f t="shared" ca="1" si="47"/>
        <v>26.830937713894592</v>
      </c>
      <c r="AE1403" s="99">
        <f t="shared" ca="1" si="46"/>
        <v>51785</v>
      </c>
      <c r="AF1403" s="6">
        <v>2.6674442334246771</v>
      </c>
    </row>
    <row r="1404" spans="30:32" x14ac:dyDescent="0.2">
      <c r="AD1404" s="98">
        <f t="shared" ca="1" si="47"/>
        <v>26.850102669404517</v>
      </c>
      <c r="AE1404" s="99">
        <f t="shared" ca="1" si="46"/>
        <v>51792</v>
      </c>
      <c r="AF1404" s="6">
        <v>2.6676626584510776</v>
      </c>
    </row>
    <row r="1405" spans="30:32" x14ac:dyDescent="0.2">
      <c r="AD1405" s="98">
        <f t="shared" ca="1" si="47"/>
        <v>26.869267624914443</v>
      </c>
      <c r="AE1405" s="99">
        <f t="shared" ca="1" si="46"/>
        <v>51799</v>
      </c>
      <c r="AF1405" s="6">
        <v>2.6678794715287291</v>
      </c>
    </row>
    <row r="1406" spans="30:32" x14ac:dyDescent="0.2">
      <c r="AD1406" s="98">
        <f t="shared" ca="1" si="47"/>
        <v>26.888432580424368</v>
      </c>
      <c r="AE1406" s="99">
        <f t="shared" ca="1" si="46"/>
        <v>51806</v>
      </c>
      <c r="AF1406" s="6">
        <v>2.668094652895598</v>
      </c>
    </row>
    <row r="1407" spans="30:32" x14ac:dyDescent="0.2">
      <c r="AD1407" s="98">
        <f t="shared" ca="1" si="47"/>
        <v>26.90759753593429</v>
      </c>
      <c r="AE1407" s="99">
        <f t="shared" ca="1" si="46"/>
        <v>51813</v>
      </c>
      <c r="AF1407" s="6">
        <v>2.6683081830661215</v>
      </c>
    </row>
    <row r="1408" spans="30:32" x14ac:dyDescent="0.2">
      <c r="AD1408" s="98">
        <f t="shared" ca="1" si="47"/>
        <v>26.926762491444215</v>
      </c>
      <c r="AE1408" s="99">
        <f t="shared" ca="1" si="46"/>
        <v>51820</v>
      </c>
      <c r="AF1408" s="6">
        <v>2.6685200428404308</v>
      </c>
    </row>
    <row r="1409" spans="30:32" x14ac:dyDescent="0.2">
      <c r="AD1409" s="98">
        <f t="shared" ca="1" si="47"/>
        <v>26.945927446954141</v>
      </c>
      <c r="AE1409" s="99">
        <f t="shared" ca="1" si="46"/>
        <v>51827</v>
      </c>
      <c r="AF1409" s="6">
        <v>2.6687302133134807</v>
      </c>
    </row>
    <row r="1410" spans="30:32" x14ac:dyDescent="0.2">
      <c r="AD1410" s="98">
        <f t="shared" ca="1" si="47"/>
        <v>26.965092402464066</v>
      </c>
      <c r="AE1410" s="99">
        <f t="shared" ca="1" si="46"/>
        <v>51834</v>
      </c>
      <c r="AF1410" s="6">
        <v>2.6689386758840805</v>
      </c>
    </row>
    <row r="1411" spans="30:32" x14ac:dyDescent="0.2">
      <c r="AD1411" s="98">
        <f t="shared" ca="1" si="47"/>
        <v>26.984257357973991</v>
      </c>
      <c r="AE1411" s="99">
        <f t="shared" ca="1" si="46"/>
        <v>51841</v>
      </c>
      <c r="AF1411" s="6">
        <v>2.6691454122637972</v>
      </c>
    </row>
    <row r="1412" spans="30:32" x14ac:dyDescent="0.2">
      <c r="AD1412" s="98">
        <f t="shared" ca="1" si="47"/>
        <v>27.003422313483917</v>
      </c>
      <c r="AE1412" s="99">
        <f t="shared" ref="AE1412:AE1475" ca="1" si="48">AE1411+7</f>
        <v>51848</v>
      </c>
      <c r="AF1412" s="6">
        <v>2.6693504044857526</v>
      </c>
    </row>
    <row r="1413" spans="30:32" x14ac:dyDescent="0.2">
      <c r="AD1413" s="98">
        <f t="shared" ref="AD1413:AD1476" ca="1" si="49">(AE1413-$B$3)/365.25</f>
        <v>27.022587268993838</v>
      </c>
      <c r="AE1413" s="99">
        <f t="shared" ca="1" si="48"/>
        <v>51855</v>
      </c>
      <c r="AF1413" s="6">
        <v>2.6695536349132811</v>
      </c>
    </row>
    <row r="1414" spans="30:32" x14ac:dyDescent="0.2">
      <c r="AD1414" s="98">
        <f t="shared" ca="1" si="49"/>
        <v>27.041752224503764</v>
      </c>
      <c r="AE1414" s="99">
        <f t="shared" ca="1" si="48"/>
        <v>51862</v>
      </c>
      <c r="AF1414" s="6">
        <v>2.6697550862484509</v>
      </c>
    </row>
    <row r="1415" spans="30:32" x14ac:dyDescent="0.2">
      <c r="AD1415" s="98">
        <f t="shared" ca="1" si="49"/>
        <v>27.060917180013689</v>
      </c>
      <c r="AE1415" s="99">
        <f t="shared" ca="1" si="48"/>
        <v>51869</v>
      </c>
      <c r="AF1415" s="6">
        <v>2.6699547415404443</v>
      </c>
    </row>
    <row r="1416" spans="30:32" x14ac:dyDescent="0.2">
      <c r="AD1416" s="98">
        <f t="shared" ca="1" si="49"/>
        <v>27.080082135523615</v>
      </c>
      <c r="AE1416" s="99">
        <f t="shared" ca="1" si="48"/>
        <v>51876</v>
      </c>
      <c r="AF1416" s="6">
        <v>2.6701525841937812</v>
      </c>
    </row>
    <row r="1417" spans="30:32" x14ac:dyDescent="0.2">
      <c r="AD1417" s="98">
        <f t="shared" ca="1" si="49"/>
        <v>27.09924709103354</v>
      </c>
      <c r="AE1417" s="99">
        <f t="shared" ca="1" si="48"/>
        <v>51883</v>
      </c>
      <c r="AF1417" s="6">
        <v>2.6703485979763752</v>
      </c>
    </row>
    <row r="1418" spans="30:32" x14ac:dyDescent="0.2">
      <c r="AD1418" s="98">
        <f t="shared" ca="1" si="49"/>
        <v>27.118412046543462</v>
      </c>
      <c r="AE1418" s="99">
        <f t="shared" ca="1" si="48"/>
        <v>51890</v>
      </c>
      <c r="AF1418" s="6">
        <v>2.6705427670274351</v>
      </c>
    </row>
    <row r="1419" spans="30:32" x14ac:dyDescent="0.2">
      <c r="AD1419" s="98">
        <f t="shared" ca="1" si="49"/>
        <v>27.137577002053387</v>
      </c>
      <c r="AE1419" s="99">
        <f t="shared" ca="1" si="48"/>
        <v>51897</v>
      </c>
      <c r="AF1419" s="6">
        <v>2.6707350758651782</v>
      </c>
    </row>
    <row r="1420" spans="30:32" x14ac:dyDescent="0.2">
      <c r="AD1420" s="98">
        <f t="shared" ca="1" si="49"/>
        <v>27.156741957563312</v>
      </c>
      <c r="AE1420" s="99">
        <f t="shared" ca="1" si="48"/>
        <v>51904</v>
      </c>
      <c r="AF1420" s="6">
        <v>2.6709255093943636</v>
      </c>
    </row>
    <row r="1421" spans="30:32" x14ac:dyDescent="0.2">
      <c r="AD1421" s="98">
        <f t="shared" ca="1" si="49"/>
        <v>27.175906913073238</v>
      </c>
      <c r="AE1421" s="99">
        <f t="shared" ca="1" si="48"/>
        <v>51911</v>
      </c>
      <c r="AF1421" s="6">
        <v>2.6711140529136346</v>
      </c>
    </row>
    <row r="1422" spans="30:32" x14ac:dyDescent="0.2">
      <c r="AD1422" s="98">
        <f t="shared" ca="1" si="49"/>
        <v>27.195071868583163</v>
      </c>
      <c r="AE1422" s="99">
        <f t="shared" ca="1" si="48"/>
        <v>51918</v>
      </c>
      <c r="AF1422" s="6">
        <v>2.6713006921226676</v>
      </c>
    </row>
    <row r="1423" spans="30:32" x14ac:dyDescent="0.2">
      <c r="AD1423" s="98">
        <f t="shared" ca="1" si="49"/>
        <v>27.214236824093089</v>
      </c>
      <c r="AE1423" s="99">
        <f t="shared" ca="1" si="48"/>
        <v>51925</v>
      </c>
      <c r="AF1423" s="6">
        <v>2.6714854131291053</v>
      </c>
    </row>
    <row r="1424" spans="30:32" x14ac:dyDescent="0.2">
      <c r="AD1424" s="98">
        <f t="shared" ca="1" si="49"/>
        <v>27.23340177960301</v>
      </c>
      <c r="AE1424" s="99">
        <f t="shared" ca="1" si="48"/>
        <v>51932</v>
      </c>
      <c r="AF1424" s="6">
        <v>2.671668202455292</v>
      </c>
    </row>
    <row r="1425" spans="30:32" x14ac:dyDescent="0.2">
      <c r="AD1425" s="98">
        <f t="shared" ca="1" si="49"/>
        <v>27.252566735112936</v>
      </c>
      <c r="AE1425" s="99">
        <f t="shared" ca="1" si="48"/>
        <v>51939</v>
      </c>
      <c r="AF1425" s="6">
        <v>2.67184904704478</v>
      </c>
    </row>
    <row r="1426" spans="30:32" x14ac:dyDescent="0.2">
      <c r="AD1426" s="98">
        <f t="shared" ca="1" si="49"/>
        <v>27.271731690622861</v>
      </c>
      <c r="AE1426" s="99">
        <f t="shared" ca="1" si="48"/>
        <v>51946</v>
      </c>
      <c r="AF1426" s="6">
        <v>2.6720279342686206</v>
      </c>
    </row>
    <row r="1427" spans="30:32" x14ac:dyDescent="0.2">
      <c r="AD1427" s="98">
        <f t="shared" ca="1" si="49"/>
        <v>27.290896646132786</v>
      </c>
      <c r="AE1427" s="99">
        <f t="shared" ca="1" si="48"/>
        <v>51953</v>
      </c>
      <c r="AF1427" s="6">
        <v>2.6722048519314159</v>
      </c>
    </row>
    <row r="1428" spans="30:32" x14ac:dyDescent="0.2">
      <c r="AD1428" s="98">
        <f t="shared" ca="1" si="49"/>
        <v>27.310061601642712</v>
      </c>
      <c r="AE1428" s="99">
        <f t="shared" ca="1" si="48"/>
        <v>51960</v>
      </c>
      <c r="AF1428" s="6">
        <v>2.6723797882771443</v>
      </c>
    </row>
    <row r="1429" spans="30:32" x14ac:dyDescent="0.2">
      <c r="AD1429" s="98">
        <f t="shared" ca="1" si="49"/>
        <v>27.329226557152634</v>
      </c>
      <c r="AE1429" s="99">
        <f t="shared" ca="1" si="48"/>
        <v>51967</v>
      </c>
      <c r="AF1429" s="6">
        <v>2.6725527319947351</v>
      </c>
    </row>
    <row r="1430" spans="30:32" x14ac:dyDescent="0.2">
      <c r="AD1430" s="98">
        <f t="shared" ca="1" si="49"/>
        <v>27.348391512662559</v>
      </c>
      <c r="AE1430" s="99">
        <f t="shared" ca="1" si="48"/>
        <v>51974</v>
      </c>
      <c r="AF1430" s="6">
        <v>2.6727236722234062</v>
      </c>
    </row>
    <row r="1431" spans="30:32" x14ac:dyDescent="0.2">
      <c r="AD1431" s="98">
        <f t="shared" ca="1" si="49"/>
        <v>27.367556468172484</v>
      </c>
      <c r="AE1431" s="99">
        <f t="shared" ca="1" si="48"/>
        <v>51981</v>
      </c>
      <c r="AF1431" s="6">
        <v>2.6728925985577399</v>
      </c>
    </row>
    <row r="1432" spans="30:32" x14ac:dyDescent="0.2">
      <c r="AD1432" s="98">
        <f t="shared" ca="1" si="49"/>
        <v>27.38672142368241</v>
      </c>
      <c r="AE1432" s="99">
        <f t="shared" ca="1" si="48"/>
        <v>51988</v>
      </c>
      <c r="AF1432" s="6">
        <v>2.67305950105251</v>
      </c>
    </row>
    <row r="1433" spans="30:32" x14ac:dyDescent="0.2">
      <c r="AD1433" s="98">
        <f t="shared" ca="1" si="49"/>
        <v>27.405886379192335</v>
      </c>
      <c r="AE1433" s="99">
        <f t="shared" ca="1" si="48"/>
        <v>51995</v>
      </c>
      <c r="AF1433" s="6">
        <v>2.6732243702272371</v>
      </c>
    </row>
    <row r="1434" spans="30:32" x14ac:dyDescent="0.2">
      <c r="AD1434" s="98">
        <f t="shared" ca="1" si="49"/>
        <v>27.42505133470226</v>
      </c>
      <c r="AE1434" s="99">
        <f t="shared" ca="1" si="48"/>
        <v>52002</v>
      </c>
      <c r="AF1434" s="6">
        <v>2.6733871970704985</v>
      </c>
    </row>
    <row r="1435" spans="30:32" x14ac:dyDescent="0.2">
      <c r="AD1435" s="98">
        <f t="shared" ca="1" si="49"/>
        <v>27.444216290212182</v>
      </c>
      <c r="AE1435" s="99">
        <f t="shared" ca="1" si="48"/>
        <v>52009</v>
      </c>
      <c r="AF1435" s="6">
        <v>2.6735479730439415</v>
      </c>
    </row>
    <row r="1436" spans="30:32" x14ac:dyDescent="0.2">
      <c r="AD1436" s="98">
        <f t="shared" ca="1" si="49"/>
        <v>27.463381245722108</v>
      </c>
      <c r="AE1436" s="99">
        <f t="shared" ca="1" si="48"/>
        <v>52016</v>
      </c>
      <c r="AF1436" s="6">
        <v>2.6737066900860431</v>
      </c>
    </row>
    <row r="1437" spans="30:32" x14ac:dyDescent="0.2">
      <c r="AD1437" s="98">
        <f t="shared" ca="1" si="49"/>
        <v>27.482546201232033</v>
      </c>
      <c r="AE1437" s="99">
        <f t="shared" ca="1" si="48"/>
        <v>52023</v>
      </c>
      <c r="AF1437" s="6">
        <v>2.6738633406155894</v>
      </c>
    </row>
    <row r="1438" spans="30:32" x14ac:dyDescent="0.2">
      <c r="AD1438" s="98">
        <f t="shared" ca="1" si="49"/>
        <v>27.501711156741958</v>
      </c>
      <c r="AE1438" s="99">
        <f t="shared" ca="1" si="48"/>
        <v>52030</v>
      </c>
      <c r="AF1438" s="6">
        <v>2.674017917534866</v>
      </c>
    </row>
    <row r="1439" spans="30:32" x14ac:dyDescent="0.2">
      <c r="AD1439" s="98">
        <f t="shared" ca="1" si="49"/>
        <v>27.520876112251884</v>
      </c>
      <c r="AE1439" s="99">
        <f t="shared" ca="1" si="48"/>
        <v>52037</v>
      </c>
      <c r="AF1439" s="6">
        <v>2.6741704142325786</v>
      </c>
    </row>
    <row r="1440" spans="30:32" x14ac:dyDescent="0.2">
      <c r="AD1440" s="98">
        <f t="shared" ca="1" si="49"/>
        <v>27.540041067761805</v>
      </c>
      <c r="AE1440" s="99">
        <f t="shared" ca="1" si="48"/>
        <v>52044</v>
      </c>
      <c r="AF1440" s="6">
        <v>2.6743208245864794</v>
      </c>
    </row>
    <row r="1441" spans="30:32" x14ac:dyDescent="0.2">
      <c r="AD1441" s="98">
        <f t="shared" ca="1" si="49"/>
        <v>27.559206023271731</v>
      </c>
      <c r="AE1441" s="99">
        <f t="shared" ca="1" si="48"/>
        <v>52051</v>
      </c>
      <c r="AF1441" s="6">
        <v>2.674469142965707</v>
      </c>
    </row>
    <row r="1442" spans="30:32" x14ac:dyDescent="0.2">
      <c r="AD1442" s="98">
        <f t="shared" ca="1" si="49"/>
        <v>27.578370978781656</v>
      </c>
      <c r="AE1442" s="99">
        <f t="shared" ca="1" si="48"/>
        <v>52058</v>
      </c>
      <c r="AF1442" s="6">
        <v>2.6746153642328414</v>
      </c>
    </row>
    <row r="1443" spans="30:32" x14ac:dyDescent="0.2">
      <c r="AD1443" s="98">
        <f t="shared" ca="1" si="49"/>
        <v>27.597535934291582</v>
      </c>
      <c r="AE1443" s="99">
        <f t="shared" ca="1" si="48"/>
        <v>52065</v>
      </c>
      <c r="AF1443" s="6">
        <v>2.6747594837456665</v>
      </c>
    </row>
    <row r="1444" spans="30:32" x14ac:dyDescent="0.2">
      <c r="AD1444" s="98">
        <f t="shared" ca="1" si="49"/>
        <v>27.616700889801507</v>
      </c>
      <c r="AE1444" s="99">
        <f t="shared" ca="1" si="48"/>
        <v>52072</v>
      </c>
      <c r="AF1444" s="6">
        <v>2.6749014973586354</v>
      </c>
    </row>
    <row r="1445" spans="30:32" x14ac:dyDescent="0.2">
      <c r="AD1445" s="98">
        <f t="shared" ca="1" si="49"/>
        <v>27.635865845311429</v>
      </c>
      <c r="AE1445" s="99">
        <f t="shared" ca="1" si="48"/>
        <v>52079</v>
      </c>
      <c r="AF1445" s="6">
        <v>2.6750414014240529</v>
      </c>
    </row>
    <row r="1446" spans="30:32" x14ac:dyDescent="0.2">
      <c r="AD1446" s="98">
        <f t="shared" ca="1" si="49"/>
        <v>27.655030800821354</v>
      </c>
      <c r="AE1446" s="99">
        <f t="shared" ca="1" si="48"/>
        <v>52086</v>
      </c>
      <c r="AF1446" s="6">
        <v>2.6751791927929496</v>
      </c>
    </row>
    <row r="1447" spans="30:32" x14ac:dyDescent="0.2">
      <c r="AD1447" s="98">
        <f t="shared" ca="1" si="49"/>
        <v>27.674195756331279</v>
      </c>
      <c r="AE1447" s="99">
        <f t="shared" ca="1" si="48"/>
        <v>52093</v>
      </c>
      <c r="AF1447" s="6">
        <v>2.6753148688156814</v>
      </c>
    </row>
    <row r="1448" spans="30:32" x14ac:dyDescent="0.2">
      <c r="AD1448" s="98">
        <f t="shared" ca="1" si="49"/>
        <v>27.693360711841205</v>
      </c>
      <c r="AE1448" s="99">
        <f t="shared" ca="1" si="48"/>
        <v>52100</v>
      </c>
      <c r="AF1448" s="6">
        <v>2.6754484273422166</v>
      </c>
    </row>
    <row r="1449" spans="30:32" x14ac:dyDescent="0.2">
      <c r="AD1449" s="98">
        <f t="shared" ca="1" si="49"/>
        <v>27.71252566735113</v>
      </c>
      <c r="AE1449" s="99">
        <f t="shared" ca="1" si="48"/>
        <v>52107</v>
      </c>
      <c r="AF1449" s="6">
        <v>2.6755798667221411</v>
      </c>
    </row>
    <row r="1450" spans="30:32" x14ac:dyDescent="0.2">
      <c r="AD1450" s="98">
        <f t="shared" ca="1" si="49"/>
        <v>27.731690622861056</v>
      </c>
      <c r="AE1450" s="99">
        <f t="shared" ca="1" si="48"/>
        <v>52114</v>
      </c>
      <c r="AF1450" s="6">
        <v>2.6757091858043669</v>
      </c>
    </row>
    <row r="1451" spans="30:32" x14ac:dyDescent="0.2">
      <c r="AD1451" s="98">
        <f t="shared" ca="1" si="49"/>
        <v>27.750855578370977</v>
      </c>
      <c r="AE1451" s="99">
        <f t="shared" ca="1" si="48"/>
        <v>52121</v>
      </c>
      <c r="AF1451" s="6">
        <v>2.67583638393655</v>
      </c>
    </row>
    <row r="1452" spans="30:32" x14ac:dyDescent="0.2">
      <c r="AD1452" s="98">
        <f t="shared" ca="1" si="49"/>
        <v>27.770020533880903</v>
      </c>
      <c r="AE1452" s="99">
        <f t="shared" ca="1" si="48"/>
        <v>52128</v>
      </c>
      <c r="AF1452" s="6">
        <v>2.6759614609642135</v>
      </c>
    </row>
    <row r="1453" spans="30:32" x14ac:dyDescent="0.2">
      <c r="AD1453" s="98">
        <f t="shared" ca="1" si="49"/>
        <v>27.789185489390828</v>
      </c>
      <c r="AE1453" s="99">
        <f t="shared" ca="1" si="48"/>
        <v>52135</v>
      </c>
      <c r="AF1453" s="6">
        <v>2.6760844172295917</v>
      </c>
    </row>
    <row r="1454" spans="30:32" x14ac:dyDescent="0.2">
      <c r="AD1454" s="98">
        <f t="shared" ca="1" si="49"/>
        <v>27.808350444900753</v>
      </c>
      <c r="AE1454" s="99">
        <f t="shared" ca="1" si="48"/>
        <v>52142</v>
      </c>
      <c r="AF1454" s="6">
        <v>2.6762052535701737</v>
      </c>
    </row>
    <row r="1455" spans="30:32" x14ac:dyDescent="0.2">
      <c r="AD1455" s="98">
        <f t="shared" ca="1" si="49"/>
        <v>27.827515400410679</v>
      </c>
      <c r="AE1455" s="99">
        <f t="shared" ca="1" si="48"/>
        <v>52149</v>
      </c>
      <c r="AF1455" s="6">
        <v>2.6763239713169775</v>
      </c>
    </row>
    <row r="1456" spans="30:32" x14ac:dyDescent="0.2">
      <c r="AD1456" s="98">
        <f t="shared" ca="1" si="49"/>
        <v>27.846680355920601</v>
      </c>
      <c r="AE1456" s="99">
        <f t="shared" ca="1" si="48"/>
        <v>52156</v>
      </c>
      <c r="AF1456" s="6">
        <v>2.676440572292528</v>
      </c>
    </row>
    <row r="1457" spans="30:32" x14ac:dyDescent="0.2">
      <c r="AD1457" s="98">
        <f t="shared" ca="1" si="49"/>
        <v>27.865845311430526</v>
      </c>
      <c r="AE1457" s="99">
        <f t="shared" ca="1" si="48"/>
        <v>52163</v>
      </c>
      <c r="AF1457" s="6">
        <v>2.6765550588085647</v>
      </c>
    </row>
    <row r="1458" spans="30:32" x14ac:dyDescent="0.2">
      <c r="AD1458" s="98">
        <f t="shared" ca="1" si="49"/>
        <v>27.885010266940451</v>
      </c>
      <c r="AE1458" s="99">
        <f t="shared" ca="1" si="48"/>
        <v>52170</v>
      </c>
      <c r="AF1458" s="6">
        <v>2.6766674336634719</v>
      </c>
    </row>
    <row r="1459" spans="30:32" x14ac:dyDescent="0.2">
      <c r="AD1459" s="98">
        <f t="shared" ca="1" si="49"/>
        <v>27.904175222450377</v>
      </c>
      <c r="AE1459" s="99">
        <f t="shared" ca="1" si="48"/>
        <v>52177</v>
      </c>
      <c r="AF1459" s="6">
        <v>2.6767777001394331</v>
      </c>
    </row>
    <row r="1460" spans="30:32" x14ac:dyDescent="0.2">
      <c r="AD1460" s="98">
        <f t="shared" ca="1" si="49"/>
        <v>27.923340177960302</v>
      </c>
      <c r="AE1460" s="99">
        <f t="shared" ca="1" si="48"/>
        <v>52184</v>
      </c>
      <c r="AF1460" s="6">
        <v>2.6768858619993199</v>
      </c>
    </row>
    <row r="1461" spans="30:32" x14ac:dyDescent="0.2">
      <c r="AD1461" s="98">
        <f t="shared" ca="1" si="49"/>
        <v>27.942505133470227</v>
      </c>
      <c r="AE1461" s="99">
        <f t="shared" ca="1" si="48"/>
        <v>52191</v>
      </c>
      <c r="AF1461" s="6">
        <v>2.6769919234833108</v>
      </c>
    </row>
    <row r="1462" spans="30:32" x14ac:dyDescent="0.2">
      <c r="AD1462" s="98">
        <f t="shared" ca="1" si="49"/>
        <v>27.961670088980149</v>
      </c>
      <c r="AE1462" s="99">
        <f t="shared" ca="1" si="48"/>
        <v>52198</v>
      </c>
      <c r="AF1462" s="6">
        <v>2.6770958893052579</v>
      </c>
    </row>
    <row r="1463" spans="30:32" x14ac:dyDescent="0.2">
      <c r="AD1463" s="98">
        <f t="shared" ca="1" si="49"/>
        <v>27.980835044490075</v>
      </c>
      <c r="AE1463" s="99">
        <f t="shared" ca="1" si="48"/>
        <v>52205</v>
      </c>
      <c r="AF1463" s="6">
        <v>2.677197764648787</v>
      </c>
    </row>
    <row r="1464" spans="30:32" x14ac:dyDescent="0.2">
      <c r="AD1464" s="98">
        <f t="shared" ca="1" si="49"/>
        <v>28</v>
      </c>
      <c r="AE1464" s="99">
        <f t="shared" ca="1" si="48"/>
        <v>52212</v>
      </c>
      <c r="AF1464" s="6">
        <v>2.677297555163157</v>
      </c>
    </row>
    <row r="1465" spans="30:32" x14ac:dyDescent="0.2">
      <c r="AD1465" s="98">
        <f t="shared" ca="1" si="49"/>
        <v>28.019164955509925</v>
      </c>
      <c r="AE1465" s="99">
        <f t="shared" ca="1" si="48"/>
        <v>52219</v>
      </c>
      <c r="AF1465" s="6">
        <v>2.6773952669588619</v>
      </c>
    </row>
    <row r="1466" spans="30:32" x14ac:dyDescent="0.2">
      <c r="AD1466" s="98">
        <f t="shared" ca="1" si="49"/>
        <v>28.038329911019851</v>
      </c>
      <c r="AE1466" s="99">
        <f t="shared" ca="1" si="48"/>
        <v>52226</v>
      </c>
      <c r="AF1466" s="6">
        <v>2.6774909066029977</v>
      </c>
    </row>
    <row r="1467" spans="30:32" x14ac:dyDescent="0.2">
      <c r="AD1467" s="98">
        <f t="shared" ca="1" si="49"/>
        <v>28.057494866529773</v>
      </c>
      <c r="AE1467" s="99">
        <f t="shared" ca="1" si="48"/>
        <v>52233</v>
      </c>
      <c r="AF1467" s="6">
        <v>2.6775844811143923</v>
      </c>
    </row>
    <row r="1468" spans="30:32" x14ac:dyDescent="0.2">
      <c r="AD1468" s="98">
        <f t="shared" ca="1" si="49"/>
        <v>28.076659822039698</v>
      </c>
      <c r="AE1468" s="99">
        <f t="shared" ca="1" si="48"/>
        <v>52240</v>
      </c>
      <c r="AF1468" s="6">
        <v>2.6776759979585072</v>
      </c>
    </row>
    <row r="1469" spans="30:32" x14ac:dyDescent="0.2">
      <c r="AD1469" s="98">
        <f t="shared" ca="1" si="49"/>
        <v>28.095824777549623</v>
      </c>
      <c r="AE1469" s="99">
        <f t="shared" ca="1" si="48"/>
        <v>52247</v>
      </c>
      <c r="AF1469" s="6">
        <v>2.6777654650421066</v>
      </c>
    </row>
    <row r="1470" spans="30:32" x14ac:dyDescent="0.2">
      <c r="AD1470" s="98">
        <f t="shared" ca="1" si="49"/>
        <v>28.114989733059549</v>
      </c>
      <c r="AE1470" s="99">
        <f t="shared" ca="1" si="48"/>
        <v>52254</v>
      </c>
      <c r="AF1470" s="6">
        <v>2.6778528907077197</v>
      </c>
    </row>
    <row r="1471" spans="30:32" x14ac:dyDescent="0.2">
      <c r="AD1471" s="98">
        <f t="shared" ca="1" si="49"/>
        <v>28.134154688569474</v>
      </c>
      <c r="AE1471" s="99">
        <f t="shared" ca="1" si="48"/>
        <v>52261</v>
      </c>
      <c r="AF1471" s="6">
        <v>2.67793828372788</v>
      </c>
    </row>
    <row r="1472" spans="30:32" x14ac:dyDescent="0.2">
      <c r="AD1472" s="98">
        <f t="shared" ca="1" si="49"/>
        <v>28.153319644079399</v>
      </c>
      <c r="AE1472" s="99">
        <f t="shared" ca="1" si="48"/>
        <v>52268</v>
      </c>
      <c r="AF1472" s="6">
        <v>2.6780216532991661</v>
      </c>
    </row>
    <row r="1473" spans="30:32" x14ac:dyDescent="0.2">
      <c r="AD1473" s="98">
        <f t="shared" ca="1" si="49"/>
        <v>28.172484599589321</v>
      </c>
      <c r="AE1473" s="99">
        <f t="shared" ca="1" si="48"/>
        <v>52275</v>
      </c>
      <c r="AF1473" s="6">
        <v>2.6781030090360374</v>
      </c>
    </row>
    <row r="1474" spans="30:32" x14ac:dyDescent="0.2">
      <c r="AD1474" s="98">
        <f t="shared" ca="1" si="49"/>
        <v>28.191649555099247</v>
      </c>
      <c r="AE1474" s="99">
        <f t="shared" ca="1" si="48"/>
        <v>52282</v>
      </c>
      <c r="AF1474" s="6">
        <v>2.6781823609644837</v>
      </c>
    </row>
    <row r="1475" spans="30:32" x14ac:dyDescent="0.2">
      <c r="AD1475" s="98">
        <f t="shared" ca="1" si="49"/>
        <v>28.210814510609172</v>
      </c>
      <c r="AE1475" s="99">
        <f t="shared" ca="1" si="48"/>
        <v>52289</v>
      </c>
      <c r="AF1475" s="6">
        <v>2.6782597195154803</v>
      </c>
    </row>
    <row r="1476" spans="30:32" x14ac:dyDescent="0.2">
      <c r="AD1476" s="98">
        <f t="shared" ca="1" si="49"/>
        <v>28.229979466119097</v>
      </c>
      <c r="AE1476" s="99">
        <f t="shared" ref="AE1476:AE1539" ca="1" si="50">AE1475+7</f>
        <v>52296</v>
      </c>
      <c r="AF1476" s="6">
        <v>2.6783350955182721</v>
      </c>
    </row>
    <row r="1477" spans="30:32" x14ac:dyDescent="0.2">
      <c r="AD1477" s="98">
        <f t="shared" ref="AD1477:AD1540" ca="1" si="51">(AE1477-$B$3)/365.25</f>
        <v>28.249144421629023</v>
      </c>
      <c r="AE1477" s="99">
        <f t="shared" ca="1" si="50"/>
        <v>52303</v>
      </c>
      <c r="AF1477" s="6">
        <v>2.6784085001934845</v>
      </c>
    </row>
    <row r="1478" spans="30:32" x14ac:dyDescent="0.2">
      <c r="AD1478" s="98">
        <f t="shared" ca="1" si="51"/>
        <v>28.268309377138944</v>
      </c>
      <c r="AE1478" s="99">
        <f t="shared" ca="1" si="50"/>
        <v>52310</v>
      </c>
      <c r="AF1478" s="6">
        <v>2.678479945146059</v>
      </c>
    </row>
    <row r="1479" spans="30:32" x14ac:dyDescent="0.2">
      <c r="AD1479" s="98">
        <f t="shared" ca="1" si="51"/>
        <v>28.28747433264887</v>
      </c>
      <c r="AE1479" s="99">
        <f t="shared" ca="1" si="50"/>
        <v>52317</v>
      </c>
      <c r="AF1479" s="6">
        <v>2.6785494423580531</v>
      </c>
    </row>
    <row r="1480" spans="30:32" x14ac:dyDescent="0.2">
      <c r="AD1480" s="98">
        <f t="shared" ca="1" si="51"/>
        <v>28.306639288158795</v>
      </c>
      <c r="AE1480" s="99">
        <f t="shared" ca="1" si="50"/>
        <v>52324</v>
      </c>
      <c r="AF1480" s="6">
        <v>2.6786170041812656</v>
      </c>
    </row>
    <row r="1481" spans="30:32" x14ac:dyDescent="0.2">
      <c r="AD1481" s="98">
        <f t="shared" ca="1" si="51"/>
        <v>28.325804243668721</v>
      </c>
      <c r="AE1481" s="99">
        <f t="shared" ca="1" si="50"/>
        <v>52331</v>
      </c>
      <c r="AF1481" s="6">
        <v>2.6786826433297333</v>
      </c>
    </row>
    <row r="1482" spans="30:32" x14ac:dyDescent="0.2">
      <c r="AD1482" s="98">
        <f t="shared" ca="1" si="51"/>
        <v>28.344969199178646</v>
      </c>
      <c r="AE1482" s="99">
        <f t="shared" ca="1" si="50"/>
        <v>52338</v>
      </c>
      <c r="AF1482" s="6">
        <v>2.6787463728720944</v>
      </c>
    </row>
    <row r="1483" spans="30:32" x14ac:dyDescent="0.2">
      <c r="AD1483" s="98">
        <f t="shared" ca="1" si="51"/>
        <v>28.364134154688571</v>
      </c>
      <c r="AE1483" s="99">
        <f t="shared" ca="1" si="50"/>
        <v>52345</v>
      </c>
      <c r="AF1483" s="6">
        <v>2.678808206223815</v>
      </c>
    </row>
    <row r="1484" spans="30:32" x14ac:dyDescent="0.2">
      <c r="AD1484" s="98">
        <f t="shared" ca="1" si="51"/>
        <v>28.383299110198493</v>
      </c>
      <c r="AE1484" s="99">
        <f t="shared" ca="1" si="50"/>
        <v>52352</v>
      </c>
      <c r="AF1484" s="6">
        <v>2.6788681571392989</v>
      </c>
    </row>
    <row r="1485" spans="30:32" x14ac:dyDescent="0.2">
      <c r="AD1485" s="98">
        <f t="shared" ca="1" si="51"/>
        <v>28.402464065708418</v>
      </c>
      <c r="AE1485" s="99">
        <f t="shared" ca="1" si="50"/>
        <v>52359</v>
      </c>
      <c r="AF1485" s="6">
        <v>2.6789262397038915</v>
      </c>
    </row>
    <row r="1486" spans="30:32" x14ac:dyDescent="0.2">
      <c r="AD1486" s="98">
        <f t="shared" ca="1" si="51"/>
        <v>28.421629021218344</v>
      </c>
      <c r="AE1486" s="99">
        <f t="shared" ca="1" si="50"/>
        <v>52366</v>
      </c>
      <c r="AF1486" s="6">
        <v>2.6789824683257679</v>
      </c>
    </row>
    <row r="1487" spans="30:32" x14ac:dyDescent="0.2">
      <c r="AD1487" s="98">
        <f t="shared" ca="1" si="51"/>
        <v>28.440793976728269</v>
      </c>
      <c r="AE1487" s="99">
        <f t="shared" ca="1" si="50"/>
        <v>52373</v>
      </c>
      <c r="AF1487" s="6">
        <v>2.6790368577277301</v>
      </c>
    </row>
    <row r="1488" spans="30:32" x14ac:dyDescent="0.2">
      <c r="AD1488" s="98">
        <f t="shared" ca="1" si="51"/>
        <v>28.459958932238195</v>
      </c>
      <c r="AE1488" s="99">
        <f t="shared" ca="1" si="50"/>
        <v>52380</v>
      </c>
      <c r="AF1488" s="6">
        <v>2.6790894229389166</v>
      </c>
    </row>
    <row r="1489" spans="30:32" x14ac:dyDescent="0.2">
      <c r="AD1489" s="98">
        <f t="shared" ca="1" si="51"/>
        <v>28.479123887748116</v>
      </c>
      <c r="AE1489" s="99">
        <f t="shared" ca="1" si="50"/>
        <v>52387</v>
      </c>
      <c r="AF1489" s="6">
        <v>2.6791401792864233</v>
      </c>
    </row>
    <row r="1490" spans="30:32" x14ac:dyDescent="0.2">
      <c r="AD1490" s="98">
        <f t="shared" ca="1" si="51"/>
        <v>28.498288843258042</v>
      </c>
      <c r="AE1490" s="99">
        <f t="shared" ca="1" si="50"/>
        <v>52394</v>
      </c>
      <c r="AF1490" s="6">
        <v>2.679189142386853</v>
      </c>
    </row>
    <row r="1491" spans="30:32" x14ac:dyDescent="0.2">
      <c r="AD1491" s="98">
        <f t="shared" ca="1" si="51"/>
        <v>28.517453798767967</v>
      </c>
      <c r="AE1491" s="99">
        <f t="shared" ca="1" si="50"/>
        <v>52401</v>
      </c>
      <c r="AF1491" s="6">
        <v>2.6792363281378022</v>
      </c>
    </row>
    <row r="1492" spans="30:32" x14ac:dyDescent="0.2">
      <c r="AD1492" s="98">
        <f t="shared" ca="1" si="51"/>
        <v>28.536618754277892</v>
      </c>
      <c r="AE1492" s="99">
        <f t="shared" ca="1" si="50"/>
        <v>52408</v>
      </c>
      <c r="AF1492" s="6">
        <v>2.6792817527092789</v>
      </c>
    </row>
    <row r="1493" spans="30:32" x14ac:dyDescent="0.2">
      <c r="AD1493" s="98">
        <f t="shared" ca="1" si="51"/>
        <v>28.555783709787818</v>
      </c>
      <c r="AE1493" s="99">
        <f t="shared" ca="1" si="50"/>
        <v>52415</v>
      </c>
      <c r="AF1493" s="6">
        <v>2.6793254325350824</v>
      </c>
    </row>
    <row r="1494" spans="30:32" x14ac:dyDescent="0.2">
      <c r="AD1494" s="98">
        <f t="shared" ca="1" si="51"/>
        <v>28.57494866529774</v>
      </c>
      <c r="AE1494" s="99">
        <f t="shared" ca="1" si="50"/>
        <v>52422</v>
      </c>
      <c r="AF1494" s="6">
        <v>2.6793673843041197</v>
      </c>
    </row>
    <row r="1495" spans="30:32" x14ac:dyDescent="0.2">
      <c r="AD1495" s="98">
        <f t="shared" ca="1" si="51"/>
        <v>28.594113620807665</v>
      </c>
      <c r="AE1495" s="99">
        <f t="shared" ca="1" si="50"/>
        <v>52429</v>
      </c>
      <c r="AF1495" s="6">
        <v>2.6794076249517036</v>
      </c>
    </row>
    <row r="1496" spans="30:32" x14ac:dyDescent="0.2">
      <c r="AD1496" s="98">
        <f t="shared" ca="1" si="51"/>
        <v>28.61327857631759</v>
      </c>
      <c r="AE1496" s="99">
        <f t="shared" ca="1" si="50"/>
        <v>52436</v>
      </c>
      <c r="AF1496" s="6">
        <v>2.6794461716508091</v>
      </c>
    </row>
    <row r="1497" spans="30:32" x14ac:dyDescent="0.2">
      <c r="AD1497" s="98">
        <f t="shared" ca="1" si="51"/>
        <v>28.632443531827516</v>
      </c>
      <c r="AE1497" s="99">
        <f t="shared" ca="1" si="50"/>
        <v>52443</v>
      </c>
      <c r="AF1497" s="6">
        <v>2.6794830418033082</v>
      </c>
    </row>
    <row r="1498" spans="30:32" x14ac:dyDescent="0.2">
      <c r="AD1498" s="98">
        <f t="shared" ca="1" si="51"/>
        <v>28.651608487337441</v>
      </c>
      <c r="AE1498" s="99">
        <f t="shared" ca="1" si="50"/>
        <v>52450</v>
      </c>
      <c r="AF1498" s="6">
        <v>2.6795182530311963</v>
      </c>
    </row>
    <row r="1499" spans="30:32" x14ac:dyDescent="0.2">
      <c r="AD1499" s="98">
        <f t="shared" ca="1" si="51"/>
        <v>28.670773442847366</v>
      </c>
      <c r="AE1499" s="99">
        <f t="shared" ca="1" si="50"/>
        <v>52457</v>
      </c>
      <c r="AF1499" s="6">
        <v>2.6795518231677984</v>
      </c>
    </row>
    <row r="1500" spans="30:32" x14ac:dyDescent="0.2">
      <c r="AD1500" s="98">
        <f t="shared" ca="1" si="51"/>
        <v>28.689938398357288</v>
      </c>
      <c r="AE1500" s="99">
        <f t="shared" ca="1" si="50"/>
        <v>52464</v>
      </c>
      <c r="AF1500" s="6">
        <v>2.6795837702489842</v>
      </c>
    </row>
    <row r="1501" spans="30:32" x14ac:dyDescent="0.2">
      <c r="AD1501" s="98">
        <f t="shared" ca="1" si="51"/>
        <v>28.709103353867214</v>
      </c>
      <c r="AE1501" s="99">
        <f t="shared" ca="1" si="50"/>
        <v>52471</v>
      </c>
      <c r="AF1501" s="6">
        <v>2.6796141125043764</v>
      </c>
    </row>
    <row r="1502" spans="30:32" x14ac:dyDescent="0.2">
      <c r="AD1502" s="98">
        <f t="shared" ca="1" si="51"/>
        <v>28.728268309377139</v>
      </c>
      <c r="AE1502" s="99">
        <f t="shared" ca="1" si="50"/>
        <v>52478</v>
      </c>
      <c r="AF1502" s="6">
        <v>2.6796428683485858</v>
      </c>
    </row>
    <row r="1503" spans="30:32" x14ac:dyDescent="0.2">
      <c r="AD1503" s="98">
        <f t="shared" ca="1" si="51"/>
        <v>28.747433264887064</v>
      </c>
      <c r="AE1503" s="99">
        <f t="shared" ca="1" si="50"/>
        <v>52485</v>
      </c>
      <c r="AF1503" s="6">
        <v>2.679670056372446</v>
      </c>
    </row>
    <row r="1504" spans="30:32" x14ac:dyDescent="0.2">
      <c r="AD1504" s="98">
        <f t="shared" ca="1" si="51"/>
        <v>28.76659822039699</v>
      </c>
      <c r="AE1504" s="99">
        <f t="shared" ca="1" si="50"/>
        <v>52492</v>
      </c>
      <c r="AF1504" s="6">
        <v>2.679695695334293</v>
      </c>
    </row>
    <row r="1505" spans="30:32" x14ac:dyDescent="0.2">
      <c r="AD1505" s="98">
        <f t="shared" ca="1" si="51"/>
        <v>28.785763175906911</v>
      </c>
      <c r="AE1505" s="99">
        <f t="shared" ca="1" si="50"/>
        <v>52499</v>
      </c>
      <c r="AF1505" s="6">
        <v>2.6797198041512535</v>
      </c>
    </row>
    <row r="1506" spans="30:32" x14ac:dyDescent="0.2">
      <c r="AD1506" s="98">
        <f t="shared" ca="1" si="51"/>
        <v>28.804928131416837</v>
      </c>
      <c r="AE1506" s="99">
        <f t="shared" ca="1" si="50"/>
        <v>52506</v>
      </c>
      <c r="AF1506" s="6">
        <v>2.6797424018905809</v>
      </c>
    </row>
    <row r="1507" spans="30:32" x14ac:dyDescent="0.2">
      <c r="AD1507" s="98">
        <f t="shared" ca="1" si="51"/>
        <v>28.824093086926762</v>
      </c>
      <c r="AE1507" s="99">
        <f t="shared" ca="1" si="50"/>
        <v>52513</v>
      </c>
      <c r="AF1507" s="6">
        <v>2.6797635077610433</v>
      </c>
    </row>
    <row r="1508" spans="30:32" x14ac:dyDescent="0.2">
      <c r="AD1508" s="98">
        <f t="shared" ca="1" si="51"/>
        <v>28.843258042436688</v>
      </c>
      <c r="AE1508" s="99">
        <f t="shared" ca="1" si="50"/>
        <v>52520</v>
      </c>
      <c r="AF1508" s="6">
        <v>2.6797831411043385</v>
      </c>
    </row>
    <row r="1509" spans="30:32" x14ac:dyDescent="0.2">
      <c r="AD1509" s="98">
        <f t="shared" ca="1" si="51"/>
        <v>28.862422997946613</v>
      </c>
      <c r="AE1509" s="99">
        <f t="shared" ca="1" si="50"/>
        <v>52527</v>
      </c>
      <c r="AF1509" s="6">
        <v>2.6798013213865772</v>
      </c>
    </row>
    <row r="1510" spans="30:32" x14ac:dyDescent="0.2">
      <c r="AD1510" s="98">
        <f t="shared" ca="1" si="51"/>
        <v>28.881587953456538</v>
      </c>
      <c r="AE1510" s="99">
        <f t="shared" ca="1" si="50"/>
        <v>52534</v>
      </c>
      <c r="AF1510" s="6">
        <v>2.6798180681898236</v>
      </c>
    </row>
    <row r="1511" spans="30:32" x14ac:dyDescent="0.2">
      <c r="AD1511" s="98">
        <f t="shared" ca="1" si="51"/>
        <v>28.90075290896646</v>
      </c>
      <c r="AE1511" s="99">
        <f t="shared" ca="1" si="50"/>
        <v>52541</v>
      </c>
      <c r="AF1511" s="6">
        <v>2.6798334012036968</v>
      </c>
    </row>
    <row r="1512" spans="30:32" x14ac:dyDescent="0.2">
      <c r="AD1512" s="98">
        <f t="shared" ca="1" si="51"/>
        <v>28.919917864476385</v>
      </c>
      <c r="AE1512" s="99">
        <f t="shared" ca="1" si="50"/>
        <v>52548</v>
      </c>
      <c r="AF1512" s="6">
        <v>2.6798473402170453</v>
      </c>
    </row>
    <row r="1513" spans="30:32" x14ac:dyDescent="0.2">
      <c r="AD1513" s="98">
        <f t="shared" ca="1" si="51"/>
        <v>28.939082819986311</v>
      </c>
      <c r="AE1513" s="99">
        <f t="shared" ca="1" si="50"/>
        <v>52555</v>
      </c>
      <c r="AF1513" s="6">
        <v>2.6798599051096921</v>
      </c>
    </row>
    <row r="1514" spans="30:32" x14ac:dyDescent="0.2">
      <c r="AD1514" s="98">
        <f t="shared" ca="1" si="51"/>
        <v>28.958247775496236</v>
      </c>
      <c r="AE1514" s="99">
        <f t="shared" ca="1" si="50"/>
        <v>52562</v>
      </c>
      <c r="AF1514" s="6">
        <v>2.6798711158442634</v>
      </c>
    </row>
    <row r="1515" spans="30:32" x14ac:dyDescent="0.2">
      <c r="AD1515" s="98">
        <f t="shared" ca="1" si="51"/>
        <v>28.977412731006162</v>
      </c>
      <c r="AE1515" s="99">
        <f t="shared" ca="1" si="50"/>
        <v>52569</v>
      </c>
      <c r="AF1515" s="6">
        <v>2.6798809924581017</v>
      </c>
    </row>
    <row r="1516" spans="30:32" x14ac:dyDescent="0.2">
      <c r="AD1516" s="98">
        <f t="shared" ca="1" si="51"/>
        <v>28.996577686516083</v>
      </c>
      <c r="AE1516" s="99">
        <f t="shared" ca="1" si="50"/>
        <v>52576</v>
      </c>
      <c r="AF1516" s="6">
        <v>2.6798895550552606</v>
      </c>
    </row>
    <row r="1517" spans="30:32" x14ac:dyDescent="0.2">
      <c r="AD1517" s="98">
        <f t="shared" ca="1" si="51"/>
        <v>29.015742642026009</v>
      </c>
      <c r="AE1517" s="99">
        <f t="shared" ca="1" si="50"/>
        <v>52583</v>
      </c>
      <c r="AF1517" s="6">
        <v>2.6798968237985976</v>
      </c>
    </row>
    <row r="1518" spans="30:32" x14ac:dyDescent="0.2">
      <c r="AD1518" s="98">
        <f t="shared" ca="1" si="51"/>
        <v>29.034907597535934</v>
      </c>
      <c r="AE1518" s="99">
        <f t="shared" ca="1" si="50"/>
        <v>52590</v>
      </c>
      <c r="AF1518" s="6">
        <v>2.6799028189019656</v>
      </c>
    </row>
    <row r="1519" spans="30:32" x14ac:dyDescent="0.2">
      <c r="AD1519" s="98">
        <f t="shared" ca="1" si="51"/>
        <v>29.054072553045859</v>
      </c>
      <c r="AE1519" s="99">
        <f t="shared" ca="1" si="50"/>
        <v>52597</v>
      </c>
      <c r="AF1519" s="6">
        <v>2.6799075606224978</v>
      </c>
    </row>
    <row r="1520" spans="30:32" x14ac:dyDescent="0.2">
      <c r="AD1520" s="98">
        <f t="shared" ca="1" si="51"/>
        <v>29.073237508555785</v>
      </c>
      <c r="AE1520" s="99">
        <f t="shared" ca="1" si="50"/>
        <v>52604</v>
      </c>
      <c r="AF1520" s="6">
        <v>2.6799110692530026</v>
      </c>
    </row>
    <row r="1521" spans="30:32" x14ac:dyDescent="0.2">
      <c r="AD1521" s="98">
        <f t="shared" ca="1" si="51"/>
        <v>29.09240246406571</v>
      </c>
      <c r="AE1521" s="99">
        <f t="shared" ca="1" si="50"/>
        <v>52611</v>
      </c>
      <c r="AF1521" s="6">
        <v>2.679913365114464</v>
      </c>
    </row>
    <row r="1522" spans="30:32" x14ac:dyDescent="0.2">
      <c r="AD1522" s="98">
        <f t="shared" ca="1" si="51"/>
        <v>29.111567419575632</v>
      </c>
      <c r="AE1522" s="99">
        <f t="shared" ca="1" si="50"/>
        <v>52618</v>
      </c>
      <c r="AF1522" s="6">
        <v>2.6799144685486529</v>
      </c>
    </row>
    <row r="1523" spans="30:32" x14ac:dyDescent="0.2">
      <c r="AD1523" s="98">
        <f t="shared" ca="1" si="51"/>
        <v>29.130732375085557</v>
      </c>
      <c r="AE1523" s="99">
        <f t="shared" ca="1" si="50"/>
        <v>52625</v>
      </c>
      <c r="AF1523" s="6">
        <v>2.6799143999108539</v>
      </c>
    </row>
    <row r="1524" spans="30:32" x14ac:dyDescent="0.2">
      <c r="AD1524" s="98">
        <f t="shared" ca="1" si="51"/>
        <v>29.149897330595483</v>
      </c>
      <c r="AE1524" s="99">
        <f t="shared" ca="1" si="50"/>
        <v>52632</v>
      </c>
      <c r="AF1524" s="6">
        <v>2.6799131795627074</v>
      </c>
    </row>
    <row r="1525" spans="30:32" x14ac:dyDescent="0.2">
      <c r="AD1525" s="98">
        <f t="shared" ca="1" si="51"/>
        <v>29.169062286105408</v>
      </c>
      <c r="AE1525" s="99">
        <f t="shared" ca="1" si="50"/>
        <v>52639</v>
      </c>
      <c r="AF1525" s="6">
        <v>2.679910827865172</v>
      </c>
    </row>
    <row r="1526" spans="30:32" x14ac:dyDescent="0.2">
      <c r="AD1526" s="98">
        <f t="shared" ca="1" si="51"/>
        <v>29.188227241615333</v>
      </c>
      <c r="AE1526" s="99">
        <f t="shared" ca="1" si="50"/>
        <v>52646</v>
      </c>
      <c r="AF1526" s="6">
        <v>2.6799073651716117</v>
      </c>
    </row>
    <row r="1527" spans="30:32" x14ac:dyDescent="0.2">
      <c r="AD1527" s="98">
        <f t="shared" ca="1" si="51"/>
        <v>29.207392197125255</v>
      </c>
      <c r="AE1527" s="99">
        <f t="shared" ca="1" si="50"/>
        <v>52653</v>
      </c>
      <c r="AF1527" s="6">
        <v>2.6799028118210035</v>
      </c>
    </row>
    <row r="1528" spans="30:32" x14ac:dyDescent="0.2">
      <c r="AD1528" s="98">
        <f t="shared" ca="1" si="51"/>
        <v>29.226557152635181</v>
      </c>
      <c r="AE1528" s="99">
        <f t="shared" ca="1" si="50"/>
        <v>52660</v>
      </c>
      <c r="AF1528" s="6">
        <v>2.6798971881312776</v>
      </c>
    </row>
    <row r="1529" spans="30:32" x14ac:dyDescent="0.2">
      <c r="AD1529" s="98">
        <f t="shared" ca="1" si="51"/>
        <v>29.245722108145106</v>
      </c>
      <c r="AE1529" s="99">
        <f t="shared" ca="1" si="50"/>
        <v>52667</v>
      </c>
      <c r="AF1529" s="6">
        <v>2.679890514392786</v>
      </c>
    </row>
    <row r="1530" spans="30:32" x14ac:dyDescent="0.2">
      <c r="AD1530" s="98">
        <f t="shared" ca="1" si="51"/>
        <v>29.264887063655031</v>
      </c>
      <c r="AE1530" s="99">
        <f t="shared" ca="1" si="50"/>
        <v>52674</v>
      </c>
      <c r="AF1530" s="6">
        <v>2.6798828108618928</v>
      </c>
    </row>
    <row r="1531" spans="30:32" x14ac:dyDescent="0.2">
      <c r="AD1531" s="98">
        <f t="shared" ca="1" si="51"/>
        <v>29.284052019164957</v>
      </c>
      <c r="AE1531" s="99">
        <f t="shared" ca="1" si="50"/>
        <v>52681</v>
      </c>
      <c r="AF1531" s="6">
        <v>2.6798740977547166</v>
      </c>
    </row>
    <row r="1532" spans="30:32" x14ac:dyDescent="0.2">
      <c r="AD1532" s="98">
        <f t="shared" ca="1" si="51"/>
        <v>29.303216974674879</v>
      </c>
      <c r="AE1532" s="99">
        <f t="shared" ca="1" si="50"/>
        <v>52688</v>
      </c>
      <c r="AF1532" s="6">
        <v>2.6798643952409855</v>
      </c>
    </row>
    <row r="1533" spans="30:32" x14ac:dyDescent="0.2">
      <c r="AD1533" s="98">
        <f t="shared" ca="1" si="51"/>
        <v>29.322381930184804</v>
      </c>
      <c r="AE1533" s="99">
        <f t="shared" ca="1" si="50"/>
        <v>52695</v>
      </c>
      <c r="AF1533" s="6">
        <v>2.6798537234380437</v>
      </c>
    </row>
    <row r="1534" spans="30:32" x14ac:dyDescent="0.2">
      <c r="AD1534" s="98">
        <f t="shared" ca="1" si="51"/>
        <v>29.341546885694729</v>
      </c>
      <c r="AE1534" s="99">
        <f t="shared" ca="1" si="50"/>
        <v>52702</v>
      </c>
      <c r="AF1534" s="6">
        <v>2.6798421024049945</v>
      </c>
    </row>
    <row r="1535" spans="30:32" x14ac:dyDescent="0.2">
      <c r="AD1535" s="98">
        <f t="shared" ca="1" si="51"/>
        <v>29.360711841204655</v>
      </c>
      <c r="AE1535" s="99">
        <f t="shared" ca="1" si="50"/>
        <v>52709</v>
      </c>
      <c r="AF1535" s="6">
        <v>2.6798295521369671</v>
      </c>
    </row>
    <row r="1536" spans="30:32" x14ac:dyDescent="0.2">
      <c r="AD1536" s="98">
        <f t="shared" ca="1" si="51"/>
        <v>29.37987679671458</v>
      </c>
      <c r="AE1536" s="99">
        <f t="shared" ca="1" si="50"/>
        <v>52716</v>
      </c>
      <c r="AF1536" s="6">
        <v>2.6798160925595433</v>
      </c>
    </row>
    <row r="1537" spans="30:32" x14ac:dyDescent="0.2">
      <c r="AD1537" s="98">
        <f t="shared" ca="1" si="51"/>
        <v>29.399041752224505</v>
      </c>
      <c r="AE1537" s="99">
        <f t="shared" ca="1" si="50"/>
        <v>52723</v>
      </c>
      <c r="AF1537" s="6">
        <v>2.6798017435233095</v>
      </c>
    </row>
    <row r="1538" spans="30:32" x14ac:dyDescent="0.2">
      <c r="AD1538" s="98">
        <f t="shared" ca="1" si="51"/>
        <v>29.418206707734427</v>
      </c>
      <c r="AE1538" s="99">
        <f t="shared" ca="1" si="50"/>
        <v>52730</v>
      </c>
      <c r="AF1538" s="6">
        <v>2.6797865247985504</v>
      </c>
    </row>
    <row r="1539" spans="30:32" x14ac:dyDescent="0.2">
      <c r="AD1539" s="98">
        <f t="shared" ca="1" si="51"/>
        <v>29.437371663244353</v>
      </c>
      <c r="AE1539" s="99">
        <f t="shared" ca="1" si="50"/>
        <v>52737</v>
      </c>
      <c r="AF1539" s="6">
        <v>2.6797704560700937</v>
      </c>
    </row>
    <row r="1540" spans="30:32" x14ac:dyDescent="0.2">
      <c r="AD1540" s="98">
        <f t="shared" ca="1" si="51"/>
        <v>29.456536618754278</v>
      </c>
      <c r="AE1540" s="99">
        <f t="shared" ref="AE1540:AE1603" ca="1" si="52">AE1539+7</f>
        <v>52744</v>
      </c>
      <c r="AF1540" s="6">
        <v>2.679753556932289</v>
      </c>
    </row>
    <row r="1541" spans="30:32" x14ac:dyDescent="0.2">
      <c r="AD1541" s="98">
        <f t="shared" ref="AD1541:AD1604" ca="1" si="53">(AE1541-$B$3)/365.25</f>
        <v>29.475701574264203</v>
      </c>
      <c r="AE1541" s="99">
        <f t="shared" ca="1" si="52"/>
        <v>52751</v>
      </c>
      <c r="AF1541" s="6">
        <v>2.679735846884125</v>
      </c>
    </row>
    <row r="1542" spans="30:32" x14ac:dyDescent="0.2">
      <c r="AD1542" s="98">
        <f t="shared" ca="1" si="53"/>
        <v>29.494866529774129</v>
      </c>
      <c r="AE1542" s="99">
        <f t="shared" ca="1" si="52"/>
        <v>52758</v>
      </c>
      <c r="AF1542" s="6">
        <v>2.6797173453244985</v>
      </c>
    </row>
    <row r="1543" spans="30:32" x14ac:dyDescent="0.2">
      <c r="AD1543" s="98">
        <f t="shared" ca="1" si="53"/>
        <v>29.51403148528405</v>
      </c>
      <c r="AE1543" s="99">
        <f t="shared" ca="1" si="52"/>
        <v>52765</v>
      </c>
      <c r="AF1543" s="6">
        <v>2.6796980715476142</v>
      </c>
    </row>
    <row r="1544" spans="30:32" x14ac:dyDescent="0.2">
      <c r="AD1544" s="98">
        <f t="shared" ca="1" si="53"/>
        <v>29.533196440793976</v>
      </c>
      <c r="AE1544" s="99">
        <f t="shared" ca="1" si="52"/>
        <v>52772</v>
      </c>
      <c r="AF1544" s="6">
        <v>2.6796780447385387</v>
      </c>
    </row>
    <row r="1545" spans="30:32" x14ac:dyDescent="0.2">
      <c r="AD1545" s="98">
        <f t="shared" ca="1" si="53"/>
        <v>29.552361396303901</v>
      </c>
      <c r="AE1545" s="99">
        <f t="shared" ca="1" si="52"/>
        <v>52779</v>
      </c>
      <c r="AF1545" s="6">
        <v>2.679657283968881</v>
      </c>
    </row>
    <row r="1546" spans="30:32" x14ac:dyDescent="0.2">
      <c r="AD1546" s="98">
        <f t="shared" ca="1" si="53"/>
        <v>29.571526351813826</v>
      </c>
      <c r="AE1546" s="99">
        <f t="shared" ca="1" si="52"/>
        <v>52786</v>
      </c>
      <c r="AF1546" s="6">
        <v>2.6796358081926299</v>
      </c>
    </row>
    <row r="1547" spans="30:32" x14ac:dyDescent="0.2">
      <c r="AD1547" s="98">
        <f t="shared" ca="1" si="53"/>
        <v>29.590691307323752</v>
      </c>
      <c r="AE1547" s="99">
        <f t="shared" ca="1" si="52"/>
        <v>52793</v>
      </c>
      <c r="AF1547" s="6">
        <v>2.6796136362421157</v>
      </c>
    </row>
    <row r="1548" spans="30:32" x14ac:dyDescent="0.2">
      <c r="AD1548" s="98">
        <f t="shared" ca="1" si="53"/>
        <v>29.609856262833677</v>
      </c>
      <c r="AE1548" s="99">
        <f t="shared" ca="1" si="52"/>
        <v>52800</v>
      </c>
      <c r="AF1548" s="6">
        <v>2.6795907868241264</v>
      </c>
    </row>
    <row r="1549" spans="30:32" x14ac:dyDescent="0.2">
      <c r="AD1549" s="98">
        <f t="shared" ca="1" si="53"/>
        <v>29.629021218343599</v>
      </c>
      <c r="AE1549" s="99">
        <f t="shared" ca="1" si="52"/>
        <v>52807</v>
      </c>
      <c r="AF1549" s="6">
        <v>2.6795672785161506</v>
      </c>
    </row>
    <row r="1550" spans="30:32" x14ac:dyDescent="0.2">
      <c r="AD1550" s="98">
        <f t="shared" ca="1" si="53"/>
        <v>29.648186173853524</v>
      </c>
      <c r="AE1550" s="99">
        <f t="shared" ca="1" si="52"/>
        <v>52814</v>
      </c>
      <c r="AF1550" s="6">
        <v>2.679543129762771</v>
      </c>
    </row>
    <row r="1551" spans="30:32" x14ac:dyDescent="0.2">
      <c r="AD1551" s="98">
        <f t="shared" ca="1" si="53"/>
        <v>29.66735112936345</v>
      </c>
      <c r="AE1551" s="99">
        <f t="shared" ca="1" si="52"/>
        <v>52821</v>
      </c>
      <c r="AF1551" s="6">
        <v>2.6795183588721794</v>
      </c>
    </row>
    <row r="1552" spans="30:32" x14ac:dyDescent="0.2">
      <c r="AD1552" s="98">
        <f t="shared" ca="1" si="53"/>
        <v>29.686516084873375</v>
      </c>
      <c r="AE1552" s="99">
        <f t="shared" ca="1" si="52"/>
        <v>52828</v>
      </c>
      <c r="AF1552" s="6">
        <v>2.6794929840128452</v>
      </c>
    </row>
    <row r="1553" spans="30:32" x14ac:dyDescent="0.2">
      <c r="AD1553" s="98">
        <f t="shared" ca="1" si="53"/>
        <v>29.7056810403833</v>
      </c>
      <c r="AE1553" s="99">
        <f t="shared" ca="1" si="52"/>
        <v>52835</v>
      </c>
      <c r="AF1553" s="6">
        <v>2.6794670232103037</v>
      </c>
    </row>
    <row r="1554" spans="30:32" x14ac:dyDescent="0.2">
      <c r="AD1554" s="98">
        <f t="shared" ca="1" si="53"/>
        <v>29.724845995893222</v>
      </c>
      <c r="AE1554" s="99">
        <f t="shared" ca="1" si="52"/>
        <v>52842</v>
      </c>
      <c r="AF1554" s="6">
        <v>2.6794404943440928</v>
      </c>
    </row>
    <row r="1555" spans="30:32" x14ac:dyDescent="0.2">
      <c r="AD1555" s="98">
        <f t="shared" ca="1" si="53"/>
        <v>29.744010951403148</v>
      </c>
      <c r="AE1555" s="99">
        <f t="shared" ca="1" si="52"/>
        <v>52849</v>
      </c>
      <c r="AF1555" s="6">
        <v>2.679413415144805</v>
      </c>
    </row>
    <row r="1556" spans="30:32" x14ac:dyDescent="0.2">
      <c r="AD1556" s="98">
        <f t="shared" ca="1" si="53"/>
        <v>29.763175906913073</v>
      </c>
      <c r="AE1556" s="99">
        <f t="shared" ca="1" si="52"/>
        <v>52856</v>
      </c>
      <c r="AF1556" s="6">
        <v>2.6793858031912903</v>
      </c>
    </row>
    <row r="1557" spans="30:32" x14ac:dyDescent="0.2">
      <c r="AD1557" s="98">
        <f t="shared" ca="1" si="53"/>
        <v>29.782340862422998</v>
      </c>
      <c r="AE1557" s="99">
        <f t="shared" ca="1" si="52"/>
        <v>52863</v>
      </c>
      <c r="AF1557" s="6">
        <v>2.6793576759079687</v>
      </c>
    </row>
    <row r="1558" spans="30:32" x14ac:dyDescent="0.2">
      <c r="AD1558" s="98">
        <f t="shared" ca="1" si="53"/>
        <v>29.801505817932924</v>
      </c>
      <c r="AE1558" s="99">
        <f t="shared" ca="1" si="52"/>
        <v>52870</v>
      </c>
      <c r="AF1558" s="6">
        <v>2.6793290505622904</v>
      </c>
    </row>
    <row r="1559" spans="30:32" x14ac:dyDescent="0.2">
      <c r="AD1559" s="98">
        <f t="shared" ca="1" si="53"/>
        <v>29.820670773442849</v>
      </c>
      <c r="AE1559" s="99">
        <f t="shared" ca="1" si="52"/>
        <v>52877</v>
      </c>
      <c r="AF1559" s="6">
        <v>2.6792999442623069</v>
      </c>
    </row>
    <row r="1560" spans="30:32" x14ac:dyDescent="0.2">
      <c r="AD1560" s="98">
        <f t="shared" ca="1" si="53"/>
        <v>29.839835728952771</v>
      </c>
      <c r="AE1560" s="99">
        <f t="shared" ca="1" si="52"/>
        <v>52884</v>
      </c>
      <c r="AF1560" s="6">
        <v>2.6792703739543731</v>
      </c>
    </row>
    <row r="1561" spans="30:32" x14ac:dyDescent="0.2">
      <c r="AD1561" s="98">
        <f t="shared" ca="1" si="53"/>
        <v>29.859000684462696</v>
      </c>
      <c r="AE1561" s="99">
        <f t="shared" ca="1" si="52"/>
        <v>52891</v>
      </c>
      <c r="AF1561" s="6">
        <v>2.6792403564209799</v>
      </c>
    </row>
    <row r="1562" spans="30:32" x14ac:dyDescent="0.2">
      <c r="AD1562" s="98">
        <f t="shared" ca="1" si="53"/>
        <v>29.878165639972622</v>
      </c>
      <c r="AE1562" s="99">
        <f t="shared" ca="1" si="52"/>
        <v>52898</v>
      </c>
      <c r="AF1562" s="6">
        <v>2.6792099082786924</v>
      </c>
    </row>
    <row r="1563" spans="30:32" x14ac:dyDescent="0.2">
      <c r="AD1563" s="98">
        <f t="shared" ca="1" si="53"/>
        <v>29.897330595482547</v>
      </c>
      <c r="AE1563" s="99">
        <f t="shared" ca="1" si="52"/>
        <v>52905</v>
      </c>
      <c r="AF1563" s="6">
        <v>2.679179045976221</v>
      </c>
    </row>
    <row r="1564" spans="30:32" x14ac:dyDescent="0.2">
      <c r="AD1564" s="98">
        <f t="shared" ca="1" si="53"/>
        <v>29.916495550992472</v>
      </c>
      <c r="AE1564" s="99">
        <f t="shared" ca="1" si="52"/>
        <v>52912</v>
      </c>
      <c r="AF1564" s="6">
        <v>2.6791477857926087</v>
      </c>
    </row>
    <row r="1565" spans="30:32" x14ac:dyDescent="0.2">
      <c r="AD1565" s="98">
        <f t="shared" ca="1" si="53"/>
        <v>29.935660506502394</v>
      </c>
      <c r="AE1565" s="99">
        <f t="shared" ca="1" si="52"/>
        <v>52919</v>
      </c>
      <c r="AF1565" s="6">
        <v>2.6791161438355289</v>
      </c>
    </row>
    <row r="1566" spans="30:32" x14ac:dyDescent="0.2">
      <c r="AD1566" s="98">
        <f t="shared" ca="1" si="53"/>
        <v>29.95482546201232</v>
      </c>
      <c r="AE1566" s="99">
        <f t="shared" ca="1" si="52"/>
        <v>52926</v>
      </c>
      <c r="AF1566" s="6">
        <v>2.6790841360396977</v>
      </c>
    </row>
    <row r="1567" spans="30:32" x14ac:dyDescent="0.2">
      <c r="AD1567" s="98">
        <f t="shared" ca="1" si="53"/>
        <v>29.973990417522245</v>
      </c>
      <c r="AE1567" s="99">
        <f t="shared" ca="1" si="52"/>
        <v>52933</v>
      </c>
      <c r="AF1567" s="6">
        <v>2.679051778165408</v>
      </c>
    </row>
    <row r="1568" spans="30:32" x14ac:dyDescent="0.2">
      <c r="AD1568" s="98">
        <f t="shared" ca="1" si="53"/>
        <v>29.99315537303217</v>
      </c>
      <c r="AE1568" s="99">
        <f t="shared" ca="1" si="52"/>
        <v>52940</v>
      </c>
      <c r="AF1568" s="6">
        <v>2.6790190857971568</v>
      </c>
    </row>
    <row r="1569" spans="30:32" x14ac:dyDescent="0.2">
      <c r="AD1569" s="98">
        <f t="shared" ca="1" si="53"/>
        <v>30.012320328542096</v>
      </c>
      <c r="AE1569" s="99">
        <f t="shared" ca="1" si="52"/>
        <v>52947</v>
      </c>
      <c r="AF1569" s="6">
        <v>2.6789859267493248</v>
      </c>
    </row>
    <row r="1570" spans="30:32" x14ac:dyDescent="0.2">
      <c r="AD1570" s="98">
        <f t="shared" ca="1" si="53"/>
        <v>30.031485284052017</v>
      </c>
      <c r="AE1570" s="99">
        <f t="shared" ca="1" si="52"/>
        <v>52954</v>
      </c>
      <c r="AF1570" s="6">
        <v>2.678951786592545</v>
      </c>
    </row>
    <row r="1571" spans="30:32" x14ac:dyDescent="0.2">
      <c r="AD1571" s="98">
        <f t="shared" ca="1" si="53"/>
        <v>30.050650239561943</v>
      </c>
      <c r="AE1571" s="99">
        <f t="shared" ca="1" si="52"/>
        <v>52961</v>
      </c>
      <c r="AF1571" s="6">
        <v>2.6789166163832419</v>
      </c>
    </row>
    <row r="1572" spans="30:32" x14ac:dyDescent="0.2">
      <c r="AD1572" s="98">
        <f t="shared" ca="1" si="53"/>
        <v>30.069815195071868</v>
      </c>
      <c r="AE1572" s="99">
        <f t="shared" ca="1" si="52"/>
        <v>52968</v>
      </c>
      <c r="AF1572" s="6">
        <v>2.678880412342787</v>
      </c>
    </row>
    <row r="1573" spans="30:32" x14ac:dyDescent="0.2">
      <c r="AD1573" s="98">
        <f t="shared" ca="1" si="53"/>
        <v>30.088980150581794</v>
      </c>
      <c r="AE1573" s="99">
        <f t="shared" ca="1" si="52"/>
        <v>52975</v>
      </c>
      <c r="AF1573" s="6">
        <v>2.6788431707095981</v>
      </c>
    </row>
    <row r="1574" spans="30:32" x14ac:dyDescent="0.2">
      <c r="AD1574" s="98">
        <f t="shared" ca="1" si="53"/>
        <v>30.108145106091719</v>
      </c>
      <c r="AE1574" s="99">
        <f t="shared" ca="1" si="52"/>
        <v>52982</v>
      </c>
      <c r="AF1574" s="6">
        <v>2.6788048877395747</v>
      </c>
    </row>
    <row r="1575" spans="30:32" x14ac:dyDescent="0.2">
      <c r="AD1575" s="98">
        <f t="shared" ca="1" si="53"/>
        <v>30.127310061601644</v>
      </c>
      <c r="AE1575" s="99">
        <f t="shared" ca="1" si="52"/>
        <v>52989</v>
      </c>
      <c r="AF1575" s="6">
        <v>2.6787655597065498</v>
      </c>
    </row>
    <row r="1576" spans="30:32" x14ac:dyDescent="0.2">
      <c r="AD1576" s="98">
        <f t="shared" ca="1" si="53"/>
        <v>30.146475017111566</v>
      </c>
      <c r="AE1576" s="99">
        <f t="shared" ca="1" si="52"/>
        <v>52996</v>
      </c>
      <c r="AF1576" s="6">
        <v>2.678725182902737</v>
      </c>
    </row>
    <row r="1577" spans="30:32" x14ac:dyDescent="0.2">
      <c r="AD1577" s="98">
        <f t="shared" ca="1" si="53"/>
        <v>30.165639972621491</v>
      </c>
      <c r="AE1577" s="99">
        <f t="shared" ca="1" si="52"/>
        <v>53003</v>
      </c>
      <c r="AF1577" s="6">
        <v>2.6786837536391794</v>
      </c>
    </row>
    <row r="1578" spans="30:32" x14ac:dyDescent="0.2">
      <c r="AD1578" s="98">
        <f t="shared" ca="1" si="53"/>
        <v>30.184804928131417</v>
      </c>
      <c r="AE1578" s="99">
        <f t="shared" ca="1" si="52"/>
        <v>53010</v>
      </c>
      <c r="AF1578" s="6">
        <v>2.6786412682462095</v>
      </c>
    </row>
    <row r="1579" spans="30:32" x14ac:dyDescent="0.2">
      <c r="AD1579" s="98">
        <f t="shared" ca="1" si="53"/>
        <v>30.203969883641342</v>
      </c>
      <c r="AE1579" s="99">
        <f t="shared" ca="1" si="52"/>
        <v>53017</v>
      </c>
      <c r="AF1579" s="6">
        <v>2.6785977230739011</v>
      </c>
    </row>
    <row r="1580" spans="30:32" x14ac:dyDescent="0.2">
      <c r="AD1580" s="98">
        <f t="shared" ca="1" si="53"/>
        <v>30.223134839151268</v>
      </c>
      <c r="AE1580" s="99">
        <f t="shared" ca="1" si="52"/>
        <v>53024</v>
      </c>
      <c r="AF1580" s="6">
        <v>2.6785531144925359</v>
      </c>
    </row>
    <row r="1581" spans="30:32" x14ac:dyDescent="0.2">
      <c r="AD1581" s="98">
        <f t="shared" ca="1" si="53"/>
        <v>30.242299794661189</v>
      </c>
      <c r="AE1581" s="99">
        <f t="shared" ca="1" si="52"/>
        <v>53031</v>
      </c>
      <c r="AF1581" s="6">
        <v>2.6785074388930608</v>
      </c>
    </row>
    <row r="1582" spans="30:32" x14ac:dyDescent="0.2">
      <c r="AD1582" s="98">
        <f t="shared" ca="1" si="53"/>
        <v>30.261464750171115</v>
      </c>
      <c r="AE1582" s="99">
        <f t="shared" ca="1" si="52"/>
        <v>53038</v>
      </c>
      <c r="AF1582" s="6">
        <v>2.6784606926875609</v>
      </c>
    </row>
    <row r="1583" spans="30:32" x14ac:dyDescent="0.2">
      <c r="AD1583" s="98">
        <f t="shared" ca="1" si="53"/>
        <v>30.28062970568104</v>
      </c>
      <c r="AE1583" s="99">
        <f t="shared" ca="1" si="52"/>
        <v>53045</v>
      </c>
      <c r="AF1583" s="6">
        <v>2.678412872309726</v>
      </c>
    </row>
    <row r="1584" spans="30:32" x14ac:dyDescent="0.2">
      <c r="AD1584" s="98">
        <f t="shared" ca="1" si="53"/>
        <v>30.299794661190965</v>
      </c>
      <c r="AE1584" s="99">
        <f t="shared" ca="1" si="52"/>
        <v>53052</v>
      </c>
      <c r="AF1584" s="6">
        <v>2.67836397421532</v>
      </c>
    </row>
    <row r="1585" spans="30:32" x14ac:dyDescent="0.2">
      <c r="AD1585" s="98">
        <f t="shared" ca="1" si="53"/>
        <v>30.318959616700891</v>
      </c>
      <c r="AE1585" s="99">
        <f t="shared" ca="1" si="52"/>
        <v>53059</v>
      </c>
      <c r="AF1585" s="6">
        <v>2.6783139948826618</v>
      </c>
    </row>
    <row r="1586" spans="30:32" x14ac:dyDescent="0.2">
      <c r="AD1586" s="98">
        <f t="shared" ca="1" si="53"/>
        <v>30.338124572210816</v>
      </c>
      <c r="AE1586" s="99">
        <f t="shared" ca="1" si="52"/>
        <v>53066</v>
      </c>
      <c r="AF1586" s="6">
        <v>2.6782629308130992</v>
      </c>
    </row>
    <row r="1587" spans="30:32" x14ac:dyDescent="0.2">
      <c r="AD1587" s="98">
        <f t="shared" ca="1" si="53"/>
        <v>30.357289527720738</v>
      </c>
      <c r="AE1587" s="99">
        <f t="shared" ca="1" si="52"/>
        <v>53073</v>
      </c>
      <c r="AF1587" s="6">
        <v>2.6782107785314917</v>
      </c>
    </row>
    <row r="1588" spans="30:32" x14ac:dyDescent="0.2">
      <c r="AD1588" s="98">
        <f t="shared" ca="1" si="53"/>
        <v>30.376454483230663</v>
      </c>
      <c r="AE1588" s="99">
        <f t="shared" ca="1" si="52"/>
        <v>53080</v>
      </c>
      <c r="AF1588" s="6">
        <v>2.6781575345866897</v>
      </c>
    </row>
    <row r="1589" spans="30:32" x14ac:dyDescent="0.2">
      <c r="AD1589" s="98">
        <f t="shared" ca="1" si="53"/>
        <v>30.395619438740589</v>
      </c>
      <c r="AE1589" s="99">
        <f t="shared" ca="1" si="52"/>
        <v>53087</v>
      </c>
      <c r="AF1589" s="6">
        <v>2.6781031955520271</v>
      </c>
    </row>
    <row r="1590" spans="30:32" x14ac:dyDescent="0.2">
      <c r="AD1590" s="98">
        <f t="shared" ca="1" si="53"/>
        <v>30.414784394250514</v>
      </c>
      <c r="AE1590" s="99">
        <f t="shared" ca="1" si="52"/>
        <v>53094</v>
      </c>
      <c r="AF1590" s="6">
        <v>2.6780477580258033</v>
      </c>
    </row>
    <row r="1591" spans="30:32" x14ac:dyDescent="0.2">
      <c r="AD1591" s="98">
        <f t="shared" ca="1" si="53"/>
        <v>30.433949349760439</v>
      </c>
      <c r="AE1591" s="99">
        <f t="shared" ca="1" si="52"/>
        <v>53101</v>
      </c>
      <c r="AF1591" s="6">
        <v>2.6779912186317798</v>
      </c>
    </row>
    <row r="1592" spans="30:32" x14ac:dyDescent="0.2">
      <c r="AD1592" s="98">
        <f t="shared" ca="1" si="53"/>
        <v>30.453114305270361</v>
      </c>
      <c r="AE1592" s="99">
        <f t="shared" ca="1" si="52"/>
        <v>53108</v>
      </c>
      <c r="AF1592" s="6">
        <v>2.6779335740196681</v>
      </c>
    </row>
    <row r="1593" spans="30:32" x14ac:dyDescent="0.2">
      <c r="AD1593" s="98">
        <f t="shared" ca="1" si="53"/>
        <v>30.472279260780287</v>
      </c>
      <c r="AE1593" s="99">
        <f t="shared" ca="1" si="52"/>
        <v>53115</v>
      </c>
      <c r="AF1593" s="6">
        <v>2.6778748208656298</v>
      </c>
    </row>
    <row r="1594" spans="30:32" x14ac:dyDescent="0.2">
      <c r="AD1594" s="98">
        <f t="shared" ca="1" si="53"/>
        <v>30.491444216290212</v>
      </c>
      <c r="AE1594" s="99">
        <f t="shared" ca="1" si="52"/>
        <v>53122</v>
      </c>
      <c r="AF1594" s="6">
        <v>2.6778149558727753</v>
      </c>
    </row>
    <row r="1595" spans="30:32" x14ac:dyDescent="0.2">
      <c r="AD1595" s="98">
        <f t="shared" ca="1" si="53"/>
        <v>30.510609171800137</v>
      </c>
      <c r="AE1595" s="99">
        <f t="shared" ca="1" si="52"/>
        <v>53129</v>
      </c>
      <c r="AF1595" s="6">
        <v>2.6777539757716617</v>
      </c>
    </row>
    <row r="1596" spans="30:32" x14ac:dyDescent="0.2">
      <c r="AD1596" s="98">
        <f t="shared" ca="1" si="53"/>
        <v>30.529774127310063</v>
      </c>
      <c r="AE1596" s="99">
        <f t="shared" ca="1" si="52"/>
        <v>53136</v>
      </c>
      <c r="AF1596" s="6">
        <v>2.6776918773207963</v>
      </c>
    </row>
    <row r="1597" spans="30:32" x14ac:dyDescent="0.2">
      <c r="AD1597" s="98">
        <f t="shared" ca="1" si="53"/>
        <v>30.548939082819988</v>
      </c>
      <c r="AE1597" s="99">
        <f t="shared" ca="1" si="52"/>
        <v>53143</v>
      </c>
      <c r="AF1597" s="6">
        <v>2.6776286573071455</v>
      </c>
    </row>
    <row r="1598" spans="30:32" x14ac:dyDescent="0.2">
      <c r="AD1598" s="98">
        <f t="shared" ca="1" si="53"/>
        <v>30.56810403832991</v>
      </c>
      <c r="AE1598" s="99">
        <f t="shared" ca="1" si="52"/>
        <v>53150</v>
      </c>
      <c r="AF1598" s="6">
        <v>2.6775643125466377</v>
      </c>
    </row>
    <row r="1599" spans="30:32" x14ac:dyDescent="0.2">
      <c r="AD1599" s="98">
        <f t="shared" ca="1" si="53"/>
        <v>30.587268993839835</v>
      </c>
      <c r="AE1599" s="99">
        <f t="shared" ca="1" si="52"/>
        <v>53157</v>
      </c>
      <c r="AF1599" s="6">
        <v>2.677498839884676</v>
      </c>
    </row>
    <row r="1600" spans="30:32" x14ac:dyDescent="0.2">
      <c r="AD1600" s="98">
        <f t="shared" ca="1" si="53"/>
        <v>30.606433949349761</v>
      </c>
      <c r="AE1600" s="99">
        <f t="shared" ca="1" si="52"/>
        <v>53164</v>
      </c>
      <c r="AF1600" s="6">
        <v>2.6774322361966485</v>
      </c>
    </row>
    <row r="1601" spans="30:32" x14ac:dyDescent="0.2">
      <c r="AD1601" s="98">
        <f t="shared" ca="1" si="53"/>
        <v>30.625598904859686</v>
      </c>
      <c r="AE1601" s="99">
        <f t="shared" ca="1" si="52"/>
        <v>53171</v>
      </c>
      <c r="AF1601" s="6">
        <v>2.6773644983884441</v>
      </c>
    </row>
    <row r="1602" spans="30:32" x14ac:dyDescent="0.2">
      <c r="AD1602" s="98">
        <f t="shared" ca="1" si="53"/>
        <v>30.644763860369611</v>
      </c>
      <c r="AE1602" s="99">
        <f t="shared" ca="1" si="52"/>
        <v>53178</v>
      </c>
      <c r="AF1602" s="6">
        <v>2.6772956233969638</v>
      </c>
    </row>
    <row r="1603" spans="30:32" x14ac:dyDescent="0.2">
      <c r="AD1603" s="98">
        <f t="shared" ca="1" si="53"/>
        <v>30.663928815879533</v>
      </c>
      <c r="AE1603" s="99">
        <f t="shared" ca="1" si="52"/>
        <v>53185</v>
      </c>
      <c r="AF1603" s="6">
        <v>2.6772256081906449</v>
      </c>
    </row>
    <row r="1604" spans="30:32" x14ac:dyDescent="0.2">
      <c r="AD1604" s="98">
        <f t="shared" ca="1" si="53"/>
        <v>30.683093771389458</v>
      </c>
      <c r="AE1604" s="99">
        <f t="shared" ref="AE1604:AE1667" ca="1" si="54">AE1603+7</f>
        <v>53192</v>
      </c>
      <c r="AF1604" s="6">
        <v>2.6771544497699757</v>
      </c>
    </row>
    <row r="1605" spans="30:32" x14ac:dyDescent="0.2">
      <c r="AD1605" s="98">
        <f t="shared" ref="AD1605:AD1668" ca="1" si="55">(AE1605-$B$3)/365.25</f>
        <v>30.702258726899384</v>
      </c>
      <c r="AE1605" s="99">
        <f t="shared" ca="1" si="54"/>
        <v>53199</v>
      </c>
      <c r="AF1605" s="6">
        <v>2.6770821451680167</v>
      </c>
    </row>
    <row r="1606" spans="30:32" x14ac:dyDescent="0.2">
      <c r="AD1606" s="98">
        <f t="shared" ca="1" si="55"/>
        <v>30.721423682409309</v>
      </c>
      <c r="AE1606" s="99">
        <f t="shared" ca="1" si="54"/>
        <v>53206</v>
      </c>
      <c r="AF1606" s="6">
        <v>2.6770086914509279</v>
      </c>
    </row>
    <row r="1607" spans="30:32" x14ac:dyDescent="0.2">
      <c r="AD1607" s="98">
        <f t="shared" ca="1" si="55"/>
        <v>30.740588637919235</v>
      </c>
      <c r="AE1607" s="99">
        <f t="shared" ca="1" si="54"/>
        <v>53213</v>
      </c>
      <c r="AF1607" s="6">
        <v>2.6769340857184867</v>
      </c>
    </row>
    <row r="1608" spans="30:32" x14ac:dyDescent="0.2">
      <c r="AD1608" s="98">
        <f t="shared" ca="1" si="55"/>
        <v>30.759753593429156</v>
      </c>
      <c r="AE1608" s="99">
        <f t="shared" ca="1" si="54"/>
        <v>53220</v>
      </c>
      <c r="AF1608" s="6">
        <v>2.6768583251046243</v>
      </c>
    </row>
    <row r="1609" spans="30:32" x14ac:dyDescent="0.2">
      <c r="AD1609" s="98">
        <f t="shared" ca="1" si="55"/>
        <v>30.778918548939082</v>
      </c>
      <c r="AE1609" s="99">
        <f t="shared" ca="1" si="54"/>
        <v>53227</v>
      </c>
      <c r="AF1609" s="6">
        <v>2.6767814067779407</v>
      </c>
    </row>
    <row r="1610" spans="30:32" x14ac:dyDescent="0.2">
      <c r="AD1610" s="98">
        <f t="shared" ca="1" si="55"/>
        <v>30.798083504449007</v>
      </c>
      <c r="AE1610" s="99">
        <f t="shared" ca="1" si="54"/>
        <v>53234</v>
      </c>
      <c r="AF1610" s="6">
        <v>2.6767033279422465</v>
      </c>
    </row>
    <row r="1611" spans="30:32" x14ac:dyDescent="0.2">
      <c r="AD1611" s="98">
        <f t="shared" ca="1" si="55"/>
        <v>30.817248459958932</v>
      </c>
      <c r="AE1611" s="99">
        <f t="shared" ca="1" si="54"/>
        <v>53241</v>
      </c>
      <c r="AF1611" s="6">
        <v>2.6766240858370831</v>
      </c>
    </row>
    <row r="1612" spans="30:32" x14ac:dyDescent="0.2">
      <c r="AD1612" s="98">
        <f t="shared" ca="1" si="55"/>
        <v>30.836413415468858</v>
      </c>
      <c r="AE1612" s="99">
        <f t="shared" ca="1" si="54"/>
        <v>53248</v>
      </c>
      <c r="AF1612" s="6">
        <v>2.6765436777382621</v>
      </c>
    </row>
    <row r="1613" spans="30:32" x14ac:dyDescent="0.2">
      <c r="AD1613" s="98">
        <f t="shared" ca="1" si="55"/>
        <v>30.855578370978783</v>
      </c>
      <c r="AE1613" s="99">
        <f t="shared" ca="1" si="54"/>
        <v>53255</v>
      </c>
      <c r="AF1613" s="6">
        <v>2.6764621009583967</v>
      </c>
    </row>
    <row r="1614" spans="30:32" x14ac:dyDescent="0.2">
      <c r="AD1614" s="98">
        <f t="shared" ca="1" si="55"/>
        <v>30.874743326488705</v>
      </c>
      <c r="AE1614" s="99">
        <f t="shared" ca="1" si="54"/>
        <v>53262</v>
      </c>
      <c r="AF1614" s="6">
        <v>2.6763793528474324</v>
      </c>
    </row>
    <row r="1615" spans="30:32" x14ac:dyDescent="0.2">
      <c r="AD1615" s="98">
        <f t="shared" ca="1" si="55"/>
        <v>30.89390828199863</v>
      </c>
      <c r="AE1615" s="99">
        <f t="shared" ca="1" si="54"/>
        <v>53269</v>
      </c>
      <c r="AF1615" s="6">
        <v>2.6762954307931883</v>
      </c>
    </row>
    <row r="1616" spans="30:32" x14ac:dyDescent="0.2">
      <c r="AD1616" s="98">
        <f t="shared" ca="1" si="55"/>
        <v>30.913073237508556</v>
      </c>
      <c r="AE1616" s="99">
        <f t="shared" ca="1" si="54"/>
        <v>53276</v>
      </c>
      <c r="AF1616" s="6">
        <v>2.676210332221888</v>
      </c>
    </row>
    <row r="1617" spans="30:32" x14ac:dyDescent="0.2">
      <c r="AD1617" s="98">
        <f t="shared" ca="1" si="55"/>
        <v>30.932238193018481</v>
      </c>
      <c r="AE1617" s="99">
        <f t="shared" ca="1" si="54"/>
        <v>53283</v>
      </c>
      <c r="AF1617" s="6">
        <v>2.6761240545987008</v>
      </c>
    </row>
    <row r="1618" spans="30:32" x14ac:dyDescent="0.2">
      <c r="AD1618" s="98">
        <f t="shared" ca="1" si="55"/>
        <v>30.951403148528406</v>
      </c>
      <c r="AE1618" s="99">
        <f t="shared" ca="1" si="54"/>
        <v>53290</v>
      </c>
      <c r="AF1618" s="6">
        <v>2.6760365954282808</v>
      </c>
    </row>
    <row r="1619" spans="30:32" x14ac:dyDescent="0.2">
      <c r="AD1619" s="98">
        <f t="shared" ca="1" si="55"/>
        <v>30.970568104038328</v>
      </c>
      <c r="AE1619" s="99">
        <f t="shared" ca="1" si="54"/>
        <v>53297</v>
      </c>
      <c r="AF1619" s="6">
        <v>2.6759479522552994</v>
      </c>
    </row>
    <row r="1620" spans="30:32" x14ac:dyDescent="0.2">
      <c r="AD1620" s="98">
        <f t="shared" ca="1" si="55"/>
        <v>30.989733059548254</v>
      </c>
      <c r="AE1620" s="99">
        <f t="shared" ca="1" si="54"/>
        <v>53304</v>
      </c>
      <c r="AF1620" s="6">
        <v>2.675858122664994</v>
      </c>
    </row>
    <row r="1621" spans="30:32" x14ac:dyDescent="0.2">
      <c r="AD1621" s="98">
        <f t="shared" ca="1" si="55"/>
        <v>31.008898015058179</v>
      </c>
      <c r="AE1621" s="99">
        <f t="shared" ca="1" si="54"/>
        <v>53311</v>
      </c>
      <c r="AF1621" s="6">
        <v>2.675767104283703</v>
      </c>
    </row>
    <row r="1622" spans="30:32" x14ac:dyDescent="0.2">
      <c r="AD1622" s="98">
        <f t="shared" ca="1" si="55"/>
        <v>31.028062970568104</v>
      </c>
      <c r="AE1622" s="99">
        <f t="shared" ca="1" si="54"/>
        <v>53318</v>
      </c>
      <c r="AF1622" s="6">
        <v>2.6756748947794065</v>
      </c>
    </row>
    <row r="1623" spans="30:32" x14ac:dyDescent="0.2">
      <c r="AD1623" s="98">
        <f t="shared" ca="1" si="55"/>
        <v>31.04722792607803</v>
      </c>
      <c r="AE1623" s="99">
        <f t="shared" ca="1" si="54"/>
        <v>53325</v>
      </c>
      <c r="AF1623" s="6">
        <v>2.6755814918622711</v>
      </c>
    </row>
    <row r="1624" spans="30:32" x14ac:dyDescent="0.2">
      <c r="AD1624" s="98">
        <f t="shared" ca="1" si="55"/>
        <v>31.066392881587955</v>
      </c>
      <c r="AE1624" s="99">
        <f t="shared" ca="1" si="54"/>
        <v>53332</v>
      </c>
      <c r="AF1624" s="6">
        <v>2.6754868932851865</v>
      </c>
    </row>
    <row r="1625" spans="30:32" x14ac:dyDescent="0.2">
      <c r="AD1625" s="98">
        <f t="shared" ca="1" si="55"/>
        <v>31.085557837097877</v>
      </c>
      <c r="AE1625" s="99">
        <f t="shared" ca="1" si="54"/>
        <v>53339</v>
      </c>
      <c r="AF1625" s="6">
        <v>2.6753910968443146</v>
      </c>
    </row>
    <row r="1626" spans="30:32" x14ac:dyDescent="0.2">
      <c r="AD1626" s="98">
        <f t="shared" ca="1" si="55"/>
        <v>31.104722792607802</v>
      </c>
      <c r="AE1626" s="99">
        <f t="shared" ca="1" si="54"/>
        <v>53346</v>
      </c>
      <c r="AF1626" s="6">
        <v>2.6752941003796233</v>
      </c>
    </row>
    <row r="1627" spans="30:32" x14ac:dyDescent="0.2">
      <c r="AD1627" s="98">
        <f t="shared" ca="1" si="55"/>
        <v>31.123887748117728</v>
      </c>
      <c r="AE1627" s="99">
        <f t="shared" ca="1" si="54"/>
        <v>53353</v>
      </c>
      <c r="AF1627" s="6">
        <v>2.6751959017754356</v>
      </c>
    </row>
    <row r="1628" spans="30:32" x14ac:dyDescent="0.2">
      <c r="AD1628" s="98">
        <f t="shared" ca="1" si="55"/>
        <v>31.143052703627653</v>
      </c>
      <c r="AE1628" s="99">
        <f t="shared" ca="1" si="54"/>
        <v>53360</v>
      </c>
      <c r="AF1628" s="6">
        <v>2.675096498960968</v>
      </c>
    </row>
    <row r="1629" spans="30:32" x14ac:dyDescent="0.2">
      <c r="AD1629" s="98">
        <f t="shared" ca="1" si="55"/>
        <v>31.162217659137578</v>
      </c>
      <c r="AE1629" s="99">
        <f t="shared" ca="1" si="54"/>
        <v>53367</v>
      </c>
      <c r="AF1629" s="6">
        <v>2.6749958899108752</v>
      </c>
    </row>
    <row r="1630" spans="30:32" x14ac:dyDescent="0.2">
      <c r="AD1630" s="98">
        <f t="shared" ca="1" si="55"/>
        <v>31.1813826146475</v>
      </c>
      <c r="AE1630" s="99">
        <f t="shared" ca="1" si="54"/>
        <v>53374</v>
      </c>
      <c r="AF1630" s="6">
        <v>2.6748940726457886</v>
      </c>
    </row>
    <row r="1631" spans="30:32" x14ac:dyDescent="0.2">
      <c r="AD1631" s="98">
        <f t="shared" ca="1" si="55"/>
        <v>31.200547570157426</v>
      </c>
      <c r="AE1631" s="99">
        <f t="shared" ca="1" si="54"/>
        <v>53381</v>
      </c>
      <c r="AF1631" s="6">
        <v>2.67479104523286</v>
      </c>
    </row>
    <row r="1632" spans="30:32" x14ac:dyDescent="0.2">
      <c r="AD1632" s="98">
        <f t="shared" ca="1" si="55"/>
        <v>31.219712525667351</v>
      </c>
      <c r="AE1632" s="99">
        <f t="shared" ca="1" si="54"/>
        <v>53388</v>
      </c>
      <c r="AF1632" s="6">
        <v>2.6746868057863051</v>
      </c>
    </row>
    <row r="1633" spans="30:32" x14ac:dyDescent="0.2">
      <c r="AD1633" s="98">
        <f t="shared" ca="1" si="55"/>
        <v>31.238877481177276</v>
      </c>
      <c r="AE1633" s="99">
        <f t="shared" ca="1" si="54"/>
        <v>53395</v>
      </c>
      <c r="AF1633" s="6">
        <v>2.6745813524679427</v>
      </c>
    </row>
    <row r="1634" spans="30:32" x14ac:dyDescent="0.2">
      <c r="AD1634" s="98">
        <f t="shared" ca="1" si="55"/>
        <v>31.258042436687202</v>
      </c>
      <c r="AE1634" s="99">
        <f t="shared" ca="1" si="54"/>
        <v>53402</v>
      </c>
      <c r="AF1634" s="6">
        <v>2.6744746834877291</v>
      </c>
    </row>
    <row r="1635" spans="30:32" x14ac:dyDescent="0.2">
      <c r="AD1635" s="98">
        <f t="shared" ca="1" si="55"/>
        <v>31.277207392197127</v>
      </c>
      <c r="AE1635" s="99">
        <f t="shared" ca="1" si="54"/>
        <v>53409</v>
      </c>
      <c r="AF1635" s="6">
        <v>2.6743667971043066</v>
      </c>
    </row>
    <row r="1636" spans="30:32" x14ac:dyDescent="0.2">
      <c r="AD1636" s="98">
        <f t="shared" ca="1" si="55"/>
        <v>31.296372347707049</v>
      </c>
      <c r="AE1636" s="99">
        <f t="shared" ca="1" si="54"/>
        <v>53416</v>
      </c>
      <c r="AF1636" s="6">
        <v>2.6742576916255376</v>
      </c>
    </row>
    <row r="1637" spans="30:32" x14ac:dyDescent="0.2">
      <c r="AD1637" s="98">
        <f t="shared" ca="1" si="55"/>
        <v>31.315537303216974</v>
      </c>
      <c r="AE1637" s="99">
        <f t="shared" ca="1" si="54"/>
        <v>53423</v>
      </c>
      <c r="AF1637" s="6">
        <v>2.6741473654090435</v>
      </c>
    </row>
    <row r="1638" spans="30:32" x14ac:dyDescent="0.2">
      <c r="AD1638" s="98">
        <f t="shared" ca="1" si="55"/>
        <v>31.3347022587269</v>
      </c>
      <c r="AE1638" s="99">
        <f t="shared" ca="1" si="54"/>
        <v>53430</v>
      </c>
      <c r="AF1638" s="6">
        <v>2.6740358168627409</v>
      </c>
    </row>
    <row r="1639" spans="30:32" x14ac:dyDescent="0.2">
      <c r="AD1639" s="98">
        <f t="shared" ca="1" si="55"/>
        <v>31.353867214236825</v>
      </c>
      <c r="AE1639" s="99">
        <f t="shared" ca="1" si="54"/>
        <v>53437</v>
      </c>
      <c r="AF1639" s="6">
        <v>2.673923044445377</v>
      </c>
    </row>
    <row r="1640" spans="30:32" x14ac:dyDescent="0.2">
      <c r="AD1640" s="98">
        <f t="shared" ca="1" si="55"/>
        <v>31.37303216974675</v>
      </c>
      <c r="AE1640" s="99">
        <f t="shared" ca="1" si="54"/>
        <v>53444</v>
      </c>
      <c r="AF1640" s="6">
        <v>2.6738090466670648</v>
      </c>
    </row>
    <row r="1641" spans="30:32" x14ac:dyDescent="0.2">
      <c r="AD1641" s="98">
        <f t="shared" ca="1" si="55"/>
        <v>31.392197125256672</v>
      </c>
      <c r="AE1641" s="99">
        <f t="shared" ca="1" si="54"/>
        <v>53451</v>
      </c>
      <c r="AF1641" s="6">
        <v>2.6736938220898172</v>
      </c>
    </row>
    <row r="1642" spans="30:32" x14ac:dyDescent="0.2">
      <c r="AD1642" s="98">
        <f t="shared" ca="1" si="55"/>
        <v>31.411362080766597</v>
      </c>
      <c r="AE1642" s="99">
        <f t="shared" ca="1" si="54"/>
        <v>53458</v>
      </c>
      <c r="AF1642" s="6">
        <v>2.6735773693280782</v>
      </c>
    </row>
    <row r="1643" spans="30:32" x14ac:dyDescent="0.2">
      <c r="AD1643" s="98">
        <f t="shared" ca="1" si="55"/>
        <v>31.430527036276523</v>
      </c>
      <c r="AE1643" s="99">
        <f t="shared" ca="1" si="54"/>
        <v>53465</v>
      </c>
      <c r="AF1643" s="6">
        <v>2.6734596870492511</v>
      </c>
    </row>
    <row r="1644" spans="30:32" x14ac:dyDescent="0.2">
      <c r="AD1644" s="98">
        <f t="shared" ca="1" si="55"/>
        <v>31.449691991786448</v>
      </c>
      <c r="AE1644" s="99">
        <f t="shared" ca="1" si="54"/>
        <v>53472</v>
      </c>
      <c r="AF1644" s="6">
        <v>2.6733407739742301</v>
      </c>
    </row>
    <row r="1645" spans="30:32" x14ac:dyDescent="0.2">
      <c r="AD1645" s="98">
        <f t="shared" ca="1" si="55"/>
        <v>31.468856947296374</v>
      </c>
      <c r="AE1645" s="99">
        <f t="shared" ca="1" si="54"/>
        <v>53479</v>
      </c>
      <c r="AF1645" s="6">
        <v>2.6732206288779259</v>
      </c>
    </row>
    <row r="1646" spans="30:32" x14ac:dyDescent="0.2">
      <c r="AD1646" s="98">
        <f t="shared" ca="1" si="55"/>
        <v>31.488021902806295</v>
      </c>
      <c r="AE1646" s="99">
        <f t="shared" ca="1" si="54"/>
        <v>53486</v>
      </c>
      <c r="AF1646" s="6">
        <v>2.6730992505897904</v>
      </c>
    </row>
    <row r="1647" spans="30:32" x14ac:dyDescent="0.2">
      <c r="AD1647" s="98">
        <f t="shared" ca="1" si="55"/>
        <v>31.507186858316221</v>
      </c>
      <c r="AE1647" s="99">
        <f t="shared" ca="1" si="54"/>
        <v>53493</v>
      </c>
      <c r="AF1647" s="6">
        <v>2.6729766379943403</v>
      </c>
    </row>
    <row r="1648" spans="30:32" x14ac:dyDescent="0.2">
      <c r="AD1648" s="98">
        <f t="shared" ca="1" si="55"/>
        <v>31.526351813826146</v>
      </c>
      <c r="AE1648" s="99">
        <f t="shared" ca="1" si="54"/>
        <v>53500</v>
      </c>
      <c r="AF1648" s="6">
        <v>2.6728527900316781</v>
      </c>
    </row>
    <row r="1649" spans="30:32" x14ac:dyDescent="0.2">
      <c r="AD1649" s="98">
        <f t="shared" ca="1" si="55"/>
        <v>31.545516769336071</v>
      </c>
      <c r="AE1649" s="99">
        <f t="shared" ca="1" si="54"/>
        <v>53507</v>
      </c>
      <c r="AF1649" s="6">
        <v>2.6727277056980112</v>
      </c>
    </row>
    <row r="1650" spans="30:32" x14ac:dyDescent="0.2">
      <c r="AD1650" s="98">
        <f t="shared" ca="1" si="55"/>
        <v>31.564681724845997</v>
      </c>
      <c r="AE1650" s="99">
        <f t="shared" ca="1" si="54"/>
        <v>53514</v>
      </c>
      <c r="AF1650" s="6">
        <v>2.6726013840461658</v>
      </c>
    </row>
    <row r="1651" spans="30:32" x14ac:dyDescent="0.2">
      <c r="AD1651" s="98">
        <f t="shared" ca="1" si="55"/>
        <v>31.583846680355922</v>
      </c>
      <c r="AE1651" s="99">
        <f t="shared" ca="1" si="54"/>
        <v>53521</v>
      </c>
      <c r="AF1651" s="6">
        <v>2.6724738241861048</v>
      </c>
    </row>
    <row r="1652" spans="30:32" x14ac:dyDescent="0.2">
      <c r="AD1652" s="98">
        <f t="shared" ca="1" si="55"/>
        <v>31.603011635865844</v>
      </c>
      <c r="AE1652" s="99">
        <f t="shared" ca="1" si="54"/>
        <v>53528</v>
      </c>
      <c r="AF1652" s="6">
        <v>2.6723450252854368</v>
      </c>
    </row>
    <row r="1653" spans="30:32" x14ac:dyDescent="0.2">
      <c r="AD1653" s="98">
        <f t="shared" ca="1" si="55"/>
        <v>31.622176591375769</v>
      </c>
      <c r="AE1653" s="99">
        <f t="shared" ca="1" si="54"/>
        <v>53535</v>
      </c>
      <c r="AF1653" s="6">
        <v>2.6722149865699252</v>
      </c>
    </row>
    <row r="1654" spans="30:32" x14ac:dyDescent="0.2">
      <c r="AD1654" s="98">
        <f t="shared" ca="1" si="55"/>
        <v>31.641341546885695</v>
      </c>
      <c r="AE1654" s="99">
        <f t="shared" ca="1" si="54"/>
        <v>53542</v>
      </c>
      <c r="AF1654" s="6">
        <v>2.6720837073239943</v>
      </c>
    </row>
    <row r="1655" spans="30:32" x14ac:dyDescent="0.2">
      <c r="AD1655" s="98">
        <f t="shared" ca="1" si="55"/>
        <v>31.66050650239562</v>
      </c>
      <c r="AE1655" s="99">
        <f t="shared" ca="1" si="54"/>
        <v>53549</v>
      </c>
      <c r="AF1655" s="6">
        <v>2.6719511868912327</v>
      </c>
    </row>
    <row r="1656" spans="30:32" x14ac:dyDescent="0.2">
      <c r="AD1656" s="98">
        <f t="shared" ca="1" si="55"/>
        <v>31.679671457905545</v>
      </c>
      <c r="AE1656" s="99">
        <f t="shared" ca="1" si="54"/>
        <v>53556</v>
      </c>
      <c r="AF1656" s="6">
        <v>2.6718174246748925</v>
      </c>
    </row>
    <row r="1657" spans="30:32" x14ac:dyDescent="0.2">
      <c r="AD1657" s="98">
        <f t="shared" ca="1" si="55"/>
        <v>31.698836413415467</v>
      </c>
      <c r="AE1657" s="99">
        <f t="shared" ca="1" si="54"/>
        <v>53563</v>
      </c>
      <c r="AF1657" s="6">
        <v>2.6716824201383869</v>
      </c>
    </row>
    <row r="1658" spans="30:32" x14ac:dyDescent="0.2">
      <c r="AD1658" s="98">
        <f t="shared" ca="1" si="55"/>
        <v>31.718001368925393</v>
      </c>
      <c r="AE1658" s="99">
        <f t="shared" ca="1" si="54"/>
        <v>53570</v>
      </c>
      <c r="AF1658" s="6">
        <v>2.6715461728057828</v>
      </c>
    </row>
    <row r="1659" spans="30:32" x14ac:dyDescent="0.2">
      <c r="AD1659" s="98">
        <f t="shared" ca="1" si="55"/>
        <v>31.737166324435318</v>
      </c>
      <c r="AE1659" s="99">
        <f t="shared" ca="1" si="54"/>
        <v>53577</v>
      </c>
      <c r="AF1659" s="6">
        <v>2.6714086822622942</v>
      </c>
    </row>
    <row r="1660" spans="30:32" x14ac:dyDescent="0.2">
      <c r="AD1660" s="98">
        <f t="shared" ca="1" si="55"/>
        <v>31.756331279945243</v>
      </c>
      <c r="AE1660" s="99">
        <f t="shared" ca="1" si="54"/>
        <v>53584</v>
      </c>
      <c r="AF1660" s="6">
        <v>2.6712699481547628</v>
      </c>
    </row>
    <row r="1661" spans="30:32" x14ac:dyDescent="0.2">
      <c r="AD1661" s="98">
        <f t="shared" ca="1" si="55"/>
        <v>31.775496235455169</v>
      </c>
      <c r="AE1661" s="99">
        <f t="shared" ca="1" si="54"/>
        <v>53591</v>
      </c>
      <c r="AF1661" s="6">
        <v>2.671129970192148</v>
      </c>
    </row>
    <row r="1662" spans="30:32" x14ac:dyDescent="0.2">
      <c r="AD1662" s="98">
        <f t="shared" ca="1" si="55"/>
        <v>31.794661190965094</v>
      </c>
      <c r="AE1662" s="99">
        <f t="shared" ca="1" si="54"/>
        <v>53598</v>
      </c>
      <c r="AF1662" s="6">
        <v>2.6709887481459993</v>
      </c>
    </row>
    <row r="1663" spans="30:32" x14ac:dyDescent="0.2">
      <c r="AD1663" s="98">
        <f t="shared" ca="1" si="55"/>
        <v>31.813826146475016</v>
      </c>
      <c r="AE1663" s="99">
        <f t="shared" ca="1" si="54"/>
        <v>53605</v>
      </c>
      <c r="AF1663" s="6">
        <v>2.6708462818509391</v>
      </c>
    </row>
    <row r="1664" spans="30:32" x14ac:dyDescent="0.2">
      <c r="AD1664" s="98">
        <f t="shared" ca="1" si="55"/>
        <v>31.832991101984941</v>
      </c>
      <c r="AE1664" s="99">
        <f t="shared" ca="1" si="54"/>
        <v>53612</v>
      </c>
      <c r="AF1664" s="6">
        <v>2.6707025712051244</v>
      </c>
    </row>
    <row r="1665" spans="30:32" x14ac:dyDescent="0.2">
      <c r="AD1665" s="98">
        <f t="shared" ca="1" si="55"/>
        <v>31.852156057494867</v>
      </c>
      <c r="AE1665" s="99">
        <f t="shared" ca="1" si="54"/>
        <v>53619</v>
      </c>
      <c r="AF1665" s="6">
        <v>2.6705576161707247</v>
      </c>
    </row>
    <row r="1666" spans="30:32" x14ac:dyDescent="0.2">
      <c r="AD1666" s="98">
        <f t="shared" ca="1" si="55"/>
        <v>31.871321013004792</v>
      </c>
      <c r="AE1666" s="99">
        <f t="shared" ca="1" si="54"/>
        <v>53626</v>
      </c>
      <c r="AF1666" s="6">
        <v>2.6704114167743773</v>
      </c>
    </row>
    <row r="1667" spans="30:32" x14ac:dyDescent="0.2">
      <c r="AD1667" s="98">
        <f t="shared" ca="1" si="55"/>
        <v>31.890485968514717</v>
      </c>
      <c r="AE1667" s="99">
        <f t="shared" ca="1" si="54"/>
        <v>53633</v>
      </c>
      <c r="AF1667" s="6">
        <v>2.6702639731076472</v>
      </c>
    </row>
    <row r="1668" spans="30:32" x14ac:dyDescent="0.2">
      <c r="AD1668" s="98">
        <f t="shared" ca="1" si="55"/>
        <v>31.909650924024639</v>
      </c>
      <c r="AE1668" s="99">
        <f t="shared" ref="AE1668:AE1731" ca="1" si="56">AE1667+7</f>
        <v>53640</v>
      </c>
      <c r="AF1668" s="6">
        <v>2.6701152853274825</v>
      </c>
    </row>
    <row r="1669" spans="30:32" x14ac:dyDescent="0.2">
      <c r="AD1669" s="98">
        <f t="shared" ref="AD1669:AD1732" ca="1" si="57">(AE1669-$B$3)/365.25</f>
        <v>31.928815879534564</v>
      </c>
      <c r="AE1669" s="99">
        <f t="shared" ca="1" si="56"/>
        <v>53647</v>
      </c>
      <c r="AF1669" s="6">
        <v>2.6699653536566652</v>
      </c>
    </row>
    <row r="1670" spans="30:32" x14ac:dyDescent="0.2">
      <c r="AD1670" s="98">
        <f t="shared" ca="1" si="57"/>
        <v>31.94798083504449</v>
      </c>
      <c r="AE1670" s="99">
        <f t="shared" ca="1" si="56"/>
        <v>53654</v>
      </c>
      <c r="AF1670" s="6">
        <v>2.6698141783842497</v>
      </c>
    </row>
    <row r="1671" spans="30:32" x14ac:dyDescent="0.2">
      <c r="AD1671" s="98">
        <f t="shared" ca="1" si="57"/>
        <v>31.967145790554415</v>
      </c>
      <c r="AE1671" s="99">
        <f t="shared" ca="1" si="56"/>
        <v>53661</v>
      </c>
      <c r="AF1671" s="6">
        <v>2.6696617598660088</v>
      </c>
    </row>
    <row r="1672" spans="30:32" x14ac:dyDescent="0.2">
      <c r="AD1672" s="98">
        <f t="shared" ca="1" si="57"/>
        <v>31.986310746064341</v>
      </c>
      <c r="AE1672" s="99">
        <f t="shared" ca="1" si="56"/>
        <v>53668</v>
      </c>
      <c r="AF1672" s="6">
        <v>2.6695080985248638</v>
      </c>
    </row>
    <row r="1673" spans="30:32" x14ac:dyDescent="0.2">
      <c r="AD1673" s="98">
        <f t="shared" ca="1" si="57"/>
        <v>32.005475701574262</v>
      </c>
      <c r="AE1673" s="99">
        <f t="shared" ca="1" si="56"/>
        <v>53675</v>
      </c>
      <c r="AF1673" s="6">
        <v>2.6693531948513174</v>
      </c>
    </row>
    <row r="1674" spans="30:32" x14ac:dyDescent="0.2">
      <c r="AD1674" s="98">
        <f t="shared" ca="1" si="57"/>
        <v>32.024640657084191</v>
      </c>
      <c r="AE1674" s="99">
        <f t="shared" ca="1" si="56"/>
        <v>53682</v>
      </c>
      <c r="AF1674" s="6">
        <v>2.669197049403873</v>
      </c>
    </row>
    <row r="1675" spans="30:32" x14ac:dyDescent="0.2">
      <c r="AD1675" s="98">
        <f t="shared" ca="1" si="57"/>
        <v>32.043805612594113</v>
      </c>
      <c r="AE1675" s="99">
        <f t="shared" ca="1" si="56"/>
        <v>53689</v>
      </c>
      <c r="AF1675" s="6">
        <v>2.669039662809459</v>
      </c>
    </row>
    <row r="1676" spans="30:32" x14ac:dyDescent="0.2">
      <c r="AD1676" s="98">
        <f t="shared" ca="1" si="57"/>
        <v>32.062970568104035</v>
      </c>
      <c r="AE1676" s="99">
        <f t="shared" ca="1" si="56"/>
        <v>53696</v>
      </c>
      <c r="AF1676" s="6">
        <v>2.668881035763838</v>
      </c>
    </row>
    <row r="1677" spans="30:32" x14ac:dyDescent="0.2">
      <c r="AD1677" s="98">
        <f t="shared" ca="1" si="57"/>
        <v>32.082135523613964</v>
      </c>
      <c r="AE1677" s="99">
        <f t="shared" ca="1" si="56"/>
        <v>53703</v>
      </c>
      <c r="AF1677" s="6">
        <v>2.6687211690320116</v>
      </c>
    </row>
    <row r="1678" spans="30:32" x14ac:dyDescent="0.2">
      <c r="AD1678" s="98">
        <f t="shared" ca="1" si="57"/>
        <v>32.101300479123886</v>
      </c>
      <c r="AE1678" s="99">
        <f t="shared" ca="1" si="56"/>
        <v>53710</v>
      </c>
      <c r="AF1678" s="6">
        <v>2.6685600634486288</v>
      </c>
    </row>
    <row r="1679" spans="30:32" x14ac:dyDescent="0.2">
      <c r="AD1679" s="98">
        <f t="shared" ca="1" si="57"/>
        <v>32.120465434633815</v>
      </c>
      <c r="AE1679" s="99">
        <f t="shared" ca="1" si="56"/>
        <v>53717</v>
      </c>
      <c r="AF1679" s="6">
        <v>2.6683977199183784</v>
      </c>
    </row>
    <row r="1680" spans="30:32" x14ac:dyDescent="0.2">
      <c r="AD1680" s="98">
        <f t="shared" ca="1" si="57"/>
        <v>32.139630390143736</v>
      </c>
      <c r="AE1680" s="99">
        <f t="shared" ca="1" si="56"/>
        <v>53724</v>
      </c>
      <c r="AF1680" s="6">
        <v>2.6682341394163758</v>
      </c>
    </row>
    <row r="1681" spans="30:32" x14ac:dyDescent="0.2">
      <c r="AD1681" s="98">
        <f t="shared" ca="1" si="57"/>
        <v>32.158795345653665</v>
      </c>
      <c r="AE1681" s="99">
        <f t="shared" ca="1" si="56"/>
        <v>53731</v>
      </c>
      <c r="AF1681" s="6">
        <v>2.6680693229885457</v>
      </c>
    </row>
    <row r="1682" spans="30:32" x14ac:dyDescent="0.2">
      <c r="AD1682" s="98">
        <f t="shared" ca="1" si="57"/>
        <v>32.177960301163587</v>
      </c>
      <c r="AE1682" s="99">
        <f t="shared" ca="1" si="56"/>
        <v>53738</v>
      </c>
      <c r="AF1682" s="6">
        <v>2.6679032717520093</v>
      </c>
    </row>
    <row r="1683" spans="30:32" x14ac:dyDescent="0.2">
      <c r="AD1683" s="98">
        <f t="shared" ca="1" si="57"/>
        <v>32.197125256673509</v>
      </c>
      <c r="AE1683" s="99">
        <f t="shared" ca="1" si="56"/>
        <v>53745</v>
      </c>
      <c r="AF1683" s="6">
        <v>2.6677359868954378</v>
      </c>
    </row>
    <row r="1684" spans="30:32" x14ac:dyDescent="0.2">
      <c r="AD1684" s="98">
        <f t="shared" ca="1" si="57"/>
        <v>32.216290212183438</v>
      </c>
      <c r="AE1684" s="99">
        <f t="shared" ca="1" si="56"/>
        <v>53752</v>
      </c>
      <c r="AF1684" s="6">
        <v>2.6675674696794323</v>
      </c>
    </row>
    <row r="1685" spans="30:32" x14ac:dyDescent="0.2">
      <c r="AD1685" s="98">
        <f t="shared" ca="1" si="57"/>
        <v>32.23545516769336</v>
      </c>
      <c r="AE1685" s="99">
        <f t="shared" ca="1" si="56"/>
        <v>53759</v>
      </c>
      <c r="AF1685" s="6">
        <v>2.6673977214368709</v>
      </c>
    </row>
    <row r="1686" spans="30:32" x14ac:dyDescent="0.2">
      <c r="AD1686" s="98">
        <f t="shared" ca="1" si="57"/>
        <v>32.254620123203289</v>
      </c>
      <c r="AE1686" s="99">
        <f t="shared" ca="1" si="56"/>
        <v>53766</v>
      </c>
      <c r="AF1686" s="6">
        <v>2.6672267435732597</v>
      </c>
    </row>
    <row r="1687" spans="30:32" x14ac:dyDescent="0.2">
      <c r="AD1687" s="98">
        <f t="shared" ca="1" si="57"/>
        <v>32.27378507871321</v>
      </c>
      <c r="AE1687" s="99">
        <f t="shared" ca="1" si="56"/>
        <v>53773</v>
      </c>
      <c r="AF1687" s="6">
        <v>2.6670545375670818</v>
      </c>
    </row>
    <row r="1688" spans="30:32" x14ac:dyDescent="0.2">
      <c r="AD1688" s="98">
        <f t="shared" ca="1" si="57"/>
        <v>32.292950034223132</v>
      </c>
      <c r="AE1688" s="99">
        <f t="shared" ca="1" si="56"/>
        <v>53780</v>
      </c>
      <c r="AF1688" s="6">
        <v>2.66688110497013</v>
      </c>
    </row>
    <row r="1689" spans="30:32" x14ac:dyDescent="0.2">
      <c r="AD1689" s="98">
        <f t="shared" ca="1" si="57"/>
        <v>32.312114989733061</v>
      </c>
      <c r="AE1689" s="99">
        <f t="shared" ca="1" si="56"/>
        <v>53787</v>
      </c>
      <c r="AF1689" s="6">
        <v>2.6667064474078295</v>
      </c>
    </row>
    <row r="1690" spans="30:32" x14ac:dyDescent="0.2">
      <c r="AD1690" s="98">
        <f t="shared" ca="1" si="57"/>
        <v>32.331279945242983</v>
      </c>
      <c r="AE1690" s="99">
        <f t="shared" ca="1" si="56"/>
        <v>53794</v>
      </c>
      <c r="AF1690" s="6">
        <v>2.6665305665795707</v>
      </c>
    </row>
    <row r="1691" spans="30:32" x14ac:dyDescent="0.2">
      <c r="AD1691" s="98">
        <f t="shared" ca="1" si="57"/>
        <v>32.350444900752912</v>
      </c>
      <c r="AE1691" s="99">
        <f t="shared" ca="1" si="56"/>
        <v>53801</v>
      </c>
      <c r="AF1691" s="6">
        <v>2.6663534642590161</v>
      </c>
    </row>
    <row r="1692" spans="30:32" x14ac:dyDescent="0.2">
      <c r="AD1692" s="98">
        <f t="shared" ca="1" si="57"/>
        <v>32.369609856262834</v>
      </c>
      <c r="AE1692" s="99">
        <f t="shared" ca="1" si="56"/>
        <v>53808</v>
      </c>
      <c r="AF1692" s="6">
        <v>2.6661751422944082</v>
      </c>
    </row>
    <row r="1693" spans="30:32" x14ac:dyDescent="0.2">
      <c r="AD1693" s="98">
        <f t="shared" ca="1" si="57"/>
        <v>32.388774811772755</v>
      </c>
      <c r="AE1693" s="99">
        <f t="shared" ca="1" si="56"/>
        <v>53815</v>
      </c>
      <c r="AF1693" s="6">
        <v>2.6659956026088656</v>
      </c>
    </row>
    <row r="1694" spans="30:32" x14ac:dyDescent="0.2">
      <c r="AD1694" s="98">
        <f t="shared" ca="1" si="57"/>
        <v>32.407939767282684</v>
      </c>
      <c r="AE1694" s="99">
        <f t="shared" ca="1" si="56"/>
        <v>53822</v>
      </c>
      <c r="AF1694" s="6">
        <v>2.66581484720068</v>
      </c>
    </row>
    <row r="1695" spans="30:32" x14ac:dyDescent="0.2">
      <c r="AD1695" s="98">
        <f t="shared" ca="1" si="57"/>
        <v>32.427104722792606</v>
      </c>
      <c r="AE1695" s="99">
        <f t="shared" ca="1" si="56"/>
        <v>53829</v>
      </c>
      <c r="AF1695" s="6">
        <v>2.6656328781435925</v>
      </c>
    </row>
    <row r="1696" spans="30:32" x14ac:dyDescent="0.2">
      <c r="AD1696" s="98">
        <f t="shared" ca="1" si="57"/>
        <v>32.446269678302535</v>
      </c>
      <c r="AE1696" s="99">
        <f t="shared" ca="1" si="56"/>
        <v>53836</v>
      </c>
      <c r="AF1696" s="6">
        <v>2.6654496975870718</v>
      </c>
    </row>
    <row r="1697" spans="30:32" x14ac:dyDescent="0.2">
      <c r="AD1697" s="98">
        <f t="shared" ca="1" si="57"/>
        <v>32.465434633812457</v>
      </c>
      <c r="AE1697" s="99">
        <f t="shared" ca="1" si="56"/>
        <v>53843</v>
      </c>
      <c r="AF1697" s="6">
        <v>2.6652653077565782</v>
      </c>
    </row>
    <row r="1698" spans="30:32" x14ac:dyDescent="0.2">
      <c r="AD1698" s="98">
        <f t="shared" ca="1" si="57"/>
        <v>32.484599589322379</v>
      </c>
      <c r="AE1698" s="99">
        <f t="shared" ca="1" si="56"/>
        <v>53850</v>
      </c>
      <c r="AF1698" s="6">
        <v>2.665079710953826</v>
      </c>
    </row>
    <row r="1699" spans="30:32" x14ac:dyDescent="0.2">
      <c r="AD1699" s="98">
        <f t="shared" ca="1" si="57"/>
        <v>32.503764544832308</v>
      </c>
      <c r="AE1699" s="99">
        <f t="shared" ca="1" si="56"/>
        <v>53857</v>
      </c>
      <c r="AF1699" s="6">
        <v>2.6648929095570266</v>
      </c>
    </row>
    <row r="1700" spans="30:32" x14ac:dyDescent="0.2">
      <c r="AD1700" s="98">
        <f t="shared" ca="1" si="57"/>
        <v>32.522929500342229</v>
      </c>
      <c r="AE1700" s="99">
        <f t="shared" ca="1" si="56"/>
        <v>53864</v>
      </c>
      <c r="AF1700" s="6">
        <v>2.6647049060211336</v>
      </c>
    </row>
    <row r="1701" spans="30:32" x14ac:dyDescent="0.2">
      <c r="AD1701" s="98">
        <f t="shared" ca="1" si="57"/>
        <v>32.542094455852158</v>
      </c>
      <c r="AE1701" s="99">
        <f t="shared" ca="1" si="56"/>
        <v>53871</v>
      </c>
      <c r="AF1701" s="6">
        <v>2.6645157028780782</v>
      </c>
    </row>
    <row r="1702" spans="30:32" x14ac:dyDescent="0.2">
      <c r="AD1702" s="98">
        <f t="shared" ca="1" si="57"/>
        <v>32.56125941136208</v>
      </c>
      <c r="AE1702" s="99">
        <f t="shared" ca="1" si="56"/>
        <v>53878</v>
      </c>
      <c r="AF1702" s="6">
        <v>2.6643253027369811</v>
      </c>
    </row>
    <row r="1703" spans="30:32" x14ac:dyDescent="0.2">
      <c r="AD1703" s="98">
        <f t="shared" ca="1" si="57"/>
        <v>32.580424366872002</v>
      </c>
      <c r="AE1703" s="99">
        <f t="shared" ca="1" si="56"/>
        <v>53885</v>
      </c>
      <c r="AF1703" s="6">
        <v>2.6641337082843823</v>
      </c>
    </row>
    <row r="1704" spans="30:32" x14ac:dyDescent="0.2">
      <c r="AD1704" s="98">
        <f t="shared" ca="1" si="57"/>
        <v>32.599589322381931</v>
      </c>
      <c r="AE1704" s="99">
        <f t="shared" ca="1" si="56"/>
        <v>53892</v>
      </c>
      <c r="AF1704" s="6">
        <v>2.6639409222844335</v>
      </c>
    </row>
    <row r="1705" spans="30:32" x14ac:dyDescent="0.2">
      <c r="AD1705" s="98">
        <f t="shared" ca="1" si="57"/>
        <v>32.618754277891853</v>
      </c>
      <c r="AE1705" s="99">
        <f t="shared" ca="1" si="56"/>
        <v>53899</v>
      </c>
      <c r="AF1705" s="6">
        <v>2.663746947579102</v>
      </c>
    </row>
    <row r="1706" spans="30:32" x14ac:dyDescent="0.2">
      <c r="AD1706" s="98">
        <f t="shared" ca="1" si="57"/>
        <v>32.637919233401782</v>
      </c>
      <c r="AE1706" s="99">
        <f t="shared" ca="1" si="56"/>
        <v>53906</v>
      </c>
      <c r="AF1706" s="6">
        <v>2.6635517870883558</v>
      </c>
    </row>
    <row r="1707" spans="30:32" x14ac:dyDescent="0.2">
      <c r="AD1707" s="98">
        <f t="shared" ca="1" si="57"/>
        <v>32.657084188911703</v>
      </c>
      <c r="AE1707" s="99">
        <f t="shared" ca="1" si="56"/>
        <v>53913</v>
      </c>
      <c r="AF1707" s="6">
        <v>2.6633554438103371</v>
      </c>
    </row>
    <row r="1708" spans="30:32" x14ac:dyDescent="0.2">
      <c r="AD1708" s="98">
        <f t="shared" ca="1" si="57"/>
        <v>32.676249144421632</v>
      </c>
      <c r="AE1708" s="99">
        <f t="shared" ca="1" si="56"/>
        <v>53920</v>
      </c>
      <c r="AF1708" s="6">
        <v>2.6631579208215386</v>
      </c>
    </row>
    <row r="1709" spans="30:32" x14ac:dyDescent="0.2">
      <c r="AD1709" s="98">
        <f t="shared" ca="1" si="57"/>
        <v>32.695414099931554</v>
      </c>
      <c r="AE1709" s="99">
        <f t="shared" ca="1" si="56"/>
        <v>53927</v>
      </c>
      <c r="AF1709" s="6">
        <v>2.6629592212769522</v>
      </c>
    </row>
    <row r="1710" spans="30:32" x14ac:dyDescent="0.2">
      <c r="AD1710" s="98">
        <f t="shared" ca="1" si="57"/>
        <v>32.714579055441476</v>
      </c>
      <c r="AE1710" s="99">
        <f t="shared" ca="1" si="56"/>
        <v>53934</v>
      </c>
      <c r="AF1710" s="6">
        <v>2.6627593484102272</v>
      </c>
    </row>
    <row r="1711" spans="30:32" x14ac:dyDescent="0.2">
      <c r="AD1711" s="98">
        <f t="shared" ca="1" si="57"/>
        <v>32.733744010951405</v>
      </c>
      <c r="AE1711" s="99">
        <f t="shared" ca="1" si="56"/>
        <v>53941</v>
      </c>
      <c r="AF1711" s="6">
        <v>2.6625583055338011</v>
      </c>
    </row>
    <row r="1712" spans="30:32" x14ac:dyDescent="0.2">
      <c r="AD1712" s="98">
        <f t="shared" ca="1" si="57"/>
        <v>32.752908966461327</v>
      </c>
      <c r="AE1712" s="99">
        <f t="shared" ca="1" si="56"/>
        <v>53948</v>
      </c>
      <c r="AF1712" s="6">
        <v>2.6623560960390322</v>
      </c>
    </row>
    <row r="1713" spans="30:32" x14ac:dyDescent="0.2">
      <c r="AD1713" s="98">
        <f t="shared" ca="1" si="57"/>
        <v>32.772073921971256</v>
      </c>
      <c r="AE1713" s="99">
        <f t="shared" ca="1" si="56"/>
        <v>53955</v>
      </c>
      <c r="AF1713" s="6">
        <v>2.6621527233963209</v>
      </c>
    </row>
    <row r="1714" spans="30:32" x14ac:dyDescent="0.2">
      <c r="AD1714" s="98">
        <f t="shared" ca="1" si="57"/>
        <v>32.791238877481177</v>
      </c>
      <c r="AE1714" s="99">
        <f t="shared" ca="1" si="56"/>
        <v>53962</v>
      </c>
      <c r="AF1714" s="6">
        <v>2.661948191155215</v>
      </c>
    </row>
    <row r="1715" spans="30:32" x14ac:dyDescent="0.2">
      <c r="AD1715" s="98">
        <f t="shared" ca="1" si="57"/>
        <v>32.810403832991099</v>
      </c>
      <c r="AE1715" s="99">
        <f t="shared" ca="1" si="56"/>
        <v>53969</v>
      </c>
      <c r="AF1715" s="6">
        <v>2.6617425029445068</v>
      </c>
    </row>
    <row r="1716" spans="30:32" x14ac:dyDescent="0.2">
      <c r="AD1716" s="98">
        <f t="shared" ca="1" si="57"/>
        <v>32.829568788501028</v>
      </c>
      <c r="AE1716" s="99">
        <f t="shared" ca="1" si="56"/>
        <v>53976</v>
      </c>
      <c r="AF1716" s="6">
        <v>2.6615356624723279</v>
      </c>
    </row>
    <row r="1717" spans="30:32" x14ac:dyDescent="0.2">
      <c r="AD1717" s="98">
        <f t="shared" ca="1" si="57"/>
        <v>32.84873374401095</v>
      </c>
      <c r="AE1717" s="99">
        <f t="shared" ca="1" si="56"/>
        <v>53983</v>
      </c>
      <c r="AF1717" s="6">
        <v>2.6613276735262184</v>
      </c>
    </row>
    <row r="1718" spans="30:32" x14ac:dyDescent="0.2">
      <c r="AD1718" s="98">
        <f t="shared" ca="1" si="57"/>
        <v>32.867898699520879</v>
      </c>
      <c r="AE1718" s="99">
        <f t="shared" ca="1" si="56"/>
        <v>53990</v>
      </c>
      <c r="AF1718" s="6">
        <v>2.6611185399732027</v>
      </c>
    </row>
    <row r="1719" spans="30:32" x14ac:dyDescent="0.2">
      <c r="AD1719" s="98">
        <f t="shared" ca="1" si="57"/>
        <v>32.887063655030801</v>
      </c>
      <c r="AE1719" s="99">
        <f t="shared" ca="1" si="56"/>
        <v>53997</v>
      </c>
      <c r="AF1719" s="6">
        <v>2.6609082657598395</v>
      </c>
    </row>
    <row r="1720" spans="30:32" x14ac:dyDescent="0.2">
      <c r="AD1720" s="98">
        <f t="shared" ca="1" si="57"/>
        <v>32.906228610540722</v>
      </c>
      <c r="AE1720" s="99">
        <f t="shared" ca="1" si="56"/>
        <v>54004</v>
      </c>
      <c r="AF1720" s="6">
        <v>2.6606968549122709</v>
      </c>
    </row>
    <row r="1721" spans="30:32" x14ac:dyDescent="0.2">
      <c r="AD1721" s="98">
        <f t="shared" ca="1" si="57"/>
        <v>32.925393566050651</v>
      </c>
      <c r="AE1721" s="99">
        <f t="shared" ca="1" si="56"/>
        <v>54011</v>
      </c>
      <c r="AF1721" s="6">
        <v>2.6604843115362611</v>
      </c>
    </row>
    <row r="1722" spans="30:32" x14ac:dyDescent="0.2">
      <c r="AD1722" s="98">
        <f t="shared" ca="1" si="57"/>
        <v>32.944558521560573</v>
      </c>
      <c r="AE1722" s="99">
        <f t="shared" ca="1" si="56"/>
        <v>54018</v>
      </c>
      <c r="AF1722" s="6">
        <v>2.6602706398172109</v>
      </c>
    </row>
    <row r="1723" spans="30:32" x14ac:dyDescent="0.2">
      <c r="AD1723" s="98">
        <f t="shared" ca="1" si="57"/>
        <v>32.963723477070502</v>
      </c>
      <c r="AE1723" s="99">
        <f t="shared" ca="1" si="56"/>
        <v>54025</v>
      </c>
      <c r="AF1723" s="6">
        <v>2.6600558440201834</v>
      </c>
    </row>
    <row r="1724" spans="30:32" x14ac:dyDescent="0.2">
      <c r="AD1724" s="98">
        <f t="shared" ca="1" si="57"/>
        <v>32.982888432580424</v>
      </c>
      <c r="AE1724" s="99">
        <f t="shared" ca="1" si="56"/>
        <v>54032</v>
      </c>
      <c r="AF1724" s="6">
        <v>2.659839928489895</v>
      </c>
    </row>
    <row r="1725" spans="30:32" x14ac:dyDescent="0.2">
      <c r="AD1725" s="98">
        <f t="shared" ca="1" si="57"/>
        <v>33.002053388090346</v>
      </c>
      <c r="AE1725" s="99">
        <f t="shared" ca="1" si="56"/>
        <v>54039</v>
      </c>
      <c r="AF1725" s="6">
        <v>2.659622897650717</v>
      </c>
    </row>
    <row r="1726" spans="30:32" x14ac:dyDescent="0.2">
      <c r="AD1726" s="98">
        <f t="shared" ca="1" si="57"/>
        <v>33.021218343600275</v>
      </c>
      <c r="AE1726" s="99">
        <f t="shared" ca="1" si="56"/>
        <v>54046</v>
      </c>
      <c r="AF1726" s="6">
        <v>2.6594047560066469</v>
      </c>
    </row>
    <row r="1727" spans="30:32" x14ac:dyDescent="0.2">
      <c r="AD1727" s="98">
        <f t="shared" ca="1" si="57"/>
        <v>33.040383299110196</v>
      </c>
      <c r="AE1727" s="99">
        <f t="shared" ca="1" si="56"/>
        <v>54053</v>
      </c>
      <c r="AF1727" s="6">
        <v>2.6591855081412845</v>
      </c>
    </row>
    <row r="1728" spans="30:32" x14ac:dyDescent="0.2">
      <c r="AD1728" s="98">
        <f t="shared" ca="1" si="57"/>
        <v>33.059548254620125</v>
      </c>
      <c r="AE1728" s="99">
        <f t="shared" ca="1" si="56"/>
        <v>54060</v>
      </c>
      <c r="AF1728" s="6">
        <v>2.6589651587177858</v>
      </c>
    </row>
    <row r="1729" spans="30:32" x14ac:dyDescent="0.2">
      <c r="AD1729" s="98">
        <f t="shared" ca="1" si="57"/>
        <v>33.078713210130047</v>
      </c>
      <c r="AE1729" s="99">
        <f t="shared" ca="1" si="56"/>
        <v>54067</v>
      </c>
      <c r="AF1729" s="6">
        <v>2.6587437124788078</v>
      </c>
    </row>
    <row r="1730" spans="30:32" x14ac:dyDescent="0.2">
      <c r="AD1730" s="98">
        <f t="shared" ca="1" si="57"/>
        <v>33.097878165639976</v>
      </c>
      <c r="AE1730" s="99">
        <f t="shared" ca="1" si="56"/>
        <v>54074</v>
      </c>
      <c r="AF1730" s="6">
        <v>2.658521174246447</v>
      </c>
    </row>
    <row r="1731" spans="30:32" x14ac:dyDescent="0.2">
      <c r="AD1731" s="98">
        <f t="shared" ca="1" si="57"/>
        <v>33.117043121149898</v>
      </c>
      <c r="AE1731" s="99">
        <f t="shared" ca="1" si="56"/>
        <v>54081</v>
      </c>
      <c r="AF1731" s="6">
        <v>2.6582975489221625</v>
      </c>
    </row>
    <row r="1732" spans="30:32" x14ac:dyDescent="0.2">
      <c r="AD1732" s="98">
        <f t="shared" ca="1" si="57"/>
        <v>33.13620807665982</v>
      </c>
      <c r="AE1732" s="99">
        <f t="shared" ref="AE1732:AE1795" ca="1" si="58">AE1731+7</f>
        <v>54088</v>
      </c>
      <c r="AF1732" s="6">
        <v>2.6580728414866832</v>
      </c>
    </row>
    <row r="1733" spans="30:32" x14ac:dyDescent="0.2">
      <c r="AD1733" s="98">
        <f t="shared" ref="AD1733:AD1796" ca="1" si="59">(AE1733-$B$3)/365.25</f>
        <v>33.155373032169749</v>
      </c>
      <c r="AE1733" s="99">
        <f t="shared" ca="1" si="58"/>
        <v>54095</v>
      </c>
      <c r="AF1733" s="6">
        <v>2.6578470569999122</v>
      </c>
    </row>
    <row r="1734" spans="30:32" x14ac:dyDescent="0.2">
      <c r="AD1734" s="98">
        <f t="shared" ca="1" si="59"/>
        <v>33.17453798767967</v>
      </c>
      <c r="AE1734" s="99">
        <f t="shared" ca="1" si="58"/>
        <v>54102</v>
      </c>
      <c r="AF1734" s="6">
        <v>2.6576202006008143</v>
      </c>
    </row>
    <row r="1735" spans="30:32" x14ac:dyDescent="0.2">
      <c r="AD1735" s="98">
        <f t="shared" ca="1" si="59"/>
        <v>33.193702943189599</v>
      </c>
      <c r="AE1735" s="99">
        <f t="shared" ca="1" si="58"/>
        <v>54109</v>
      </c>
      <c r="AF1735" s="6">
        <v>2.6573922775072907</v>
      </c>
    </row>
    <row r="1736" spans="30:32" x14ac:dyDescent="0.2">
      <c r="AD1736" s="98">
        <f t="shared" ca="1" si="59"/>
        <v>33.212867898699521</v>
      </c>
      <c r="AE1736" s="99">
        <f t="shared" ca="1" si="58"/>
        <v>54116</v>
      </c>
      <c r="AF1736" s="6">
        <v>2.657163293016048</v>
      </c>
    </row>
    <row r="1737" spans="30:32" x14ac:dyDescent="0.2">
      <c r="AD1737" s="98">
        <f t="shared" ca="1" si="59"/>
        <v>33.232032854209443</v>
      </c>
      <c r="AE1737" s="99">
        <f t="shared" ca="1" si="58"/>
        <v>54123</v>
      </c>
      <c r="AF1737" s="6">
        <v>2.6569332525024469</v>
      </c>
    </row>
    <row r="1738" spans="30:32" x14ac:dyDescent="0.2">
      <c r="AD1738" s="98">
        <f t="shared" ca="1" si="59"/>
        <v>33.251197809719372</v>
      </c>
      <c r="AE1738" s="99">
        <f t="shared" ca="1" si="58"/>
        <v>54130</v>
      </c>
      <c r="AF1738" s="6">
        <v>2.6567021614203439</v>
      </c>
    </row>
    <row r="1739" spans="30:32" x14ac:dyDescent="0.2">
      <c r="AD1739" s="98">
        <f t="shared" ca="1" si="59"/>
        <v>33.270362765229294</v>
      </c>
      <c r="AE1739" s="99">
        <f t="shared" ca="1" si="58"/>
        <v>54137</v>
      </c>
      <c r="AF1739" s="6">
        <v>2.6564700253019229</v>
      </c>
    </row>
    <row r="1740" spans="30:32" x14ac:dyDescent="0.2">
      <c r="AD1740" s="98">
        <f t="shared" ca="1" si="59"/>
        <v>33.289527720739223</v>
      </c>
      <c r="AE1740" s="99">
        <f t="shared" ca="1" si="58"/>
        <v>54144</v>
      </c>
      <c r="AF1740" s="6">
        <v>2.6562368497575108</v>
      </c>
    </row>
    <row r="1741" spans="30:32" x14ac:dyDescent="0.2">
      <c r="AD1741" s="98">
        <f t="shared" ca="1" si="59"/>
        <v>33.308692676249144</v>
      </c>
      <c r="AE1741" s="99">
        <f t="shared" ca="1" si="58"/>
        <v>54151</v>
      </c>
      <c r="AF1741" s="6">
        <v>2.6560026404753825</v>
      </c>
    </row>
    <row r="1742" spans="30:32" x14ac:dyDescent="0.2">
      <c r="AD1742" s="98">
        <f t="shared" ca="1" si="59"/>
        <v>33.327857631759066</v>
      </c>
      <c r="AE1742" s="99">
        <f t="shared" ca="1" si="58"/>
        <v>54158</v>
      </c>
      <c r="AF1742" s="6">
        <v>2.6557674032215561</v>
      </c>
    </row>
    <row r="1743" spans="30:32" x14ac:dyDescent="0.2">
      <c r="AD1743" s="98">
        <f t="shared" ca="1" si="59"/>
        <v>33.347022587268995</v>
      </c>
      <c r="AE1743" s="99">
        <f t="shared" ca="1" si="58"/>
        <v>54165</v>
      </c>
      <c r="AF1743" s="6">
        <v>2.6555311438395695</v>
      </c>
    </row>
    <row r="1744" spans="30:32" x14ac:dyDescent="0.2">
      <c r="AD1744" s="98">
        <f t="shared" ca="1" si="59"/>
        <v>33.366187542778917</v>
      </c>
      <c r="AE1744" s="99">
        <f t="shared" ca="1" si="58"/>
        <v>54172</v>
      </c>
      <c r="AF1744" s="6">
        <v>2.6552938682502543</v>
      </c>
    </row>
    <row r="1745" spans="30:32" x14ac:dyDescent="0.2">
      <c r="AD1745" s="98">
        <f t="shared" ca="1" si="59"/>
        <v>33.385352498288846</v>
      </c>
      <c r="AE1745" s="99">
        <f t="shared" ca="1" si="58"/>
        <v>54179</v>
      </c>
      <c r="AF1745" s="6">
        <v>2.6550555824514914</v>
      </c>
    </row>
    <row r="1746" spans="30:32" x14ac:dyDescent="0.2">
      <c r="AD1746" s="98">
        <f t="shared" ca="1" si="59"/>
        <v>33.404517453798768</v>
      </c>
      <c r="AE1746" s="99">
        <f t="shared" ca="1" si="58"/>
        <v>54186</v>
      </c>
      <c r="AF1746" s="6">
        <v>2.6548162925179537</v>
      </c>
    </row>
    <row r="1747" spans="30:32" x14ac:dyDescent="0.2">
      <c r="AD1747" s="98">
        <f t="shared" ca="1" si="59"/>
        <v>33.42368240930869</v>
      </c>
      <c r="AE1747" s="99">
        <f t="shared" ca="1" si="58"/>
        <v>54193</v>
      </c>
      <c r="AF1747" s="6">
        <v>2.6545760046008393</v>
      </c>
    </row>
    <row r="1748" spans="30:32" x14ac:dyDescent="0.2">
      <c r="AD1748" s="98">
        <f t="shared" ca="1" si="59"/>
        <v>33.442847364818618</v>
      </c>
      <c r="AE1748" s="99">
        <f t="shared" ca="1" si="58"/>
        <v>54200</v>
      </c>
      <c r="AF1748" s="6">
        <v>2.6543347249275957</v>
      </c>
    </row>
    <row r="1749" spans="30:32" x14ac:dyDescent="0.2">
      <c r="AD1749" s="98">
        <f t="shared" ca="1" si="59"/>
        <v>33.46201232032854</v>
      </c>
      <c r="AE1749" s="99">
        <f t="shared" ca="1" si="58"/>
        <v>54207</v>
      </c>
      <c r="AF1749" s="6">
        <v>2.654092459801622</v>
      </c>
    </row>
    <row r="1750" spans="30:32" x14ac:dyDescent="0.2">
      <c r="AD1750" s="98">
        <f t="shared" ca="1" si="59"/>
        <v>33.481177275838469</v>
      </c>
      <c r="AE1750" s="99">
        <f t="shared" ca="1" si="58"/>
        <v>54214</v>
      </c>
      <c r="AF1750" s="6">
        <v>2.6538492156019706</v>
      </c>
    </row>
    <row r="1751" spans="30:32" x14ac:dyDescent="0.2">
      <c r="AD1751" s="98">
        <f t="shared" ca="1" si="59"/>
        <v>33.500342231348391</v>
      </c>
      <c r="AE1751" s="99">
        <f t="shared" ca="1" si="58"/>
        <v>54221</v>
      </c>
      <c r="AF1751" s="6">
        <v>2.6536049987830257</v>
      </c>
    </row>
    <row r="1752" spans="30:32" x14ac:dyDescent="0.2">
      <c r="AD1752" s="98">
        <f t="shared" ca="1" si="59"/>
        <v>33.519507186858313</v>
      </c>
      <c r="AE1752" s="99">
        <f t="shared" ca="1" si="58"/>
        <v>54228</v>
      </c>
      <c r="AF1752" s="6">
        <v>2.6533598158741802</v>
      </c>
    </row>
    <row r="1753" spans="30:32" x14ac:dyDescent="0.2">
      <c r="AD1753" s="98">
        <f t="shared" ca="1" si="59"/>
        <v>33.538672142368242</v>
      </c>
      <c r="AE1753" s="99">
        <f t="shared" ca="1" si="58"/>
        <v>54235</v>
      </c>
      <c r="AF1753" s="6">
        <v>2.6531136734794907</v>
      </c>
    </row>
    <row r="1754" spans="30:32" x14ac:dyDescent="0.2">
      <c r="AD1754" s="98">
        <f t="shared" ca="1" si="59"/>
        <v>33.557837097878163</v>
      </c>
      <c r="AE1754" s="99">
        <f t="shared" ca="1" si="58"/>
        <v>54242</v>
      </c>
      <c r="AF1754" s="6">
        <v>2.6528665782773286</v>
      </c>
    </row>
    <row r="1755" spans="30:32" x14ac:dyDescent="0.2">
      <c r="AD1755" s="98">
        <f t="shared" ca="1" si="59"/>
        <v>33.577002053388092</v>
      </c>
      <c r="AE1755" s="99">
        <f t="shared" ca="1" si="58"/>
        <v>54249</v>
      </c>
      <c r="AF1755" s="6">
        <v>2.6526185370200102</v>
      </c>
    </row>
    <row r="1756" spans="30:32" x14ac:dyDescent="0.2">
      <c r="AD1756" s="98">
        <f t="shared" ca="1" si="59"/>
        <v>33.596167008898014</v>
      </c>
      <c r="AE1756" s="99">
        <f t="shared" ca="1" si="58"/>
        <v>54256</v>
      </c>
      <c r="AF1756" s="6">
        <v>2.6523695565334271</v>
      </c>
    </row>
    <row r="1757" spans="30:32" x14ac:dyDescent="0.2">
      <c r="AD1757" s="98">
        <f t="shared" ca="1" si="59"/>
        <v>33.615331964407943</v>
      </c>
      <c r="AE1757" s="99">
        <f t="shared" ca="1" si="58"/>
        <v>54263</v>
      </c>
      <c r="AF1757" s="6">
        <v>2.6521196437166492</v>
      </c>
    </row>
    <row r="1758" spans="30:32" x14ac:dyDescent="0.2">
      <c r="AD1758" s="98">
        <f t="shared" ca="1" si="59"/>
        <v>33.634496919917865</v>
      </c>
      <c r="AE1758" s="99">
        <f t="shared" ca="1" si="58"/>
        <v>54270</v>
      </c>
      <c r="AF1758" s="6">
        <v>2.6518688055415254</v>
      </c>
    </row>
    <row r="1759" spans="30:32" x14ac:dyDescent="0.2">
      <c r="AD1759" s="98">
        <f t="shared" ca="1" si="59"/>
        <v>33.653661875427787</v>
      </c>
      <c r="AE1759" s="99">
        <f t="shared" ca="1" si="58"/>
        <v>54277</v>
      </c>
      <c r="AF1759" s="6">
        <v>2.6516170490522746</v>
      </c>
    </row>
    <row r="1760" spans="30:32" x14ac:dyDescent="0.2">
      <c r="AD1760" s="98">
        <f t="shared" ca="1" si="59"/>
        <v>33.672826830937716</v>
      </c>
      <c r="AE1760" s="99">
        <f t="shared" ca="1" si="58"/>
        <v>54284</v>
      </c>
      <c r="AF1760" s="6">
        <v>2.6513643813650556</v>
      </c>
    </row>
    <row r="1761" spans="30:32" x14ac:dyDescent="0.2">
      <c r="AD1761" s="98">
        <f t="shared" ca="1" si="59"/>
        <v>33.691991786447637</v>
      </c>
      <c r="AE1761" s="99">
        <f t="shared" ca="1" si="58"/>
        <v>54291</v>
      </c>
      <c r="AF1761" s="6">
        <v>2.6511108096675273</v>
      </c>
    </row>
    <row r="1762" spans="30:32" x14ac:dyDescent="0.2">
      <c r="AD1762" s="98">
        <f t="shared" ca="1" si="59"/>
        <v>33.711156741957566</v>
      </c>
      <c r="AE1762" s="99">
        <f t="shared" ca="1" si="58"/>
        <v>54298</v>
      </c>
      <c r="AF1762" s="6">
        <v>2.6508563412184043</v>
      </c>
    </row>
    <row r="1763" spans="30:32" x14ac:dyDescent="0.2">
      <c r="AD1763" s="98">
        <f t="shared" ca="1" si="59"/>
        <v>33.730321697467488</v>
      </c>
      <c r="AE1763" s="99">
        <f t="shared" ca="1" si="58"/>
        <v>54305</v>
      </c>
      <c r="AF1763" s="6">
        <v>2.6506009833469939</v>
      </c>
    </row>
    <row r="1764" spans="30:32" x14ac:dyDescent="0.2">
      <c r="AD1764" s="98">
        <f t="shared" ca="1" si="59"/>
        <v>33.74948665297741</v>
      </c>
      <c r="AE1764" s="99">
        <f t="shared" ca="1" si="58"/>
        <v>54312</v>
      </c>
      <c r="AF1764" s="6">
        <v>2.6503447434527185</v>
      </c>
    </row>
    <row r="1765" spans="30:32" x14ac:dyDescent="0.2">
      <c r="AD1765" s="98">
        <f t="shared" ca="1" si="59"/>
        <v>33.768651608487339</v>
      </c>
      <c r="AE1765" s="99">
        <f t="shared" ca="1" si="58"/>
        <v>54319</v>
      </c>
      <c r="AF1765" s="6">
        <v>2.6500876290046347</v>
      </c>
    </row>
    <row r="1766" spans="30:32" x14ac:dyDescent="0.2">
      <c r="AD1766" s="98">
        <f t="shared" ca="1" si="59"/>
        <v>33.787816563997261</v>
      </c>
      <c r="AE1766" s="99">
        <f t="shared" ca="1" si="58"/>
        <v>54326</v>
      </c>
      <c r="AF1766" s="6">
        <v>2.6498296475409315</v>
      </c>
    </row>
    <row r="1767" spans="30:32" x14ac:dyDescent="0.2">
      <c r="AD1767" s="98">
        <f t="shared" ca="1" si="59"/>
        <v>33.80698151950719</v>
      </c>
      <c r="AE1767" s="99">
        <f t="shared" ca="1" si="58"/>
        <v>54333</v>
      </c>
      <c r="AF1767" s="6">
        <v>2.6495708066684247</v>
      </c>
    </row>
    <row r="1768" spans="30:32" x14ac:dyDescent="0.2">
      <c r="AD1768" s="98">
        <f t="shared" ca="1" si="59"/>
        <v>33.826146475017111</v>
      </c>
      <c r="AE1768" s="99">
        <f t="shared" ca="1" si="58"/>
        <v>54340</v>
      </c>
      <c r="AF1768" s="6">
        <v>2.6493111140620322</v>
      </c>
    </row>
    <row r="1769" spans="30:32" x14ac:dyDescent="0.2">
      <c r="AD1769" s="98">
        <f t="shared" ca="1" si="59"/>
        <v>33.845311430527033</v>
      </c>
      <c r="AE1769" s="99">
        <f t="shared" ca="1" si="58"/>
        <v>54347</v>
      </c>
      <c r="AF1769" s="6">
        <v>2.6490505774642434</v>
      </c>
    </row>
    <row r="1770" spans="30:32" x14ac:dyDescent="0.2">
      <c r="AD1770" s="98">
        <f t="shared" ca="1" si="59"/>
        <v>33.864476386036962</v>
      </c>
      <c r="AE1770" s="99">
        <f t="shared" ca="1" si="58"/>
        <v>54354</v>
      </c>
      <c r="AF1770" s="6">
        <v>2.6487892046845749</v>
      </c>
    </row>
    <row r="1771" spans="30:32" x14ac:dyDescent="0.2">
      <c r="AD1771" s="98">
        <f t="shared" ca="1" si="59"/>
        <v>33.883641341546884</v>
      </c>
      <c r="AE1771" s="99">
        <f t="shared" ca="1" si="58"/>
        <v>54361</v>
      </c>
      <c r="AF1771" s="6">
        <v>2.6485270035990114</v>
      </c>
    </row>
    <row r="1772" spans="30:32" x14ac:dyDescent="0.2">
      <c r="AD1772" s="98">
        <f t="shared" ca="1" si="59"/>
        <v>33.902806297056813</v>
      </c>
      <c r="AE1772" s="99">
        <f t="shared" ca="1" si="58"/>
        <v>54368</v>
      </c>
      <c r="AF1772" s="6">
        <v>2.6482639821494409</v>
      </c>
    </row>
    <row r="1773" spans="30:32" x14ac:dyDescent="0.2">
      <c r="AD1773" s="98">
        <f t="shared" ca="1" si="59"/>
        <v>33.921971252566735</v>
      </c>
      <c r="AE1773" s="99">
        <f t="shared" ca="1" si="58"/>
        <v>54375</v>
      </c>
      <c r="AF1773" s="6">
        <v>2.6480001483430726</v>
      </c>
    </row>
    <row r="1774" spans="30:32" x14ac:dyDescent="0.2">
      <c r="AD1774" s="98">
        <f t="shared" ca="1" si="59"/>
        <v>33.941136208076657</v>
      </c>
      <c r="AE1774" s="99">
        <f t="shared" ca="1" si="58"/>
        <v>54382</v>
      </c>
      <c r="AF1774" s="6">
        <v>2.6477355102518501</v>
      </c>
    </row>
    <row r="1775" spans="30:32" x14ac:dyDescent="0.2">
      <c r="AD1775" s="98">
        <f t="shared" ca="1" si="59"/>
        <v>33.960301163586585</v>
      </c>
      <c r="AE1775" s="99">
        <f t="shared" ca="1" si="58"/>
        <v>54389</v>
      </c>
      <c r="AF1775" s="6">
        <v>2.6474700760118446</v>
      </c>
    </row>
    <row r="1776" spans="30:32" x14ac:dyDescent="0.2">
      <c r="AD1776" s="98">
        <f t="shared" ca="1" si="59"/>
        <v>33.979466119096507</v>
      </c>
      <c r="AE1776" s="99">
        <f t="shared" ca="1" si="58"/>
        <v>54396</v>
      </c>
      <c r="AF1776" s="6">
        <v>2.647203853822647</v>
      </c>
    </row>
    <row r="1777" spans="30:32" x14ac:dyDescent="0.2">
      <c r="AD1777" s="98">
        <f t="shared" ca="1" si="59"/>
        <v>33.998631074606436</v>
      </c>
      <c r="AE1777" s="99">
        <f t="shared" ca="1" si="58"/>
        <v>54403</v>
      </c>
      <c r="AF1777" s="6">
        <v>2.6469368519467373</v>
      </c>
    </row>
    <row r="1778" spans="30:32" x14ac:dyDescent="0.2">
      <c r="AD1778" s="98">
        <f t="shared" ca="1" si="59"/>
        <v>34.017796030116358</v>
      </c>
      <c r="AE1778" s="99">
        <f t="shared" ca="1" si="58"/>
        <v>54410</v>
      </c>
      <c r="AF1778" s="6">
        <v>2.6466690787088547</v>
      </c>
    </row>
    <row r="1779" spans="30:32" x14ac:dyDescent="0.2">
      <c r="AD1779" s="98">
        <f t="shared" ca="1" si="59"/>
        <v>34.036960985626287</v>
      </c>
      <c r="AE1779" s="99">
        <f t="shared" ca="1" si="58"/>
        <v>54417</v>
      </c>
      <c r="AF1779" s="6">
        <v>2.6464005424953476</v>
      </c>
    </row>
    <row r="1780" spans="30:32" x14ac:dyDescent="0.2">
      <c r="AD1780" s="98">
        <f t="shared" ca="1" si="59"/>
        <v>34.056125941136209</v>
      </c>
      <c r="AE1780" s="99">
        <f t="shared" ca="1" si="58"/>
        <v>54424</v>
      </c>
      <c r="AF1780" s="6">
        <v>2.6461312517535176</v>
      </c>
    </row>
    <row r="1781" spans="30:32" x14ac:dyDescent="0.2">
      <c r="AD1781" s="98">
        <f t="shared" ca="1" si="59"/>
        <v>34.075290896646131</v>
      </c>
      <c r="AE1781" s="99">
        <f t="shared" ca="1" si="58"/>
        <v>54431</v>
      </c>
      <c r="AF1781" s="6">
        <v>2.6458612149909491</v>
      </c>
    </row>
    <row r="1782" spans="30:32" x14ac:dyDescent="0.2">
      <c r="AD1782" s="98">
        <f t="shared" ca="1" si="59"/>
        <v>34.094455852156059</v>
      </c>
      <c r="AE1782" s="99">
        <f t="shared" ca="1" si="58"/>
        <v>54438</v>
      </c>
      <c r="AF1782" s="6">
        <v>2.6455904407748352</v>
      </c>
    </row>
    <row r="1783" spans="30:32" x14ac:dyDescent="0.2">
      <c r="AD1783" s="98">
        <f t="shared" ca="1" si="59"/>
        <v>34.113620807665981</v>
      </c>
      <c r="AE1783" s="99">
        <f t="shared" ca="1" si="58"/>
        <v>54445</v>
      </c>
      <c r="AF1783" s="6">
        <v>2.645318937731282</v>
      </c>
    </row>
    <row r="1784" spans="30:32" x14ac:dyDescent="0.2">
      <c r="AD1784" s="98">
        <f t="shared" ca="1" si="59"/>
        <v>34.13278576317591</v>
      </c>
      <c r="AE1784" s="99">
        <f t="shared" ca="1" si="58"/>
        <v>54452</v>
      </c>
      <c r="AF1784" s="6">
        <v>2.6450467145446135</v>
      </c>
    </row>
    <row r="1785" spans="30:32" x14ac:dyDescent="0.2">
      <c r="AD1785" s="98">
        <f t="shared" ca="1" si="59"/>
        <v>34.151950718685832</v>
      </c>
      <c r="AE1785" s="99">
        <f t="shared" ca="1" si="58"/>
        <v>54459</v>
      </c>
      <c r="AF1785" s="6">
        <v>2.6447737799566577</v>
      </c>
    </row>
    <row r="1786" spans="30:32" x14ac:dyDescent="0.2">
      <c r="AD1786" s="98">
        <f t="shared" ca="1" si="59"/>
        <v>34.171115674195754</v>
      </c>
      <c r="AE1786" s="99">
        <f t="shared" ca="1" si="58"/>
        <v>54466</v>
      </c>
      <c r="AF1786" s="6">
        <v>2.6445001427660277</v>
      </c>
    </row>
    <row r="1787" spans="30:32" x14ac:dyDescent="0.2">
      <c r="AD1787" s="98">
        <f t="shared" ca="1" si="59"/>
        <v>34.190280629705683</v>
      </c>
      <c r="AE1787" s="99">
        <f t="shared" ca="1" si="58"/>
        <v>54473</v>
      </c>
      <c r="AF1787" s="6">
        <v>2.6442258118273894</v>
      </c>
    </row>
    <row r="1788" spans="30:32" x14ac:dyDescent="0.2">
      <c r="AD1788" s="98">
        <f t="shared" ca="1" si="59"/>
        <v>34.209445585215605</v>
      </c>
      <c r="AE1788" s="99">
        <f t="shared" ca="1" si="58"/>
        <v>54480</v>
      </c>
      <c r="AF1788" s="6">
        <v>2.643950796050722</v>
      </c>
    </row>
    <row r="1789" spans="30:32" x14ac:dyDescent="0.2">
      <c r="AD1789" s="98">
        <f t="shared" ca="1" si="59"/>
        <v>34.228610540725533</v>
      </c>
      <c r="AE1789" s="99">
        <f t="shared" ca="1" si="58"/>
        <v>54487</v>
      </c>
      <c r="AF1789" s="6">
        <v>2.6436751044005677</v>
      </c>
    </row>
    <row r="1790" spans="30:32" x14ac:dyDescent="0.2">
      <c r="AD1790" s="98">
        <f t="shared" ca="1" si="59"/>
        <v>34.247775496235455</v>
      </c>
      <c r="AE1790" s="99">
        <f t="shared" ca="1" si="58"/>
        <v>54494</v>
      </c>
      <c r="AF1790" s="6">
        <v>2.6433987458952681</v>
      </c>
    </row>
    <row r="1791" spans="30:32" x14ac:dyDescent="0.2">
      <c r="AD1791" s="98">
        <f t="shared" ca="1" si="59"/>
        <v>34.266940451745377</v>
      </c>
      <c r="AE1791" s="99">
        <f t="shared" ca="1" si="58"/>
        <v>54501</v>
      </c>
      <c r="AF1791" s="6">
        <v>2.6431217296061948</v>
      </c>
    </row>
    <row r="1792" spans="30:32" x14ac:dyDescent="0.2">
      <c r="AD1792" s="98">
        <f t="shared" ca="1" si="59"/>
        <v>34.286105407255306</v>
      </c>
      <c r="AE1792" s="99">
        <f t="shared" ca="1" si="58"/>
        <v>54508</v>
      </c>
      <c r="AF1792" s="6">
        <v>2.6428440646569711</v>
      </c>
    </row>
    <row r="1793" spans="30:32" x14ac:dyDescent="0.2">
      <c r="AD1793" s="98">
        <f t="shared" ca="1" si="59"/>
        <v>34.305270362765228</v>
      </c>
      <c r="AE1793" s="99">
        <f t="shared" ca="1" si="58"/>
        <v>54515</v>
      </c>
      <c r="AF1793" s="6">
        <v>2.6425657602226815</v>
      </c>
    </row>
    <row r="1794" spans="30:32" x14ac:dyDescent="0.2">
      <c r="AD1794" s="98">
        <f t="shared" ca="1" si="59"/>
        <v>34.324435318275157</v>
      </c>
      <c r="AE1794" s="99">
        <f t="shared" ca="1" si="58"/>
        <v>54522</v>
      </c>
      <c r="AF1794" s="6">
        <v>2.6422868255290717</v>
      </c>
    </row>
    <row r="1795" spans="30:32" x14ac:dyDescent="0.2">
      <c r="AD1795" s="98">
        <f t="shared" ca="1" si="59"/>
        <v>34.343600273785079</v>
      </c>
      <c r="AE1795" s="99">
        <f t="shared" ca="1" si="58"/>
        <v>54529</v>
      </c>
      <c r="AF1795" s="6">
        <v>2.6420072698517441</v>
      </c>
    </row>
    <row r="1796" spans="30:32" x14ac:dyDescent="0.2">
      <c r="AD1796" s="98">
        <f t="shared" ca="1" si="59"/>
        <v>34.362765229295</v>
      </c>
      <c r="AE1796" s="99">
        <f t="shared" ref="AE1796:AE1859" ca="1" si="60">AE1795+7</f>
        <v>54536</v>
      </c>
      <c r="AF1796" s="6">
        <v>2.6417271025153366</v>
      </c>
    </row>
    <row r="1797" spans="30:32" x14ac:dyDescent="0.2">
      <c r="AD1797" s="98">
        <f t="shared" ref="AD1797:AD1860" ca="1" si="61">(AE1797-$B$3)/365.25</f>
        <v>34.381930184804929</v>
      </c>
      <c r="AE1797" s="99">
        <f t="shared" ca="1" si="60"/>
        <v>54543</v>
      </c>
      <c r="AF1797" s="6">
        <v>2.6414463328927016</v>
      </c>
    </row>
    <row r="1798" spans="30:32" x14ac:dyDescent="0.2">
      <c r="AD1798" s="98">
        <f t="shared" ca="1" si="61"/>
        <v>34.401095140314851</v>
      </c>
      <c r="AE1798" s="99">
        <f t="shared" ca="1" si="60"/>
        <v>54550</v>
      </c>
      <c r="AF1798" s="6">
        <v>2.6411649704040689</v>
      </c>
    </row>
    <row r="1799" spans="30:32" x14ac:dyDescent="0.2">
      <c r="AD1799" s="98">
        <f t="shared" ca="1" si="61"/>
        <v>34.42026009582478</v>
      </c>
      <c r="AE1799" s="99">
        <f t="shared" ca="1" si="60"/>
        <v>54557</v>
      </c>
      <c r="AF1799" s="6">
        <v>2.6408830245162029</v>
      </c>
    </row>
    <row r="1800" spans="30:32" x14ac:dyDescent="0.2">
      <c r="AD1800" s="98">
        <f t="shared" ca="1" si="61"/>
        <v>34.439425051334702</v>
      </c>
      <c r="AE1800" s="99">
        <f t="shared" ca="1" si="60"/>
        <v>54564</v>
      </c>
      <c r="AF1800" s="6">
        <v>2.6406005047415508</v>
      </c>
    </row>
    <row r="1801" spans="30:32" x14ac:dyDescent="0.2">
      <c r="AD1801" s="98">
        <f t="shared" ca="1" si="61"/>
        <v>34.458590006844624</v>
      </c>
      <c r="AE1801" s="99">
        <f t="shared" ca="1" si="60"/>
        <v>54571</v>
      </c>
      <c r="AF1801" s="6">
        <v>2.6403174206373849</v>
      </c>
    </row>
    <row r="1802" spans="30:32" x14ac:dyDescent="0.2">
      <c r="AD1802" s="98">
        <f t="shared" ca="1" si="61"/>
        <v>34.477754962354553</v>
      </c>
      <c r="AE1802" s="99">
        <f t="shared" ca="1" si="60"/>
        <v>54578</v>
      </c>
      <c r="AF1802" s="6">
        <v>2.6400337818049358</v>
      </c>
    </row>
    <row r="1803" spans="30:32" x14ac:dyDescent="0.2">
      <c r="AD1803" s="98">
        <f t="shared" ca="1" si="61"/>
        <v>34.496919917864474</v>
      </c>
      <c r="AE1803" s="99">
        <f t="shared" ca="1" si="60"/>
        <v>54585</v>
      </c>
      <c r="AF1803" s="6">
        <v>2.6397495978885122</v>
      </c>
    </row>
    <row r="1804" spans="30:32" x14ac:dyDescent="0.2">
      <c r="AD1804" s="98">
        <f t="shared" ca="1" si="61"/>
        <v>34.516084873374403</v>
      </c>
      <c r="AE1804" s="99">
        <f t="shared" ca="1" si="60"/>
        <v>54592</v>
      </c>
      <c r="AF1804" s="6">
        <v>2.6394648785746209</v>
      </c>
    </row>
    <row r="1805" spans="30:32" x14ac:dyDescent="0.2">
      <c r="AD1805" s="98">
        <f t="shared" ca="1" si="61"/>
        <v>34.535249828884325</v>
      </c>
      <c r="AE1805" s="99">
        <f t="shared" ca="1" si="60"/>
        <v>54599</v>
      </c>
      <c r="AF1805" s="6">
        <v>2.6391796335910787</v>
      </c>
    </row>
    <row r="1806" spans="30:32" x14ac:dyDescent="0.2">
      <c r="AD1806" s="98">
        <f t="shared" ca="1" si="61"/>
        <v>34.554414784394254</v>
      </c>
      <c r="AE1806" s="99">
        <f t="shared" ca="1" si="60"/>
        <v>54606</v>
      </c>
      <c r="AF1806" s="6">
        <v>2.6388938727061051</v>
      </c>
    </row>
    <row r="1807" spans="30:32" x14ac:dyDescent="0.2">
      <c r="AD1807" s="98">
        <f t="shared" ca="1" si="61"/>
        <v>34.573579739904176</v>
      </c>
      <c r="AE1807" s="99">
        <f t="shared" ca="1" si="60"/>
        <v>54613</v>
      </c>
      <c r="AF1807" s="6">
        <v>2.6386076057274268</v>
      </c>
    </row>
    <row r="1808" spans="30:32" x14ac:dyDescent="0.2">
      <c r="AD1808" s="98">
        <f t="shared" ca="1" si="61"/>
        <v>34.592744695414098</v>
      </c>
      <c r="AE1808" s="99">
        <f t="shared" ca="1" si="60"/>
        <v>54620</v>
      </c>
      <c r="AF1808" s="6">
        <v>2.6383208425013605</v>
      </c>
    </row>
    <row r="1809" spans="30:32" x14ac:dyDescent="0.2">
      <c r="AD1809" s="98">
        <f t="shared" ca="1" si="61"/>
        <v>34.611909650924026</v>
      </c>
      <c r="AE1809" s="99">
        <f t="shared" ca="1" si="60"/>
        <v>54627</v>
      </c>
      <c r="AF1809" s="6">
        <v>2.6380335929118921</v>
      </c>
    </row>
    <row r="1810" spans="30:32" x14ac:dyDescent="0.2">
      <c r="AD1810" s="98">
        <f t="shared" ca="1" si="61"/>
        <v>34.631074606433948</v>
      </c>
      <c r="AE1810" s="99">
        <f t="shared" ca="1" si="60"/>
        <v>54634</v>
      </c>
      <c r="AF1810" s="6">
        <v>2.6377458668797518</v>
      </c>
    </row>
    <row r="1811" spans="30:32" x14ac:dyDescent="0.2">
      <c r="AD1811" s="98">
        <f t="shared" ca="1" si="61"/>
        <v>34.650239561943877</v>
      </c>
      <c r="AE1811" s="99">
        <f t="shared" ca="1" si="60"/>
        <v>54641</v>
      </c>
      <c r="AF1811" s="6">
        <v>2.6374576743614826</v>
      </c>
    </row>
    <row r="1812" spans="30:32" x14ac:dyDescent="0.2">
      <c r="AD1812" s="98">
        <f t="shared" ca="1" si="61"/>
        <v>34.669404517453799</v>
      </c>
      <c r="AE1812" s="99">
        <f t="shared" ca="1" si="60"/>
        <v>54648</v>
      </c>
      <c r="AF1812" s="6">
        <v>2.6371690253484994</v>
      </c>
    </row>
    <row r="1813" spans="30:32" x14ac:dyDescent="0.2">
      <c r="AD1813" s="98">
        <f t="shared" ca="1" si="61"/>
        <v>34.688569472963721</v>
      </c>
      <c r="AE1813" s="99">
        <f t="shared" ca="1" si="60"/>
        <v>54655</v>
      </c>
      <c r="AF1813" s="6">
        <v>2.6368799298661436</v>
      </c>
    </row>
    <row r="1814" spans="30:32" x14ac:dyDescent="0.2">
      <c r="AD1814" s="98">
        <f t="shared" ca="1" si="61"/>
        <v>34.70773442847365</v>
      </c>
      <c r="AE1814" s="99">
        <f t="shared" ca="1" si="60"/>
        <v>54662</v>
      </c>
      <c r="AF1814" s="6">
        <v>2.6365903979727321</v>
      </c>
    </row>
    <row r="1815" spans="30:32" x14ac:dyDescent="0.2">
      <c r="AD1815" s="98">
        <f t="shared" ca="1" si="61"/>
        <v>34.726899383983572</v>
      </c>
      <c r="AE1815" s="99">
        <f t="shared" ca="1" si="60"/>
        <v>54669</v>
      </c>
      <c r="AF1815" s="6">
        <v>2.6363004397585992</v>
      </c>
    </row>
    <row r="1816" spans="30:32" x14ac:dyDescent="0.2">
      <c r="AD1816" s="98">
        <f t="shared" ca="1" si="61"/>
        <v>34.7460643394935</v>
      </c>
      <c r="AE1816" s="99">
        <f t="shared" ca="1" si="60"/>
        <v>54676</v>
      </c>
      <c r="AF1816" s="6">
        <v>2.6360100653451388</v>
      </c>
    </row>
    <row r="1817" spans="30:32" x14ac:dyDescent="0.2">
      <c r="AD1817" s="98">
        <f t="shared" ca="1" si="61"/>
        <v>34.765229295003422</v>
      </c>
      <c r="AE1817" s="99">
        <f t="shared" ca="1" si="60"/>
        <v>54683</v>
      </c>
      <c r="AF1817" s="6">
        <v>2.6357192848838267</v>
      </c>
    </row>
    <row r="1818" spans="30:32" x14ac:dyDescent="0.2">
      <c r="AD1818" s="98">
        <f t="shared" ca="1" si="61"/>
        <v>34.784394250513344</v>
      </c>
      <c r="AE1818" s="99">
        <f t="shared" ca="1" si="60"/>
        <v>54690</v>
      </c>
      <c r="AF1818" s="6">
        <v>2.6354281085552591</v>
      </c>
    </row>
    <row r="1819" spans="30:32" x14ac:dyDescent="0.2">
      <c r="AD1819" s="98">
        <f t="shared" ca="1" si="61"/>
        <v>34.803559206023273</v>
      </c>
      <c r="AE1819" s="99">
        <f t="shared" ca="1" si="60"/>
        <v>54697</v>
      </c>
      <c r="AF1819" s="6">
        <v>2.6351365465681615</v>
      </c>
    </row>
    <row r="1820" spans="30:32" x14ac:dyDescent="0.2">
      <c r="AD1820" s="98">
        <f t="shared" ca="1" si="61"/>
        <v>34.822724161533195</v>
      </c>
      <c r="AE1820" s="99">
        <f t="shared" ca="1" si="60"/>
        <v>54704</v>
      </c>
      <c r="AF1820" s="6">
        <v>2.6348446091584159</v>
      </c>
    </row>
    <row r="1821" spans="30:32" x14ac:dyDescent="0.2">
      <c r="AD1821" s="98">
        <f t="shared" ca="1" si="61"/>
        <v>34.841889117043124</v>
      </c>
      <c r="AE1821" s="99">
        <f t="shared" ca="1" si="60"/>
        <v>54711</v>
      </c>
      <c r="AF1821" s="6">
        <v>2.6345523065880667</v>
      </c>
    </row>
    <row r="1822" spans="30:32" x14ac:dyDescent="0.2">
      <c r="AD1822" s="98">
        <f t="shared" ca="1" si="61"/>
        <v>34.861054072553046</v>
      </c>
      <c r="AE1822" s="99">
        <f t="shared" ca="1" si="60"/>
        <v>54718</v>
      </c>
      <c r="AF1822" s="6">
        <v>2.6342596491443317</v>
      </c>
    </row>
    <row r="1823" spans="30:32" x14ac:dyDescent="0.2">
      <c r="AD1823" s="98">
        <f t="shared" ca="1" si="61"/>
        <v>34.880219028062967</v>
      </c>
      <c r="AE1823" s="99">
        <f t="shared" ca="1" si="60"/>
        <v>54725</v>
      </c>
      <c r="AF1823" s="6">
        <v>2.6339666471386005</v>
      </c>
    </row>
    <row r="1824" spans="30:32" x14ac:dyDescent="0.2">
      <c r="AD1824" s="98">
        <f t="shared" ca="1" si="61"/>
        <v>34.899383983572896</v>
      </c>
      <c r="AE1824" s="99">
        <f t="shared" ca="1" si="60"/>
        <v>54732</v>
      </c>
      <c r="AF1824" s="6">
        <v>2.6336733109054435</v>
      </c>
    </row>
    <row r="1825" spans="30:32" x14ac:dyDescent="0.2">
      <c r="AD1825" s="98">
        <f t="shared" ca="1" si="61"/>
        <v>34.918548939082818</v>
      </c>
      <c r="AE1825" s="99">
        <f t="shared" ca="1" si="60"/>
        <v>54739</v>
      </c>
      <c r="AF1825" s="6">
        <v>2.6333796508015963</v>
      </c>
    </row>
    <row r="1826" spans="30:32" x14ac:dyDescent="0.2">
      <c r="AD1826" s="98">
        <f t="shared" ca="1" si="61"/>
        <v>34.937713894592747</v>
      </c>
      <c r="AE1826" s="99">
        <f t="shared" ca="1" si="60"/>
        <v>54746</v>
      </c>
      <c r="AF1826" s="6">
        <v>2.6330856772049573</v>
      </c>
    </row>
    <row r="1827" spans="30:32" x14ac:dyDescent="0.2">
      <c r="AD1827" s="98">
        <f t="shared" ca="1" si="61"/>
        <v>34.956878850102669</v>
      </c>
      <c r="AE1827" s="99">
        <f t="shared" ca="1" si="60"/>
        <v>54753</v>
      </c>
      <c r="AF1827" s="6">
        <v>2.6327914005135788</v>
      </c>
    </row>
    <row r="1828" spans="30:32" x14ac:dyDescent="0.2">
      <c r="AD1828" s="98">
        <f t="shared" ca="1" si="61"/>
        <v>34.976043805612591</v>
      </c>
      <c r="AE1828" s="99">
        <f t="shared" ca="1" si="60"/>
        <v>54760</v>
      </c>
      <c r="AF1828" s="6">
        <v>2.6324968311446448</v>
      </c>
    </row>
    <row r="1829" spans="30:32" x14ac:dyDescent="0.2">
      <c r="AD1829" s="98">
        <f t="shared" ca="1" si="61"/>
        <v>34.99520876112252</v>
      </c>
      <c r="AE1829" s="99">
        <f t="shared" ca="1" si="60"/>
        <v>54767</v>
      </c>
      <c r="AF1829" s="6">
        <v>2.632201979533459</v>
      </c>
    </row>
    <row r="1830" spans="30:32" x14ac:dyDescent="0.2">
      <c r="AD1830" s="98">
        <f t="shared" ca="1" si="61"/>
        <v>35.014373716632441</v>
      </c>
      <c r="AE1830" s="99">
        <f t="shared" ca="1" si="60"/>
        <v>54774</v>
      </c>
      <c r="AF1830" s="6">
        <v>2.6319068561324248</v>
      </c>
    </row>
    <row r="1831" spans="30:32" x14ac:dyDescent="0.2">
      <c r="AD1831" s="98">
        <f t="shared" ca="1" si="61"/>
        <v>35.03353867214237</v>
      </c>
      <c r="AE1831" s="99">
        <f t="shared" ca="1" si="60"/>
        <v>54781</v>
      </c>
      <c r="AF1831" s="6">
        <v>2.6316114714100167</v>
      </c>
    </row>
    <row r="1832" spans="30:32" x14ac:dyDescent="0.2">
      <c r="AD1832" s="98">
        <f t="shared" ca="1" si="61"/>
        <v>35.052703627652292</v>
      </c>
      <c r="AE1832" s="99">
        <f t="shared" ca="1" si="60"/>
        <v>54788</v>
      </c>
      <c r="AF1832" s="6">
        <v>2.6313158358497604</v>
      </c>
    </row>
    <row r="1833" spans="30:32" x14ac:dyDescent="0.2">
      <c r="AD1833" s="98">
        <f t="shared" ca="1" si="61"/>
        <v>35.071868583162221</v>
      </c>
      <c r="AE1833" s="99">
        <f t="shared" ca="1" si="60"/>
        <v>54795</v>
      </c>
      <c r="AF1833" s="6">
        <v>2.6310199599492026</v>
      </c>
    </row>
    <row r="1834" spans="30:32" x14ac:dyDescent="0.2">
      <c r="AD1834" s="98">
        <f t="shared" ca="1" si="61"/>
        <v>35.091033538672143</v>
      </c>
      <c r="AE1834" s="99">
        <f t="shared" ca="1" si="60"/>
        <v>54802</v>
      </c>
      <c r="AF1834" s="6">
        <v>2.6307238542188802</v>
      </c>
    </row>
    <row r="1835" spans="30:32" x14ac:dyDescent="0.2">
      <c r="AD1835" s="98">
        <f t="shared" ca="1" si="61"/>
        <v>35.110198494182065</v>
      </c>
      <c r="AE1835" s="99">
        <f t="shared" ca="1" si="60"/>
        <v>54809</v>
      </c>
      <c r="AF1835" s="6">
        <v>2.6304275291812931</v>
      </c>
    </row>
    <row r="1836" spans="30:32" x14ac:dyDescent="0.2">
      <c r="AD1836" s="98">
        <f t="shared" ca="1" si="61"/>
        <v>35.129363449691994</v>
      </c>
      <c r="AE1836" s="99">
        <f t="shared" ca="1" si="60"/>
        <v>54816</v>
      </c>
      <c r="AF1836" s="6">
        <v>2.6301309953698659</v>
      </c>
    </row>
    <row r="1837" spans="30:32" x14ac:dyDescent="0.2">
      <c r="AD1837" s="98">
        <f t="shared" ca="1" si="61"/>
        <v>35.148528405201915</v>
      </c>
      <c r="AE1837" s="99">
        <f t="shared" ca="1" si="60"/>
        <v>54823</v>
      </c>
      <c r="AF1837" s="6">
        <v>2.6298342633279188</v>
      </c>
    </row>
    <row r="1838" spans="30:32" x14ac:dyDescent="0.2">
      <c r="AD1838" s="98">
        <f t="shared" ca="1" si="61"/>
        <v>35.167693360711844</v>
      </c>
      <c r="AE1838" s="99">
        <f t="shared" ca="1" si="60"/>
        <v>54830</v>
      </c>
      <c r="AF1838" s="6">
        <v>2.6295373436076286</v>
      </c>
    </row>
    <row r="1839" spans="30:32" x14ac:dyDescent="0.2">
      <c r="AD1839" s="98">
        <f t="shared" ca="1" si="61"/>
        <v>35.186858316221766</v>
      </c>
      <c r="AE1839" s="99">
        <f t="shared" ca="1" si="60"/>
        <v>54837</v>
      </c>
      <c r="AF1839" s="6">
        <v>2.6292402467689939</v>
      </c>
    </row>
    <row r="1840" spans="30:32" x14ac:dyDescent="0.2">
      <c r="AD1840" s="98">
        <f t="shared" ca="1" si="61"/>
        <v>35.206023271731688</v>
      </c>
      <c r="AE1840" s="99">
        <f t="shared" ca="1" si="60"/>
        <v>54844</v>
      </c>
      <c r="AF1840" s="6">
        <v>2.6289429833787974</v>
      </c>
    </row>
    <row r="1841" spans="30:32" x14ac:dyDescent="0.2">
      <c r="AD1841" s="98">
        <f t="shared" ca="1" si="61"/>
        <v>35.225188227241617</v>
      </c>
      <c r="AE1841" s="99">
        <f t="shared" ca="1" si="60"/>
        <v>54851</v>
      </c>
      <c r="AF1841" s="6">
        <v>2.6286455640095716</v>
      </c>
    </row>
    <row r="1842" spans="30:32" x14ac:dyDescent="0.2">
      <c r="AD1842" s="98">
        <f t="shared" ca="1" si="61"/>
        <v>35.244353182751539</v>
      </c>
      <c r="AE1842" s="99">
        <f t="shared" ca="1" si="60"/>
        <v>54858</v>
      </c>
      <c r="AF1842" s="6">
        <v>2.6283479992385579</v>
      </c>
    </row>
    <row r="1843" spans="30:32" x14ac:dyDescent="0.2">
      <c r="AD1843" s="98">
        <f t="shared" ca="1" si="61"/>
        <v>35.263518138261468</v>
      </c>
      <c r="AE1843" s="99">
        <f t="shared" ca="1" si="60"/>
        <v>54865</v>
      </c>
      <c r="AF1843" s="6">
        <v>2.6280502996466693</v>
      </c>
    </row>
    <row r="1844" spans="30:32" x14ac:dyDescent="0.2">
      <c r="AD1844" s="98">
        <f t="shared" ca="1" si="61"/>
        <v>35.282683093771389</v>
      </c>
      <c r="AE1844" s="99">
        <f t="shared" ca="1" si="60"/>
        <v>54872</v>
      </c>
      <c r="AF1844" s="6">
        <v>2.6277524758174526</v>
      </c>
    </row>
    <row r="1845" spans="30:32" x14ac:dyDescent="0.2">
      <c r="AD1845" s="98">
        <f t="shared" ca="1" si="61"/>
        <v>35.301848049281311</v>
      </c>
      <c r="AE1845" s="99">
        <f t="shared" ca="1" si="60"/>
        <v>54879</v>
      </c>
      <c r="AF1845" s="6">
        <v>2.6274545383360572</v>
      </c>
    </row>
    <row r="1846" spans="30:32" x14ac:dyDescent="0.2">
      <c r="AD1846" s="98">
        <f t="shared" ca="1" si="61"/>
        <v>35.32101300479124</v>
      </c>
      <c r="AE1846" s="99">
        <f t="shared" ca="1" si="60"/>
        <v>54886</v>
      </c>
      <c r="AF1846" s="6">
        <v>2.6271564977881865</v>
      </c>
    </row>
    <row r="1847" spans="30:32" x14ac:dyDescent="0.2">
      <c r="AD1847" s="98">
        <f t="shared" ca="1" si="61"/>
        <v>35.340177960301162</v>
      </c>
      <c r="AE1847" s="99">
        <f t="shared" ca="1" si="60"/>
        <v>54893</v>
      </c>
      <c r="AF1847" s="6">
        <v>2.6268583647590771</v>
      </c>
    </row>
    <row r="1848" spans="30:32" x14ac:dyDescent="0.2">
      <c r="AD1848" s="98">
        <f t="shared" ca="1" si="61"/>
        <v>35.359342915811091</v>
      </c>
      <c r="AE1848" s="99">
        <f t="shared" ca="1" si="60"/>
        <v>54900</v>
      </c>
      <c r="AF1848" s="6">
        <v>2.6265601498324513</v>
      </c>
    </row>
    <row r="1849" spans="30:32" x14ac:dyDescent="0.2">
      <c r="AD1849" s="98">
        <f t="shared" ca="1" si="61"/>
        <v>35.378507871321013</v>
      </c>
      <c r="AE1849" s="99">
        <f t="shared" ca="1" si="60"/>
        <v>54907</v>
      </c>
      <c r="AF1849" s="6">
        <v>2.6262618635894905</v>
      </c>
    </row>
    <row r="1850" spans="30:32" x14ac:dyDescent="0.2">
      <c r="AD1850" s="98">
        <f t="shared" ca="1" si="61"/>
        <v>35.397672826830934</v>
      </c>
      <c r="AE1850" s="99">
        <f t="shared" ca="1" si="60"/>
        <v>54914</v>
      </c>
      <c r="AF1850" s="6">
        <v>2.6259635166078037</v>
      </c>
    </row>
    <row r="1851" spans="30:32" x14ac:dyDescent="0.2">
      <c r="AD1851" s="98">
        <f t="shared" ca="1" si="61"/>
        <v>35.416837782340863</v>
      </c>
      <c r="AE1851" s="99">
        <f t="shared" ca="1" si="60"/>
        <v>54921</v>
      </c>
      <c r="AF1851" s="6">
        <v>2.6256651194603937</v>
      </c>
    </row>
    <row r="1852" spans="30:32" x14ac:dyDescent="0.2">
      <c r="AD1852" s="98">
        <f t="shared" ca="1" si="61"/>
        <v>35.436002737850785</v>
      </c>
      <c r="AE1852" s="99">
        <f t="shared" ca="1" si="60"/>
        <v>54928</v>
      </c>
      <c r="AF1852" s="6">
        <v>2.6253666827146303</v>
      </c>
    </row>
    <row r="1853" spans="30:32" x14ac:dyDescent="0.2">
      <c r="AD1853" s="98">
        <f t="shared" ca="1" si="61"/>
        <v>35.455167693360714</v>
      </c>
      <c r="AE1853" s="99">
        <f t="shared" ca="1" si="60"/>
        <v>54935</v>
      </c>
      <c r="AF1853" s="6">
        <v>2.6250682169312238</v>
      </c>
    </row>
    <row r="1854" spans="30:32" x14ac:dyDescent="0.2">
      <c r="AD1854" s="98">
        <f t="shared" ca="1" si="61"/>
        <v>35.474332648870636</v>
      </c>
      <c r="AE1854" s="99">
        <f t="shared" ca="1" si="60"/>
        <v>54942</v>
      </c>
      <c r="AF1854" s="6">
        <v>2.6247697326632036</v>
      </c>
    </row>
    <row r="1855" spans="30:32" x14ac:dyDescent="0.2">
      <c r="AD1855" s="98">
        <f t="shared" ca="1" si="61"/>
        <v>35.493497604380565</v>
      </c>
      <c r="AE1855" s="99">
        <f t="shared" ca="1" si="60"/>
        <v>54949</v>
      </c>
      <c r="AF1855" s="6">
        <v>2.62447124045489</v>
      </c>
    </row>
    <row r="1856" spans="30:32" x14ac:dyDescent="0.2">
      <c r="AD1856" s="98">
        <f t="shared" ca="1" si="61"/>
        <v>35.512662559890487</v>
      </c>
      <c r="AE1856" s="99">
        <f t="shared" ca="1" si="60"/>
        <v>54956</v>
      </c>
      <c r="AF1856" s="6">
        <v>2.6241727508408852</v>
      </c>
    </row>
    <row r="1857" spans="30:32" x14ac:dyDescent="0.2">
      <c r="AD1857" s="98">
        <f t="shared" ca="1" si="61"/>
        <v>35.531827515400408</v>
      </c>
      <c r="AE1857" s="99">
        <f t="shared" ca="1" si="60"/>
        <v>54963</v>
      </c>
      <c r="AF1857" s="6">
        <v>2.6238742743450465</v>
      </c>
    </row>
    <row r="1858" spans="30:32" x14ac:dyDescent="0.2">
      <c r="AD1858" s="98">
        <f t="shared" ca="1" si="61"/>
        <v>35.550992470910337</v>
      </c>
      <c r="AE1858" s="99">
        <f t="shared" ca="1" si="60"/>
        <v>54970</v>
      </c>
      <c r="AF1858" s="6">
        <v>2.6235758214794811</v>
      </c>
    </row>
    <row r="1859" spans="30:32" x14ac:dyDescent="0.2">
      <c r="AD1859" s="98">
        <f t="shared" ca="1" si="61"/>
        <v>35.570157426420259</v>
      </c>
      <c r="AE1859" s="99">
        <f t="shared" ca="1" si="60"/>
        <v>54977</v>
      </c>
      <c r="AF1859" s="6">
        <v>2.6232774027435353</v>
      </c>
    </row>
    <row r="1860" spans="30:32" x14ac:dyDescent="0.2">
      <c r="AD1860" s="98">
        <f t="shared" ca="1" si="61"/>
        <v>35.589322381930188</v>
      </c>
      <c r="AE1860" s="99">
        <f t="shared" ref="AE1860:AE1923" ca="1" si="62">AE1859+7</f>
        <v>54984</v>
      </c>
      <c r="AF1860" s="6">
        <v>2.6229790286227832</v>
      </c>
    </row>
    <row r="1861" spans="30:32" x14ac:dyDescent="0.2">
      <c r="AD1861" s="98">
        <f t="shared" ref="AD1861:AD1924" ca="1" si="63">(AE1861-$B$3)/365.25</f>
        <v>35.60848733744011</v>
      </c>
      <c r="AE1861" s="99">
        <f t="shared" ca="1" si="62"/>
        <v>54991</v>
      </c>
      <c r="AF1861" s="6">
        <v>2.6226807095880336</v>
      </c>
    </row>
    <row r="1862" spans="30:32" x14ac:dyDescent="0.2">
      <c r="AD1862" s="98">
        <f t="shared" ca="1" si="63"/>
        <v>35.627652292950032</v>
      </c>
      <c r="AE1862" s="99">
        <f t="shared" ca="1" si="62"/>
        <v>54998</v>
      </c>
      <c r="AF1862" s="6">
        <v>2.6223824560943214</v>
      </c>
    </row>
    <row r="1863" spans="30:32" x14ac:dyDescent="0.2">
      <c r="AD1863" s="98">
        <f t="shared" ca="1" si="63"/>
        <v>35.646817248459961</v>
      </c>
      <c r="AE1863" s="99">
        <f t="shared" ca="1" si="62"/>
        <v>55005</v>
      </c>
      <c r="AF1863" s="6">
        <v>2.6220842785799232</v>
      </c>
    </row>
    <row r="1864" spans="30:32" x14ac:dyDescent="0.2">
      <c r="AD1864" s="98">
        <f t="shared" ca="1" si="63"/>
        <v>35.665982203969882</v>
      </c>
      <c r="AE1864" s="99">
        <f t="shared" ca="1" si="62"/>
        <v>55012</v>
      </c>
      <c r="AF1864" s="6">
        <v>2.6217861874653572</v>
      </c>
    </row>
    <row r="1865" spans="30:32" x14ac:dyDescent="0.2">
      <c r="AD1865" s="98">
        <f t="shared" ca="1" si="63"/>
        <v>35.685147159479811</v>
      </c>
      <c r="AE1865" s="99">
        <f t="shared" ca="1" si="62"/>
        <v>55019</v>
      </c>
      <c r="AF1865" s="6">
        <v>2.6214881931524077</v>
      </c>
    </row>
    <row r="1866" spans="30:32" x14ac:dyDescent="0.2">
      <c r="AD1866" s="98">
        <f t="shared" ca="1" si="63"/>
        <v>35.704312114989733</v>
      </c>
      <c r="AE1866" s="99">
        <f t="shared" ca="1" si="62"/>
        <v>55026</v>
      </c>
      <c r="AF1866" s="6">
        <v>2.6211903060231352</v>
      </c>
    </row>
    <row r="1867" spans="30:32" x14ac:dyDescent="0.2">
      <c r="AD1867" s="98">
        <f t="shared" ca="1" si="63"/>
        <v>35.723477070499655</v>
      </c>
      <c r="AE1867" s="99">
        <f t="shared" ca="1" si="62"/>
        <v>55033</v>
      </c>
      <c r="AF1867" s="6">
        <v>2.6208925364389066</v>
      </c>
    </row>
    <row r="1868" spans="30:32" x14ac:dyDescent="0.2">
      <c r="AD1868" s="98">
        <f t="shared" ca="1" si="63"/>
        <v>35.742642026009584</v>
      </c>
      <c r="AE1868" s="99">
        <f t="shared" ca="1" si="62"/>
        <v>55040</v>
      </c>
      <c r="AF1868" s="6">
        <v>2.6205948947394218</v>
      </c>
    </row>
    <row r="1869" spans="30:32" x14ac:dyDescent="0.2">
      <c r="AD1869" s="98">
        <f t="shared" ca="1" si="63"/>
        <v>35.761806981519506</v>
      </c>
      <c r="AE1869" s="99">
        <f t="shared" ca="1" si="62"/>
        <v>55047</v>
      </c>
      <c r="AF1869" s="6">
        <v>2.6202973912417464</v>
      </c>
    </row>
    <row r="1870" spans="30:32" x14ac:dyDescent="0.2">
      <c r="AD1870" s="98">
        <f t="shared" ca="1" si="63"/>
        <v>35.780971937029435</v>
      </c>
      <c r="AE1870" s="99">
        <f t="shared" ca="1" si="62"/>
        <v>55054</v>
      </c>
      <c r="AF1870" s="6">
        <v>2.6200000362393565</v>
      </c>
    </row>
    <row r="1871" spans="30:32" x14ac:dyDescent="0.2">
      <c r="AD1871" s="98">
        <f t="shared" ca="1" si="63"/>
        <v>35.800136892539356</v>
      </c>
      <c r="AE1871" s="99">
        <f t="shared" ca="1" si="62"/>
        <v>55061</v>
      </c>
      <c r="AF1871" s="6">
        <v>2.619702840001179</v>
      </c>
    </row>
    <row r="1872" spans="30:32" x14ac:dyDescent="0.2">
      <c r="AD1872" s="98">
        <f t="shared" ca="1" si="63"/>
        <v>35.819301848049278</v>
      </c>
      <c r="AE1872" s="99">
        <f t="shared" ca="1" si="62"/>
        <v>55068</v>
      </c>
      <c r="AF1872" s="6">
        <v>2.6194058127706432</v>
      </c>
    </row>
    <row r="1873" spans="30:32" x14ac:dyDescent="0.2">
      <c r="AD1873" s="98">
        <f t="shared" ca="1" si="63"/>
        <v>35.838466803559207</v>
      </c>
      <c r="AE1873" s="99">
        <f t="shared" ca="1" si="62"/>
        <v>55075</v>
      </c>
      <c r="AF1873" s="6">
        <v>2.6191089647647403</v>
      </c>
    </row>
    <row r="1874" spans="30:32" x14ac:dyDescent="0.2">
      <c r="AD1874" s="98">
        <f t="shared" ca="1" si="63"/>
        <v>35.857631759069129</v>
      </c>
      <c r="AE1874" s="99">
        <f t="shared" ca="1" si="62"/>
        <v>55082</v>
      </c>
      <c r="AF1874" s="6">
        <v>2.6188123061730848</v>
      </c>
    </row>
    <row r="1875" spans="30:32" x14ac:dyDescent="0.2">
      <c r="AD1875" s="98">
        <f t="shared" ca="1" si="63"/>
        <v>35.876796714579058</v>
      </c>
      <c r="AE1875" s="99">
        <f t="shared" ca="1" si="62"/>
        <v>55089</v>
      </c>
      <c r="AF1875" s="6">
        <v>2.6185158471569858</v>
      </c>
    </row>
    <row r="1876" spans="30:32" x14ac:dyDescent="0.2">
      <c r="AD1876" s="98">
        <f t="shared" ca="1" si="63"/>
        <v>35.89596167008898</v>
      </c>
      <c r="AE1876" s="99">
        <f t="shared" ca="1" si="62"/>
        <v>55096</v>
      </c>
      <c r="AF1876" s="6">
        <v>2.6182195978485221</v>
      </c>
    </row>
    <row r="1877" spans="30:32" x14ac:dyDescent="0.2">
      <c r="AD1877" s="98">
        <f t="shared" ca="1" si="63"/>
        <v>35.915126625598901</v>
      </c>
      <c r="AE1877" s="99">
        <f t="shared" ca="1" si="62"/>
        <v>55103</v>
      </c>
      <c r="AF1877" s="6">
        <v>2.6179235683496196</v>
      </c>
    </row>
    <row r="1878" spans="30:32" x14ac:dyDescent="0.2">
      <c r="AD1878" s="98">
        <f t="shared" ca="1" si="63"/>
        <v>35.93429158110883</v>
      </c>
      <c r="AE1878" s="99">
        <f t="shared" ca="1" si="62"/>
        <v>55110</v>
      </c>
      <c r="AF1878" s="6">
        <v>2.6176277687311522</v>
      </c>
    </row>
    <row r="1879" spans="30:32" x14ac:dyDescent="0.2">
      <c r="AD1879" s="98">
        <f t="shared" ca="1" si="63"/>
        <v>35.953456536618752</v>
      </c>
      <c r="AE1879" s="99">
        <f t="shared" ca="1" si="62"/>
        <v>55117</v>
      </c>
      <c r="AF1879" s="6">
        <v>2.6173322090320279</v>
      </c>
    </row>
    <row r="1880" spans="30:32" x14ac:dyDescent="0.2">
      <c r="AD1880" s="98">
        <f t="shared" ca="1" si="63"/>
        <v>35.972621492128681</v>
      </c>
      <c r="AE1880" s="99">
        <f t="shared" ca="1" si="62"/>
        <v>55124</v>
      </c>
      <c r="AF1880" s="6">
        <v>2.6170368992582946</v>
      </c>
    </row>
    <row r="1881" spans="30:32" x14ac:dyDescent="0.2">
      <c r="AD1881" s="98">
        <f t="shared" ca="1" si="63"/>
        <v>35.991786447638603</v>
      </c>
      <c r="AE1881" s="99">
        <f t="shared" ca="1" si="62"/>
        <v>55131</v>
      </c>
      <c r="AF1881" s="6">
        <v>2.6167418493822572</v>
      </c>
    </row>
    <row r="1882" spans="30:32" x14ac:dyDescent="0.2">
      <c r="AD1882" s="98">
        <f t="shared" ca="1" si="63"/>
        <v>36.010951403148532</v>
      </c>
      <c r="AE1882" s="99">
        <f t="shared" ca="1" si="62"/>
        <v>55138</v>
      </c>
      <c r="AF1882" s="6">
        <v>2.6164470693415884</v>
      </c>
    </row>
    <row r="1883" spans="30:32" x14ac:dyDescent="0.2">
      <c r="AD1883" s="98">
        <f t="shared" ca="1" si="63"/>
        <v>36.030116358658454</v>
      </c>
      <c r="AE1883" s="99">
        <f t="shared" ca="1" si="62"/>
        <v>55145</v>
      </c>
      <c r="AF1883" s="6">
        <v>2.6161525690384546</v>
      </c>
    </row>
    <row r="1884" spans="30:32" x14ac:dyDescent="0.2">
      <c r="AD1884" s="98">
        <f t="shared" ca="1" si="63"/>
        <v>36.049281314168375</v>
      </c>
      <c r="AE1884" s="99">
        <f t="shared" ca="1" si="62"/>
        <v>55152</v>
      </c>
      <c r="AF1884" s="6">
        <v>2.6158583583386581</v>
      </c>
    </row>
    <row r="1885" spans="30:32" x14ac:dyDescent="0.2">
      <c r="AD1885" s="98">
        <f t="shared" ca="1" si="63"/>
        <v>36.068446269678304</v>
      </c>
      <c r="AE1885" s="99">
        <f t="shared" ca="1" si="62"/>
        <v>55159</v>
      </c>
      <c r="AF1885" s="6">
        <v>2.6155644470707693</v>
      </c>
    </row>
    <row r="1886" spans="30:32" x14ac:dyDescent="0.2">
      <c r="AD1886" s="98">
        <f t="shared" ca="1" si="63"/>
        <v>36.087611225188226</v>
      </c>
      <c r="AE1886" s="99">
        <f t="shared" ca="1" si="62"/>
        <v>55166</v>
      </c>
      <c r="AF1886" s="6">
        <v>2.6152708450252811</v>
      </c>
    </row>
    <row r="1887" spans="30:32" x14ac:dyDescent="0.2">
      <c r="AD1887" s="98">
        <f t="shared" ca="1" si="63"/>
        <v>36.106776180698155</v>
      </c>
      <c r="AE1887" s="99">
        <f t="shared" ca="1" si="62"/>
        <v>55173</v>
      </c>
      <c r="AF1887" s="6">
        <v>2.6149775619537641</v>
      </c>
    </row>
    <row r="1888" spans="30:32" x14ac:dyDescent="0.2">
      <c r="AD1888" s="98">
        <f t="shared" ca="1" si="63"/>
        <v>36.125941136208077</v>
      </c>
      <c r="AE1888" s="99">
        <f t="shared" ca="1" si="62"/>
        <v>55180</v>
      </c>
      <c r="AF1888" s="6">
        <v>2.6146846075680372</v>
      </c>
    </row>
    <row r="1889" spans="30:32" x14ac:dyDescent="0.2">
      <c r="AD1889" s="98">
        <f t="shared" ca="1" si="63"/>
        <v>36.145106091717999</v>
      </c>
      <c r="AE1889" s="99">
        <f t="shared" ca="1" si="62"/>
        <v>55187</v>
      </c>
      <c r="AF1889" s="6">
        <v>2.6143919915393372</v>
      </c>
    </row>
    <row r="1890" spans="30:32" x14ac:dyDescent="0.2">
      <c r="AD1890" s="98">
        <f t="shared" ca="1" si="63"/>
        <v>36.164271047227928</v>
      </c>
      <c r="AE1890" s="99">
        <f t="shared" ca="1" si="62"/>
        <v>55194</v>
      </c>
      <c r="AF1890" s="6">
        <v>2.614099723497505</v>
      </c>
    </row>
    <row r="1891" spans="30:32" x14ac:dyDescent="0.2">
      <c r="AD1891" s="98">
        <f t="shared" ca="1" si="63"/>
        <v>36.183436002737849</v>
      </c>
      <c r="AE1891" s="99">
        <f t="shared" ca="1" si="62"/>
        <v>55201</v>
      </c>
      <c r="AF1891" s="6">
        <v>2.6138078130301774</v>
      </c>
    </row>
    <row r="1892" spans="30:32" x14ac:dyDescent="0.2">
      <c r="AD1892" s="98">
        <f t="shared" ca="1" si="63"/>
        <v>36.202600958247778</v>
      </c>
      <c r="AE1892" s="99">
        <f t="shared" ca="1" si="62"/>
        <v>55208</v>
      </c>
      <c r="AF1892" s="6">
        <v>2.6135162696819858</v>
      </c>
    </row>
    <row r="1893" spans="30:32" x14ac:dyDescent="0.2">
      <c r="AD1893" s="98">
        <f t="shared" ca="1" si="63"/>
        <v>36.2217659137577</v>
      </c>
      <c r="AE1893" s="99">
        <f t="shared" ca="1" si="62"/>
        <v>55215</v>
      </c>
      <c r="AF1893" s="6">
        <v>2.6132251029537716</v>
      </c>
    </row>
    <row r="1894" spans="30:32" x14ac:dyDescent="0.2">
      <c r="AD1894" s="98">
        <f t="shared" ca="1" si="63"/>
        <v>36.240930869267622</v>
      </c>
      <c r="AE1894" s="99">
        <f t="shared" ca="1" si="62"/>
        <v>55222</v>
      </c>
      <c r="AF1894" s="6">
        <v>2.612934322301796</v>
      </c>
    </row>
    <row r="1895" spans="30:32" x14ac:dyDescent="0.2">
      <c r="AD1895" s="98">
        <f t="shared" ca="1" si="63"/>
        <v>36.260095824777551</v>
      </c>
      <c r="AE1895" s="99">
        <f t="shared" ca="1" si="62"/>
        <v>55229</v>
      </c>
      <c r="AF1895" s="6">
        <v>2.6126439371369781</v>
      </c>
    </row>
    <row r="1896" spans="30:32" x14ac:dyDescent="0.2">
      <c r="AD1896" s="98">
        <f t="shared" ca="1" si="63"/>
        <v>36.279260780287473</v>
      </c>
      <c r="AE1896" s="99">
        <f t="shared" ca="1" si="62"/>
        <v>55236</v>
      </c>
      <c r="AF1896" s="6">
        <v>2.6123539568241236</v>
      </c>
    </row>
    <row r="1897" spans="30:32" x14ac:dyDescent="0.2">
      <c r="AD1897" s="98">
        <f t="shared" ca="1" si="63"/>
        <v>36.298425735797402</v>
      </c>
      <c r="AE1897" s="99">
        <f t="shared" ca="1" si="62"/>
        <v>55243</v>
      </c>
      <c r="AF1897" s="6">
        <v>2.6120643906811813</v>
      </c>
    </row>
    <row r="1898" spans="30:32" x14ac:dyDescent="0.2">
      <c r="AD1898" s="98">
        <f t="shared" ca="1" si="63"/>
        <v>36.317590691307323</v>
      </c>
      <c r="AE1898" s="99">
        <f t="shared" ca="1" si="62"/>
        <v>55250</v>
      </c>
      <c r="AF1898" s="6">
        <v>2.6117752479784904</v>
      </c>
    </row>
    <row r="1899" spans="30:32" x14ac:dyDescent="0.2">
      <c r="AD1899" s="98">
        <f t="shared" ca="1" si="63"/>
        <v>36.336755646817245</v>
      </c>
      <c r="AE1899" s="99">
        <f t="shared" ca="1" si="62"/>
        <v>55257</v>
      </c>
      <c r="AF1899" s="6">
        <v>2.6114865379380516</v>
      </c>
    </row>
    <row r="1900" spans="30:32" x14ac:dyDescent="0.2">
      <c r="AD1900" s="98">
        <f t="shared" ca="1" si="63"/>
        <v>36.355920602327174</v>
      </c>
      <c r="AE1900" s="99">
        <f t="shared" ca="1" si="62"/>
        <v>55264</v>
      </c>
      <c r="AF1900" s="6">
        <v>2.6111982697328049</v>
      </c>
    </row>
    <row r="1901" spans="30:32" x14ac:dyDescent="0.2">
      <c r="AD1901" s="98">
        <f t="shared" ca="1" si="63"/>
        <v>36.375085557837096</v>
      </c>
      <c r="AE1901" s="99">
        <f t="shared" ca="1" si="62"/>
        <v>55271</v>
      </c>
      <c r="AF1901" s="6">
        <v>2.6109104524859106</v>
      </c>
    </row>
    <row r="1902" spans="30:32" x14ac:dyDescent="0.2">
      <c r="AD1902" s="98">
        <f t="shared" ca="1" si="63"/>
        <v>36.394250513347025</v>
      </c>
      <c r="AE1902" s="99">
        <f t="shared" ca="1" si="62"/>
        <v>55278</v>
      </c>
      <c r="AF1902" s="6">
        <v>2.6106230952700478</v>
      </c>
    </row>
    <row r="1903" spans="30:32" x14ac:dyDescent="0.2">
      <c r="AD1903" s="98">
        <f t="shared" ca="1" si="63"/>
        <v>36.413415468856947</v>
      </c>
      <c r="AE1903" s="99">
        <f t="shared" ca="1" si="62"/>
        <v>55285</v>
      </c>
      <c r="AF1903" s="6">
        <v>2.6103362071067213</v>
      </c>
    </row>
    <row r="1904" spans="30:32" x14ac:dyDescent="0.2">
      <c r="AD1904" s="98">
        <f t="shared" ca="1" si="63"/>
        <v>36.432580424366868</v>
      </c>
      <c r="AE1904" s="99">
        <f t="shared" ca="1" si="62"/>
        <v>55292</v>
      </c>
      <c r="AF1904" s="6">
        <v>2.6100497969655772</v>
      </c>
    </row>
    <row r="1905" spans="30:32" x14ac:dyDescent="0.2">
      <c r="AD1905" s="98">
        <f t="shared" ca="1" si="63"/>
        <v>36.451745379876797</v>
      </c>
      <c r="AE1905" s="99">
        <f t="shared" ca="1" si="62"/>
        <v>55299</v>
      </c>
      <c r="AF1905" s="6">
        <v>2.6097638737637281</v>
      </c>
    </row>
    <row r="1906" spans="30:32" x14ac:dyDescent="0.2">
      <c r="AD1906" s="98">
        <f t="shared" ca="1" si="63"/>
        <v>36.470910335386719</v>
      </c>
      <c r="AE1906" s="99">
        <f t="shared" ca="1" si="62"/>
        <v>55306</v>
      </c>
      <c r="AF1906" s="6">
        <v>2.6094784463650904</v>
      </c>
    </row>
    <row r="1907" spans="30:32" x14ac:dyDescent="0.2">
      <c r="AD1907" s="98">
        <f t="shared" ca="1" si="63"/>
        <v>36.490075290896648</v>
      </c>
      <c r="AE1907" s="99">
        <f t="shared" ca="1" si="62"/>
        <v>55313</v>
      </c>
      <c r="AF1907" s="6">
        <v>2.6091935235797319</v>
      </c>
    </row>
    <row r="1908" spans="30:32" x14ac:dyDescent="0.2">
      <c r="AD1908" s="98">
        <f t="shared" ca="1" si="63"/>
        <v>36.50924024640657</v>
      </c>
      <c r="AE1908" s="99">
        <f t="shared" ca="1" si="62"/>
        <v>55320</v>
      </c>
      <c r="AF1908" s="6">
        <v>2.6089091141632301</v>
      </c>
    </row>
    <row r="1909" spans="30:32" x14ac:dyDescent="0.2">
      <c r="AD1909" s="98">
        <f t="shared" ca="1" si="63"/>
        <v>36.528405201916499</v>
      </c>
      <c r="AE1909" s="99">
        <f t="shared" ca="1" si="62"/>
        <v>55327</v>
      </c>
      <c r="AF1909" s="6">
        <v>2.6086252268160401</v>
      </c>
    </row>
    <row r="1910" spans="30:32" x14ac:dyDescent="0.2">
      <c r="AD1910" s="98">
        <f t="shared" ca="1" si="63"/>
        <v>36.547570157426421</v>
      </c>
      <c r="AE1910" s="99">
        <f t="shared" ca="1" si="62"/>
        <v>55334</v>
      </c>
      <c r="AF1910" s="6">
        <v>2.6083418701828718</v>
      </c>
    </row>
    <row r="1911" spans="30:32" x14ac:dyDescent="0.2">
      <c r="AD1911" s="98">
        <f t="shared" ca="1" si="63"/>
        <v>36.566735112936342</v>
      </c>
      <c r="AE1911" s="99">
        <f t="shared" ca="1" si="62"/>
        <v>55341</v>
      </c>
      <c r="AF1911" s="6">
        <v>2.6080590528520808</v>
      </c>
    </row>
    <row r="1912" spans="30:32" x14ac:dyDescent="0.2">
      <c r="AD1912" s="98">
        <f t="shared" ca="1" si="63"/>
        <v>36.585900068446271</v>
      </c>
      <c r="AE1912" s="99">
        <f t="shared" ca="1" si="62"/>
        <v>55348</v>
      </c>
      <c r="AF1912" s="6">
        <v>2.6077767833550705</v>
      </c>
    </row>
    <row r="1913" spans="30:32" x14ac:dyDescent="0.2">
      <c r="AD1913" s="98">
        <f t="shared" ca="1" si="63"/>
        <v>36.605065023956193</v>
      </c>
      <c r="AE1913" s="99">
        <f t="shared" ca="1" si="62"/>
        <v>55355</v>
      </c>
      <c r="AF1913" s="6">
        <v>2.6074950701656996</v>
      </c>
    </row>
    <row r="1914" spans="30:32" x14ac:dyDescent="0.2">
      <c r="AD1914" s="98">
        <f t="shared" ca="1" si="63"/>
        <v>36.624229979466122</v>
      </c>
      <c r="AE1914" s="99">
        <f t="shared" ca="1" si="62"/>
        <v>55362</v>
      </c>
      <c r="AF1914" s="6">
        <v>2.607213921699707</v>
      </c>
    </row>
    <row r="1915" spans="30:32" x14ac:dyDescent="0.2">
      <c r="AD1915" s="98">
        <f t="shared" ca="1" si="63"/>
        <v>36.643394934976044</v>
      </c>
      <c r="AE1915" s="99">
        <f t="shared" ca="1" si="62"/>
        <v>55369</v>
      </c>
      <c r="AF1915" s="6">
        <v>2.6069333463141446</v>
      </c>
    </row>
    <row r="1916" spans="30:32" x14ac:dyDescent="0.2">
      <c r="AD1916" s="98">
        <f t="shared" ca="1" si="63"/>
        <v>36.662559890485966</v>
      </c>
      <c r="AE1916" s="99">
        <f t="shared" ca="1" si="62"/>
        <v>55376</v>
      </c>
      <c r="AF1916" s="6">
        <v>2.6066533523068216</v>
      </c>
    </row>
    <row r="1917" spans="30:32" x14ac:dyDescent="0.2">
      <c r="AD1917" s="98">
        <f t="shared" ca="1" si="63"/>
        <v>36.681724845995895</v>
      </c>
      <c r="AE1917" s="99">
        <f t="shared" ca="1" si="62"/>
        <v>55383</v>
      </c>
      <c r="AF1917" s="6">
        <v>2.6063739479157584</v>
      </c>
    </row>
    <row r="1918" spans="30:32" x14ac:dyDescent="0.2">
      <c r="AD1918" s="98">
        <f t="shared" ca="1" si="63"/>
        <v>36.700889801505816</v>
      </c>
      <c r="AE1918" s="99">
        <f t="shared" ca="1" si="62"/>
        <v>55390</v>
      </c>
      <c r="AF1918" s="6">
        <v>2.6060951413186513</v>
      </c>
    </row>
    <row r="1919" spans="30:32" x14ac:dyDescent="0.2">
      <c r="AD1919" s="98">
        <f t="shared" ca="1" si="63"/>
        <v>36.720054757015745</v>
      </c>
      <c r="AE1919" s="99">
        <f t="shared" ca="1" si="62"/>
        <v>55397</v>
      </c>
      <c r="AF1919" s="6">
        <v>2.605816940632355</v>
      </c>
    </row>
    <row r="1920" spans="30:32" x14ac:dyDescent="0.2">
      <c r="AD1920" s="98">
        <f t="shared" ca="1" si="63"/>
        <v>36.739219712525667</v>
      </c>
      <c r="AE1920" s="99">
        <f t="shared" ca="1" si="62"/>
        <v>55404</v>
      </c>
      <c r="AF1920" s="6">
        <v>2.6055393539123686</v>
      </c>
    </row>
    <row r="1921" spans="30:32" x14ac:dyDescent="0.2">
      <c r="AD1921" s="98">
        <f t="shared" ca="1" si="63"/>
        <v>36.758384668035589</v>
      </c>
      <c r="AE1921" s="99">
        <f t="shared" ca="1" si="62"/>
        <v>55411</v>
      </c>
      <c r="AF1921" s="6">
        <v>2.6052623891523301</v>
      </c>
    </row>
    <row r="1922" spans="30:32" x14ac:dyDescent="0.2">
      <c r="AD1922" s="98">
        <f t="shared" ca="1" si="63"/>
        <v>36.777549623545518</v>
      </c>
      <c r="AE1922" s="99">
        <f t="shared" ca="1" si="62"/>
        <v>55418</v>
      </c>
      <c r="AF1922" s="6">
        <v>2.604986054283541</v>
      </c>
    </row>
    <row r="1923" spans="30:32" x14ac:dyDescent="0.2">
      <c r="AD1923" s="98">
        <f t="shared" ca="1" si="63"/>
        <v>36.79671457905544</v>
      </c>
      <c r="AE1923" s="99">
        <f t="shared" ca="1" si="62"/>
        <v>55425</v>
      </c>
      <c r="AF1923" s="6">
        <v>2.6047103571744712</v>
      </c>
    </row>
    <row r="1924" spans="30:32" x14ac:dyDescent="0.2">
      <c r="AD1924" s="98">
        <f t="shared" ca="1" si="63"/>
        <v>36.815879534565369</v>
      </c>
      <c r="AE1924" s="99">
        <f t="shared" ref="AE1924:AE1987" ca="1" si="64">AE1923+7</f>
        <v>55432</v>
      </c>
      <c r="AF1924" s="6">
        <v>2.6044353056303065</v>
      </c>
    </row>
    <row r="1925" spans="30:32" x14ac:dyDescent="0.2">
      <c r="AD1925" s="98">
        <f t="shared" ref="AD1925:AD1988" ca="1" si="65">(AE1925-$B$3)/365.25</f>
        <v>36.83504449007529</v>
      </c>
      <c r="AE1925" s="99">
        <f t="shared" ca="1" si="64"/>
        <v>55439</v>
      </c>
      <c r="AF1925" s="6">
        <v>2.6041609073924876</v>
      </c>
    </row>
    <row r="1926" spans="30:32" x14ac:dyDescent="0.2">
      <c r="AD1926" s="98">
        <f t="shared" ca="1" si="65"/>
        <v>36.854209445585212</v>
      </c>
      <c r="AE1926" s="99">
        <f t="shared" ca="1" si="64"/>
        <v>55446</v>
      </c>
      <c r="AF1926" s="6">
        <v>2.6038871701382669</v>
      </c>
    </row>
    <row r="1927" spans="30:32" x14ac:dyDescent="0.2">
      <c r="AD1927" s="98">
        <f t="shared" ca="1" si="65"/>
        <v>36.873374401095141</v>
      </c>
      <c r="AE1927" s="99">
        <f t="shared" ca="1" si="64"/>
        <v>55453</v>
      </c>
      <c r="AF1927" s="6">
        <v>2.6036141014802761</v>
      </c>
    </row>
    <row r="1928" spans="30:32" x14ac:dyDescent="0.2">
      <c r="AD1928" s="98">
        <f t="shared" ca="1" si="65"/>
        <v>36.892539356605063</v>
      </c>
      <c r="AE1928" s="99">
        <f t="shared" ca="1" si="64"/>
        <v>55460</v>
      </c>
      <c r="AF1928" s="6">
        <v>2.6033417089661075</v>
      </c>
    </row>
    <row r="1929" spans="30:32" x14ac:dyDescent="0.2">
      <c r="AD1929" s="98">
        <f t="shared" ca="1" si="65"/>
        <v>36.911704312114992</v>
      </c>
      <c r="AE1929" s="99">
        <f t="shared" ca="1" si="64"/>
        <v>55467</v>
      </c>
      <c r="AF1929" s="6">
        <v>2.603070000077901</v>
      </c>
    </row>
    <row r="1930" spans="30:32" x14ac:dyDescent="0.2">
      <c r="AD1930" s="98">
        <f t="shared" ca="1" si="65"/>
        <v>36.930869267624914</v>
      </c>
      <c r="AE1930" s="99">
        <f t="shared" ca="1" si="64"/>
        <v>55474</v>
      </c>
      <c r="AF1930" s="6">
        <v>2.6027989822319486</v>
      </c>
    </row>
    <row r="1931" spans="30:32" x14ac:dyDescent="0.2">
      <c r="AD1931" s="98">
        <f t="shared" ca="1" si="65"/>
        <v>36.950034223134843</v>
      </c>
      <c r="AE1931" s="99">
        <f t="shared" ca="1" si="64"/>
        <v>55481</v>
      </c>
      <c r="AF1931" s="6">
        <v>2.6025286627783077</v>
      </c>
    </row>
    <row r="1932" spans="30:32" x14ac:dyDescent="0.2">
      <c r="AD1932" s="98">
        <f t="shared" ca="1" si="65"/>
        <v>36.969199178644764</v>
      </c>
      <c r="AE1932" s="99">
        <f t="shared" ca="1" si="64"/>
        <v>55488</v>
      </c>
      <c r="AF1932" s="6">
        <v>2.6022590490004225</v>
      </c>
    </row>
    <row r="1933" spans="30:32" x14ac:dyDescent="0.2">
      <c r="AD1933" s="98">
        <f t="shared" ca="1" si="65"/>
        <v>36.988364134154686</v>
      </c>
      <c r="AE1933" s="99">
        <f t="shared" ca="1" si="64"/>
        <v>55495</v>
      </c>
      <c r="AF1933" s="6">
        <v>2.6019901481147643</v>
      </c>
    </row>
    <row r="1934" spans="30:32" x14ac:dyDescent="0.2">
      <c r="AD1934" s="98">
        <f t="shared" ca="1" si="65"/>
        <v>37.007529089664615</v>
      </c>
      <c r="AE1934" s="99">
        <f t="shared" ca="1" si="64"/>
        <v>55502</v>
      </c>
      <c r="AF1934" s="6">
        <v>2.6017219672704788</v>
      </c>
    </row>
    <row r="1935" spans="30:32" x14ac:dyDescent="0.2">
      <c r="AD1935" s="98">
        <f t="shared" ca="1" si="65"/>
        <v>37.026694045174537</v>
      </c>
      <c r="AE1935" s="99">
        <f t="shared" ca="1" si="64"/>
        <v>55509</v>
      </c>
      <c r="AF1935" s="6">
        <v>2.6014545135490388</v>
      </c>
    </row>
    <row r="1936" spans="30:32" x14ac:dyDescent="0.2">
      <c r="AD1936" s="98">
        <f t="shared" ca="1" si="65"/>
        <v>37.045859000684466</v>
      </c>
      <c r="AE1936" s="99">
        <f t="shared" ca="1" si="64"/>
        <v>55516</v>
      </c>
      <c r="AF1936" s="6">
        <v>2.6011877939639243</v>
      </c>
    </row>
    <row r="1937" spans="30:32" x14ac:dyDescent="0.2">
      <c r="AD1937" s="98">
        <f t="shared" ca="1" si="65"/>
        <v>37.065023956194388</v>
      </c>
      <c r="AE1937" s="99">
        <f t="shared" ca="1" si="64"/>
        <v>55523</v>
      </c>
      <c r="AF1937" s="6">
        <v>2.6009218154602944</v>
      </c>
    </row>
    <row r="1938" spans="30:32" x14ac:dyDescent="0.2">
      <c r="AD1938" s="98">
        <f t="shared" ca="1" si="65"/>
        <v>37.08418891170431</v>
      </c>
      <c r="AE1938" s="99">
        <f t="shared" ca="1" si="64"/>
        <v>55530</v>
      </c>
      <c r="AF1938" s="6">
        <v>2.6006565849146872</v>
      </c>
    </row>
    <row r="1939" spans="30:32" x14ac:dyDescent="0.2">
      <c r="AD1939" s="98">
        <f t="shared" ca="1" si="65"/>
        <v>37.103353867214238</v>
      </c>
      <c r="AE1939" s="99">
        <f t="shared" ca="1" si="64"/>
        <v>55537</v>
      </c>
      <c r="AF1939" s="6">
        <v>2.6003921091347224</v>
      </c>
    </row>
    <row r="1940" spans="30:32" x14ac:dyDescent="0.2">
      <c r="AD1940" s="98">
        <f t="shared" ca="1" si="65"/>
        <v>37.12251882272416</v>
      </c>
      <c r="AE1940" s="99">
        <f t="shared" ca="1" si="64"/>
        <v>55544</v>
      </c>
      <c r="AF1940" s="6">
        <v>2.6001283948588148</v>
      </c>
    </row>
    <row r="1941" spans="30:32" x14ac:dyDescent="0.2">
      <c r="AD1941" s="98">
        <f t="shared" ca="1" si="65"/>
        <v>37.141683778234089</v>
      </c>
      <c r="AE1941" s="99">
        <f t="shared" ca="1" si="64"/>
        <v>55551</v>
      </c>
      <c r="AF1941" s="6">
        <v>2.5998654487559021</v>
      </c>
    </row>
    <row r="1942" spans="30:32" x14ac:dyDescent="0.2">
      <c r="AD1942" s="98">
        <f t="shared" ca="1" si="65"/>
        <v>37.160848733744011</v>
      </c>
      <c r="AE1942" s="99">
        <f t="shared" ca="1" si="64"/>
        <v>55558</v>
      </c>
      <c r="AF1942" s="6">
        <v>2.5996032774251869</v>
      </c>
    </row>
    <row r="1943" spans="30:32" x14ac:dyDescent="0.2">
      <c r="AD1943" s="98">
        <f t="shared" ca="1" si="65"/>
        <v>37.180013689253933</v>
      </c>
      <c r="AE1943" s="99">
        <f t="shared" ca="1" si="64"/>
        <v>55565</v>
      </c>
      <c r="AF1943" s="6">
        <v>2.5993418873958807</v>
      </c>
    </row>
    <row r="1944" spans="30:32" x14ac:dyDescent="0.2">
      <c r="AD1944" s="98">
        <f t="shared" ca="1" si="65"/>
        <v>37.199178644763862</v>
      </c>
      <c r="AE1944" s="99">
        <f t="shared" ca="1" si="64"/>
        <v>55572</v>
      </c>
      <c r="AF1944" s="6">
        <v>2.5990812851269669</v>
      </c>
    </row>
    <row r="1945" spans="30:32" x14ac:dyDescent="0.2">
      <c r="AD1945" s="98">
        <f t="shared" ca="1" si="65"/>
        <v>37.218343600273784</v>
      </c>
      <c r="AE1945" s="99">
        <f t="shared" ca="1" si="64"/>
        <v>55579</v>
      </c>
      <c r="AF1945" s="6">
        <v>2.598821477006974</v>
      </c>
    </row>
    <row r="1946" spans="30:32" x14ac:dyDescent="0.2">
      <c r="AD1946" s="98">
        <f t="shared" ca="1" si="65"/>
        <v>37.237508555783712</v>
      </c>
      <c r="AE1946" s="99">
        <f t="shared" ca="1" si="64"/>
        <v>55586</v>
      </c>
      <c r="AF1946" s="6">
        <v>2.5985624693537557</v>
      </c>
    </row>
    <row r="1947" spans="30:32" x14ac:dyDescent="0.2">
      <c r="AD1947" s="98">
        <f t="shared" ca="1" si="65"/>
        <v>37.256673511293634</v>
      </c>
      <c r="AE1947" s="99">
        <f t="shared" ca="1" si="64"/>
        <v>55593</v>
      </c>
      <c r="AF1947" s="6">
        <v>2.5983042684142874</v>
      </c>
    </row>
    <row r="1948" spans="30:32" x14ac:dyDescent="0.2">
      <c r="AD1948" s="98">
        <f t="shared" ca="1" si="65"/>
        <v>37.275838466803556</v>
      </c>
      <c r="AE1948" s="99">
        <f t="shared" ca="1" si="64"/>
        <v>55600</v>
      </c>
      <c r="AF1948" s="6">
        <v>2.5980468803644698</v>
      </c>
    </row>
    <row r="1949" spans="30:32" x14ac:dyDescent="0.2">
      <c r="AD1949" s="98">
        <f t="shared" ca="1" si="65"/>
        <v>37.295003422313485</v>
      </c>
      <c r="AE1949" s="99">
        <f t="shared" ca="1" si="64"/>
        <v>55607</v>
      </c>
      <c r="AF1949" s="6">
        <v>2.5977903113089487</v>
      </c>
    </row>
    <row r="1950" spans="30:32" x14ac:dyDescent="0.2">
      <c r="AD1950" s="98">
        <f t="shared" ca="1" si="65"/>
        <v>37.314168377823407</v>
      </c>
      <c r="AE1950" s="99">
        <f t="shared" ca="1" si="64"/>
        <v>55614</v>
      </c>
      <c r="AF1950" s="6">
        <v>2.5975345672809342</v>
      </c>
    </row>
    <row r="1951" spans="30:32" x14ac:dyDescent="0.2">
      <c r="AD1951" s="98">
        <f t="shared" ca="1" si="65"/>
        <v>37.333333333333336</v>
      </c>
      <c r="AE1951" s="99">
        <f t="shared" ca="1" si="64"/>
        <v>55621</v>
      </c>
      <c r="AF1951" s="6">
        <v>2.5972796542420475</v>
      </c>
    </row>
    <row r="1952" spans="30:32" x14ac:dyDescent="0.2">
      <c r="AD1952" s="98">
        <f t="shared" ca="1" si="65"/>
        <v>37.352498288843258</v>
      </c>
      <c r="AE1952" s="99">
        <f t="shared" ca="1" si="64"/>
        <v>55628</v>
      </c>
      <c r="AF1952" s="6">
        <v>2.5970255780821629</v>
      </c>
    </row>
    <row r="1953" spans="30:32" x14ac:dyDescent="0.2">
      <c r="AD1953" s="98">
        <f t="shared" ca="1" si="65"/>
        <v>37.371663244353179</v>
      </c>
      <c r="AE1953" s="99">
        <f t="shared" ca="1" si="64"/>
        <v>55635</v>
      </c>
      <c r="AF1953" s="6">
        <v>2.5967723446192728</v>
      </c>
    </row>
    <row r="1954" spans="30:32" x14ac:dyDescent="0.2">
      <c r="AD1954" s="98">
        <f t="shared" ca="1" si="65"/>
        <v>37.390828199863108</v>
      </c>
      <c r="AE1954" s="99">
        <f t="shared" ca="1" si="64"/>
        <v>55642</v>
      </c>
      <c r="AF1954" s="6">
        <v>2.596519959599354</v>
      </c>
    </row>
    <row r="1955" spans="30:32" x14ac:dyDescent="0.2">
      <c r="AD1955" s="98">
        <f t="shared" ca="1" si="65"/>
        <v>37.40999315537303</v>
      </c>
      <c r="AE1955" s="99">
        <f t="shared" ca="1" si="64"/>
        <v>55649</v>
      </c>
      <c r="AF1955" s="6">
        <v>2.5962684286962507</v>
      </c>
    </row>
    <row r="1956" spans="30:32" x14ac:dyDescent="0.2">
      <c r="AD1956" s="98">
        <f t="shared" ca="1" si="65"/>
        <v>37.429158110882959</v>
      </c>
      <c r="AE1956" s="99">
        <f t="shared" ca="1" si="64"/>
        <v>55656</v>
      </c>
      <c r="AF1956" s="6">
        <v>2.5960177575115662</v>
      </c>
    </row>
    <row r="1957" spans="30:32" x14ac:dyDescent="0.2">
      <c r="AD1957" s="98">
        <f t="shared" ca="1" si="65"/>
        <v>37.448323066392881</v>
      </c>
      <c r="AE1957" s="99">
        <f t="shared" ca="1" si="64"/>
        <v>55663</v>
      </c>
      <c r="AF1957" s="6">
        <v>2.5957679515745653</v>
      </c>
    </row>
    <row r="1958" spans="30:32" x14ac:dyDescent="0.2">
      <c r="AD1958" s="98">
        <f t="shared" ca="1" si="65"/>
        <v>37.46748802190281</v>
      </c>
      <c r="AE1958" s="99">
        <f t="shared" ca="1" si="64"/>
        <v>55670</v>
      </c>
      <c r="AF1958" s="6">
        <v>2.5955190163420863</v>
      </c>
    </row>
    <row r="1959" spans="30:32" x14ac:dyDescent="0.2">
      <c r="AD1959" s="98">
        <f t="shared" ca="1" si="65"/>
        <v>37.486652977412732</v>
      </c>
      <c r="AE1959" s="99">
        <f t="shared" ca="1" si="64"/>
        <v>55677</v>
      </c>
      <c r="AF1959" s="6">
        <v>2.5952709571984629</v>
      </c>
    </row>
    <row r="1960" spans="30:32" x14ac:dyDescent="0.2">
      <c r="AD1960" s="98">
        <f t="shared" ca="1" si="65"/>
        <v>37.505817932922653</v>
      </c>
      <c r="AE1960" s="99">
        <f t="shared" ca="1" si="64"/>
        <v>55684</v>
      </c>
      <c r="AF1960" s="6">
        <v>2.5950237794554631</v>
      </c>
    </row>
    <row r="1961" spans="30:32" x14ac:dyDescent="0.2">
      <c r="AD1961" s="98">
        <f t="shared" ca="1" si="65"/>
        <v>37.524982888432582</v>
      </c>
      <c r="AE1961" s="99">
        <f t="shared" ca="1" si="64"/>
        <v>55691</v>
      </c>
      <c r="AF1961" s="6">
        <v>2.5947774883522268</v>
      </c>
    </row>
    <row r="1962" spans="30:32" x14ac:dyDescent="0.2">
      <c r="AD1962" s="98">
        <f t="shared" ca="1" si="65"/>
        <v>37.544147843942504</v>
      </c>
      <c r="AE1962" s="99">
        <f t="shared" ca="1" si="64"/>
        <v>55698</v>
      </c>
      <c r="AF1962" s="6">
        <v>2.5945320890552233</v>
      </c>
    </row>
    <row r="1963" spans="30:32" x14ac:dyDescent="0.2">
      <c r="AD1963" s="98">
        <f t="shared" ca="1" si="65"/>
        <v>37.563312799452433</v>
      </c>
      <c r="AE1963" s="99">
        <f t="shared" ca="1" si="64"/>
        <v>55705</v>
      </c>
      <c r="AF1963" s="6">
        <v>2.5942875866582127</v>
      </c>
    </row>
    <row r="1964" spans="30:32" x14ac:dyDescent="0.2">
      <c r="AD1964" s="98">
        <f t="shared" ca="1" si="65"/>
        <v>37.582477754962355</v>
      </c>
      <c r="AE1964" s="99">
        <f t="shared" ca="1" si="64"/>
        <v>55712</v>
      </c>
      <c r="AF1964" s="6">
        <v>2.5940439861822258</v>
      </c>
    </row>
    <row r="1965" spans="30:32" x14ac:dyDescent="0.2">
      <c r="AD1965" s="98">
        <f t="shared" ca="1" si="65"/>
        <v>37.601642710472277</v>
      </c>
      <c r="AE1965" s="99">
        <f t="shared" ca="1" si="64"/>
        <v>55719</v>
      </c>
      <c r="AF1965" s="6">
        <v>2.5938012925755416</v>
      </c>
    </row>
    <row r="1966" spans="30:32" x14ac:dyDescent="0.2">
      <c r="AD1966" s="98">
        <f t="shared" ca="1" si="65"/>
        <v>37.620807665982205</v>
      </c>
      <c r="AE1966" s="99">
        <f t="shared" ca="1" si="64"/>
        <v>55726</v>
      </c>
      <c r="AF1966" s="6">
        <v>2.5935595107136864</v>
      </c>
    </row>
    <row r="1967" spans="30:32" x14ac:dyDescent="0.2">
      <c r="AD1967" s="98">
        <f t="shared" ca="1" si="65"/>
        <v>37.639972621492127</v>
      </c>
      <c r="AE1967" s="99">
        <f t="shared" ca="1" si="64"/>
        <v>55733</v>
      </c>
      <c r="AF1967" s="6">
        <v>2.5933186453994352</v>
      </c>
    </row>
    <row r="1968" spans="30:32" x14ac:dyDescent="0.2">
      <c r="AD1968" s="98">
        <f t="shared" ca="1" si="65"/>
        <v>37.659137577002056</v>
      </c>
      <c r="AE1968" s="99">
        <f t="shared" ca="1" si="64"/>
        <v>55740</v>
      </c>
      <c r="AF1968" s="6">
        <v>2.5930787013628263</v>
      </c>
    </row>
    <row r="1969" spans="30:32" x14ac:dyDescent="0.2">
      <c r="AD1969" s="98">
        <f t="shared" ca="1" si="65"/>
        <v>37.678302532511978</v>
      </c>
      <c r="AE1969" s="99">
        <f t="shared" ca="1" si="64"/>
        <v>55747</v>
      </c>
      <c r="AF1969" s="6">
        <v>2.5928396832611851</v>
      </c>
    </row>
    <row r="1970" spans="30:32" x14ac:dyDescent="0.2">
      <c r="AD1970" s="98">
        <f t="shared" ca="1" si="65"/>
        <v>37.6974674880219</v>
      </c>
      <c r="AE1970" s="99">
        <f t="shared" ca="1" si="64"/>
        <v>55754</v>
      </c>
      <c r="AF1970" s="6">
        <v>2.592601595679155</v>
      </c>
    </row>
    <row r="1971" spans="30:32" x14ac:dyDescent="0.2">
      <c r="AD1971" s="98">
        <f t="shared" ca="1" si="65"/>
        <v>37.716632443531829</v>
      </c>
      <c r="AE1971" s="99">
        <f t="shared" ca="1" si="64"/>
        <v>55761</v>
      </c>
      <c r="AF1971" s="6">
        <v>2.592364443128742</v>
      </c>
    </row>
    <row r="1972" spans="30:32" x14ac:dyDescent="0.2">
      <c r="AD1972" s="98">
        <f t="shared" ca="1" si="65"/>
        <v>37.735797399041751</v>
      </c>
      <c r="AE1972" s="99">
        <f t="shared" ca="1" si="64"/>
        <v>55768</v>
      </c>
      <c r="AF1972" s="6">
        <v>2.5921282300493678</v>
      </c>
    </row>
    <row r="1973" spans="30:32" x14ac:dyDescent="0.2">
      <c r="AD1973" s="98">
        <f t="shared" ca="1" si="65"/>
        <v>37.754962354551679</v>
      </c>
      <c r="AE1973" s="99">
        <f t="shared" ca="1" si="64"/>
        <v>55775</v>
      </c>
      <c r="AF1973" s="6">
        <v>2.5918929608079257</v>
      </c>
    </row>
    <row r="1974" spans="30:32" x14ac:dyDescent="0.2">
      <c r="AD1974" s="98">
        <f t="shared" ca="1" si="65"/>
        <v>37.774127310061601</v>
      </c>
      <c r="AE1974" s="99">
        <f t="shared" ca="1" si="64"/>
        <v>55782</v>
      </c>
      <c r="AF1974" s="6">
        <v>2.5916586396988568</v>
      </c>
    </row>
    <row r="1975" spans="30:32" x14ac:dyDescent="0.2">
      <c r="AD1975" s="98">
        <f t="shared" ca="1" si="65"/>
        <v>37.793292265571523</v>
      </c>
      <c r="AE1975" s="99">
        <f t="shared" ca="1" si="64"/>
        <v>55789</v>
      </c>
      <c r="AF1975" s="6">
        <v>2.5914252709442258</v>
      </c>
    </row>
    <row r="1976" spans="30:32" x14ac:dyDescent="0.2">
      <c r="AD1976" s="98">
        <f t="shared" ca="1" si="65"/>
        <v>37.812457221081452</v>
      </c>
      <c r="AE1976" s="99">
        <f t="shared" ca="1" si="64"/>
        <v>55796</v>
      </c>
      <c r="AF1976" s="6">
        <v>2.5911928586938107</v>
      </c>
    </row>
    <row r="1977" spans="30:32" x14ac:dyDescent="0.2">
      <c r="AD1977" s="98">
        <f t="shared" ca="1" si="65"/>
        <v>37.831622176591374</v>
      </c>
      <c r="AE1977" s="99">
        <f t="shared" ca="1" si="64"/>
        <v>55803</v>
      </c>
      <c r="AF1977" s="6">
        <v>2.5909614070251989</v>
      </c>
    </row>
    <row r="1978" spans="30:32" x14ac:dyDescent="0.2">
      <c r="AD1978" s="98">
        <f t="shared" ca="1" si="65"/>
        <v>37.850787132101303</v>
      </c>
      <c r="AE1978" s="99">
        <f t="shared" ca="1" si="64"/>
        <v>55810</v>
      </c>
      <c r="AF1978" s="6">
        <v>2.5907309199438946</v>
      </c>
    </row>
    <row r="1979" spans="30:32" x14ac:dyDescent="0.2">
      <c r="AD1979" s="98">
        <f t="shared" ca="1" si="65"/>
        <v>37.869952087611225</v>
      </c>
      <c r="AE1979" s="99">
        <f t="shared" ca="1" si="64"/>
        <v>55817</v>
      </c>
      <c r="AF1979" s="6">
        <v>2.5905014013834338</v>
      </c>
    </row>
    <row r="1980" spans="30:32" x14ac:dyDescent="0.2">
      <c r="AD1980" s="98">
        <f t="shared" ca="1" si="65"/>
        <v>37.889117043121146</v>
      </c>
      <c r="AE1980" s="99">
        <f t="shared" ca="1" si="64"/>
        <v>55824</v>
      </c>
      <c r="AF1980" s="6">
        <v>2.5902728552055079</v>
      </c>
    </row>
    <row r="1981" spans="30:32" x14ac:dyDescent="0.2">
      <c r="AD1981" s="98">
        <f t="shared" ca="1" si="65"/>
        <v>37.908281998631075</v>
      </c>
      <c r="AE1981" s="99">
        <f t="shared" ca="1" si="64"/>
        <v>55831</v>
      </c>
      <c r="AF1981" s="6">
        <v>2.5900452852000933</v>
      </c>
    </row>
    <row r="1982" spans="30:32" x14ac:dyDescent="0.2">
      <c r="AD1982" s="98">
        <f t="shared" ca="1" si="65"/>
        <v>37.927446954140997</v>
      </c>
      <c r="AE1982" s="99">
        <f t="shared" ca="1" si="64"/>
        <v>55838</v>
      </c>
      <c r="AF1982" s="6">
        <v>2.5898186950855964</v>
      </c>
    </row>
    <row r="1983" spans="30:32" x14ac:dyDescent="0.2">
      <c r="AD1983" s="98">
        <f t="shared" ca="1" si="65"/>
        <v>37.946611909650926</v>
      </c>
      <c r="AE1983" s="99">
        <f t="shared" ca="1" si="64"/>
        <v>55845</v>
      </c>
      <c r="AF1983" s="6">
        <v>2.5895930885089968</v>
      </c>
    </row>
    <row r="1984" spans="30:32" x14ac:dyDescent="0.2">
      <c r="AD1984" s="98">
        <f t="shared" ca="1" si="65"/>
        <v>37.965776865160848</v>
      </c>
      <c r="AE1984" s="99">
        <f t="shared" ca="1" si="64"/>
        <v>55852</v>
      </c>
      <c r="AF1984" s="6">
        <v>2.589368469046009</v>
      </c>
    </row>
    <row r="1985" spans="30:32" x14ac:dyDescent="0.2">
      <c r="AD1985" s="98">
        <f t="shared" ca="1" si="65"/>
        <v>37.984941820670777</v>
      </c>
      <c r="AE1985" s="99">
        <f t="shared" ca="1" si="64"/>
        <v>55859</v>
      </c>
      <c r="AF1985" s="6">
        <v>2.5891448402012451</v>
      </c>
    </row>
    <row r="1986" spans="30:32" x14ac:dyDescent="0.2">
      <c r="AD1986" s="98">
        <f t="shared" ca="1" si="65"/>
        <v>38.004106776180699</v>
      </c>
      <c r="AE1986" s="99">
        <f t="shared" ca="1" si="64"/>
        <v>55866</v>
      </c>
      <c r="AF1986" s="6">
        <v>2.5889222054083878</v>
      </c>
    </row>
    <row r="1987" spans="30:32" x14ac:dyDescent="0.2">
      <c r="AD1987" s="98">
        <f t="shared" ca="1" si="65"/>
        <v>38.02327173169062</v>
      </c>
      <c r="AE1987" s="99">
        <f t="shared" ca="1" si="64"/>
        <v>55873</v>
      </c>
      <c r="AF1987" s="6">
        <v>2.588700568030371</v>
      </c>
    </row>
    <row r="1988" spans="30:32" x14ac:dyDescent="0.2">
      <c r="AD1988" s="98">
        <f t="shared" ca="1" si="65"/>
        <v>38.042436687200549</v>
      </c>
      <c r="AE1988" s="99">
        <f t="shared" ref="AE1988:AE2051" ca="1" si="66">AE1987+7</f>
        <v>55880</v>
      </c>
      <c r="AF1988" s="6">
        <v>2.5884799313595699</v>
      </c>
    </row>
    <row r="1989" spans="30:32" x14ac:dyDescent="0.2">
      <c r="AD1989" s="98">
        <f t="shared" ref="AD1989:AD2052" ca="1" si="67">(AE1989-$B$3)/365.25</f>
        <v>38.061601642710471</v>
      </c>
      <c r="AE1989" s="99">
        <f t="shared" ca="1" si="66"/>
        <v>55887</v>
      </c>
      <c r="AF1989" s="6">
        <v>2.5882602986179983</v>
      </c>
    </row>
    <row r="1990" spans="30:32" x14ac:dyDescent="0.2">
      <c r="AD1990" s="98">
        <f t="shared" ca="1" si="67"/>
        <v>38.0807665982204</v>
      </c>
      <c r="AE1990" s="99">
        <f t="shared" ca="1" si="66"/>
        <v>55894</v>
      </c>
      <c r="AF1990" s="6">
        <v>2.5880416729575089</v>
      </c>
    </row>
    <row r="1991" spans="30:32" x14ac:dyDescent="0.2">
      <c r="AD1991" s="98">
        <f t="shared" ca="1" si="67"/>
        <v>38.099931553730322</v>
      </c>
      <c r="AE1991" s="99">
        <f t="shared" ca="1" si="66"/>
        <v>55901</v>
      </c>
      <c r="AF1991" s="6">
        <v>2.5878240574600069</v>
      </c>
    </row>
    <row r="1992" spans="30:32" x14ac:dyDescent="0.2">
      <c r="AD1992" s="98">
        <f t="shared" ca="1" si="67"/>
        <v>38.119096509240244</v>
      </c>
      <c r="AE1992" s="99">
        <f t="shared" ca="1" si="66"/>
        <v>55908</v>
      </c>
      <c r="AF1992" s="6">
        <v>2.5876074551376687</v>
      </c>
    </row>
    <row r="1993" spans="30:32" x14ac:dyDescent="0.2">
      <c r="AD1993" s="98">
        <f t="shared" ca="1" si="67"/>
        <v>38.138261464750173</v>
      </c>
      <c r="AE1993" s="99">
        <f t="shared" ca="1" si="66"/>
        <v>55915</v>
      </c>
      <c r="AF1993" s="6">
        <v>2.5873918689331679</v>
      </c>
    </row>
    <row r="1994" spans="30:32" x14ac:dyDescent="0.2">
      <c r="AD1994" s="98">
        <f t="shared" ca="1" si="67"/>
        <v>38.157426420260094</v>
      </c>
      <c r="AE1994" s="99">
        <f t="shared" ca="1" si="66"/>
        <v>55922</v>
      </c>
      <c r="AF1994" s="6">
        <v>2.5871773017199073</v>
      </c>
    </row>
    <row r="1995" spans="30:32" x14ac:dyDescent="0.2">
      <c r="AD1995" s="98">
        <f t="shared" ca="1" si="67"/>
        <v>38.176591375770023</v>
      </c>
      <c r="AE1995" s="99">
        <f t="shared" ca="1" si="66"/>
        <v>55929</v>
      </c>
      <c r="AF1995" s="6">
        <v>2.5869637563022621</v>
      </c>
    </row>
    <row r="1996" spans="30:32" x14ac:dyDescent="0.2">
      <c r="AD1996" s="98">
        <f t="shared" ca="1" si="67"/>
        <v>38.195756331279945</v>
      </c>
      <c r="AE1996" s="99">
        <f t="shared" ca="1" si="66"/>
        <v>55936</v>
      </c>
      <c r="AF1996" s="6">
        <v>2.5867512354158211</v>
      </c>
    </row>
    <row r="1997" spans="30:32" x14ac:dyDescent="0.2">
      <c r="AD1997" s="98">
        <f t="shared" ca="1" si="67"/>
        <v>38.214921286789867</v>
      </c>
      <c r="AE1997" s="99">
        <f t="shared" ca="1" si="66"/>
        <v>55943</v>
      </c>
      <c r="AF1997" s="6">
        <v>2.5865397417276457</v>
      </c>
    </row>
    <row r="1998" spans="30:32" x14ac:dyDescent="0.2">
      <c r="AD1998" s="98">
        <f t="shared" ca="1" si="67"/>
        <v>38.234086242299796</v>
      </c>
      <c r="AE1998" s="99">
        <f t="shared" ca="1" si="66"/>
        <v>55950</v>
      </c>
      <c r="AF1998" s="6">
        <v>2.586329277836529</v>
      </c>
    </row>
    <row r="1999" spans="30:32" x14ac:dyDescent="0.2">
      <c r="AD1999" s="98">
        <f t="shared" ca="1" si="67"/>
        <v>38.253251197809718</v>
      </c>
      <c r="AE1999" s="99">
        <f t="shared" ca="1" si="66"/>
        <v>55957</v>
      </c>
      <c r="AF1999" s="6">
        <v>2.58611984627326</v>
      </c>
    </row>
    <row r="2000" spans="30:32" x14ac:dyDescent="0.2">
      <c r="AD2000" s="98">
        <f t="shared" ca="1" si="67"/>
        <v>38.272416153319647</v>
      </c>
      <c r="AE2000" s="99">
        <f t="shared" ca="1" si="66"/>
        <v>55964</v>
      </c>
      <c r="AF2000" s="6">
        <v>2.5859114495009012</v>
      </c>
    </row>
    <row r="2001" spans="30:32" x14ac:dyDescent="0.2">
      <c r="AD2001" s="98">
        <f t="shared" ca="1" si="67"/>
        <v>38.291581108829568</v>
      </c>
      <c r="AE2001" s="99">
        <f t="shared" ca="1" si="66"/>
        <v>55971</v>
      </c>
      <c r="AF2001" s="6">
        <v>2.5857040899150663</v>
      </c>
    </row>
    <row r="2002" spans="30:32" x14ac:dyDescent="0.2">
      <c r="AD2002" s="98">
        <f t="shared" ca="1" si="67"/>
        <v>38.31074606433949</v>
      </c>
      <c r="AE2002" s="99">
        <f t="shared" ca="1" si="66"/>
        <v>55978</v>
      </c>
      <c r="AF2002" s="6">
        <v>2.5854977698442059</v>
      </c>
    </row>
    <row r="2003" spans="30:32" x14ac:dyDescent="0.2">
      <c r="AD2003" s="98">
        <f t="shared" ca="1" si="67"/>
        <v>38.329911019849419</v>
      </c>
      <c r="AE2003" s="99">
        <f t="shared" ca="1" si="66"/>
        <v>55985</v>
      </c>
      <c r="AF2003" s="6">
        <v>2.5852924915498985</v>
      </c>
    </row>
    <row r="2004" spans="30:32" x14ac:dyDescent="0.2">
      <c r="AD2004" s="98">
        <f t="shared" ca="1" si="67"/>
        <v>38.349075975359341</v>
      </c>
      <c r="AE2004" s="99">
        <f t="shared" ca="1" si="66"/>
        <v>55992</v>
      </c>
      <c r="AF2004" s="6">
        <v>2.5850882572271505</v>
      </c>
    </row>
    <row r="2005" spans="30:32" x14ac:dyDescent="0.2">
      <c r="AD2005" s="98">
        <f t="shared" ca="1" si="67"/>
        <v>38.36824093086927</v>
      </c>
      <c r="AE2005" s="99">
        <f t="shared" ca="1" si="66"/>
        <v>55999</v>
      </c>
      <c r="AF2005" s="6">
        <v>2.5848850690047005</v>
      </c>
    </row>
    <row r="2006" spans="30:32" x14ac:dyDescent="0.2">
      <c r="AD2006" s="98">
        <f t="shared" ca="1" si="67"/>
        <v>38.387405886379192</v>
      </c>
      <c r="AE2006" s="99">
        <f t="shared" ca="1" si="66"/>
        <v>56006</v>
      </c>
      <c r="AF2006" s="6">
        <v>2.5846829289453273</v>
      </c>
    </row>
    <row r="2007" spans="30:32" x14ac:dyDescent="0.2">
      <c r="AD2007" s="98">
        <f t="shared" ca="1" si="67"/>
        <v>38.406570841889121</v>
      </c>
      <c r="AE2007" s="99">
        <f t="shared" ca="1" si="66"/>
        <v>56013</v>
      </c>
      <c r="AF2007" s="6">
        <v>2.5844818390461635</v>
      </c>
    </row>
    <row r="2008" spans="30:32" x14ac:dyDescent="0.2">
      <c r="AD2008" s="98">
        <f t="shared" ca="1" si="67"/>
        <v>38.425735797399042</v>
      </c>
      <c r="AE2008" s="99">
        <f t="shared" ca="1" si="66"/>
        <v>56020</v>
      </c>
      <c r="AF2008" s="6">
        <v>2.5842818012390216</v>
      </c>
    </row>
    <row r="2009" spans="30:32" x14ac:dyDescent="0.2">
      <c r="AD2009" s="98">
        <f t="shared" ca="1" si="67"/>
        <v>38.444900752908964</v>
      </c>
      <c r="AE2009" s="99">
        <f t="shared" ca="1" si="66"/>
        <v>56027</v>
      </c>
      <c r="AF2009" s="6">
        <v>2.5840828173907169</v>
      </c>
    </row>
    <row r="2010" spans="30:32" x14ac:dyDescent="0.2">
      <c r="AD2010" s="98">
        <f t="shared" ca="1" si="67"/>
        <v>38.464065708418893</v>
      </c>
      <c r="AE2010" s="99">
        <f t="shared" ca="1" si="66"/>
        <v>56034</v>
      </c>
      <c r="AF2010" s="6">
        <v>2.5838848893033957</v>
      </c>
    </row>
    <row r="2011" spans="30:32" x14ac:dyDescent="0.2">
      <c r="AD2011" s="98">
        <f t="shared" ca="1" si="67"/>
        <v>38.483230663928815</v>
      </c>
      <c r="AE2011" s="99">
        <f t="shared" ca="1" si="66"/>
        <v>56041</v>
      </c>
      <c r="AF2011" s="6">
        <v>2.5836880187148785</v>
      </c>
    </row>
    <row r="2012" spans="30:32" x14ac:dyDescent="0.2">
      <c r="AD2012" s="98">
        <f t="shared" ca="1" si="67"/>
        <v>38.502395619438744</v>
      </c>
      <c r="AE2012" s="99">
        <f t="shared" ca="1" si="66"/>
        <v>56048</v>
      </c>
      <c r="AF2012" s="6">
        <v>2.5834922072989994</v>
      </c>
    </row>
    <row r="2013" spans="30:32" x14ac:dyDescent="0.2">
      <c r="AD2013" s="98">
        <f t="shared" ca="1" si="67"/>
        <v>38.521560574948666</v>
      </c>
      <c r="AE2013" s="99">
        <f t="shared" ca="1" si="66"/>
        <v>56055</v>
      </c>
      <c r="AF2013" s="6">
        <v>2.5832974566659495</v>
      </c>
    </row>
    <row r="2014" spans="30:32" x14ac:dyDescent="0.2">
      <c r="AD2014" s="98">
        <f t="shared" ca="1" si="67"/>
        <v>38.540725530458587</v>
      </c>
      <c r="AE2014" s="99">
        <f t="shared" ca="1" si="66"/>
        <v>56062</v>
      </c>
      <c r="AF2014" s="6">
        <v>2.583103768362633</v>
      </c>
    </row>
    <row r="2015" spans="30:32" x14ac:dyDescent="0.2">
      <c r="AD2015" s="98">
        <f t="shared" ca="1" si="67"/>
        <v>38.559890485968516</v>
      </c>
      <c r="AE2015" s="99">
        <f t="shared" ca="1" si="66"/>
        <v>56069</v>
      </c>
      <c r="AF2015" s="6">
        <v>2.5829111438730199</v>
      </c>
    </row>
    <row r="2016" spans="30:32" x14ac:dyDescent="0.2">
      <c r="AD2016" s="98">
        <f t="shared" ca="1" si="67"/>
        <v>38.579055441478438</v>
      </c>
      <c r="AE2016" s="99">
        <f t="shared" ca="1" si="66"/>
        <v>56076</v>
      </c>
      <c r="AF2016" s="6">
        <v>2.5827195846185109</v>
      </c>
    </row>
    <row r="2017" spans="30:32" x14ac:dyDescent="0.2">
      <c r="AD2017" s="98">
        <f t="shared" ca="1" si="67"/>
        <v>38.598220396988367</v>
      </c>
      <c r="AE2017" s="99">
        <f t="shared" ca="1" si="66"/>
        <v>56083</v>
      </c>
      <c r="AF2017" s="6">
        <v>2.5825290919582971</v>
      </c>
    </row>
    <row r="2018" spans="30:32" x14ac:dyDescent="0.2">
      <c r="AD2018" s="98">
        <f t="shared" ca="1" si="67"/>
        <v>38.617385352498289</v>
      </c>
      <c r="AE2018" s="99">
        <f t="shared" ca="1" si="66"/>
        <v>56090</v>
      </c>
      <c r="AF2018" s="6">
        <v>2.5823396671897347</v>
      </c>
    </row>
    <row r="2019" spans="30:32" x14ac:dyDescent="0.2">
      <c r="AD2019" s="98">
        <f t="shared" ca="1" si="67"/>
        <v>38.636550308008211</v>
      </c>
      <c r="AE2019" s="99">
        <f t="shared" ca="1" si="66"/>
        <v>56097</v>
      </c>
      <c r="AF2019" s="6">
        <v>2.5821513115487189</v>
      </c>
    </row>
    <row r="2020" spans="30:32" x14ac:dyDescent="0.2">
      <c r="AD2020" s="98">
        <f t="shared" ca="1" si="67"/>
        <v>38.65571526351814</v>
      </c>
      <c r="AE2020" s="99">
        <f t="shared" ca="1" si="66"/>
        <v>56104</v>
      </c>
      <c r="AF2020" s="6">
        <v>2.5819640262100578</v>
      </c>
    </row>
    <row r="2021" spans="30:32" x14ac:dyDescent="0.2">
      <c r="AD2021" s="98">
        <f t="shared" ca="1" si="67"/>
        <v>38.674880219028061</v>
      </c>
      <c r="AE2021" s="99">
        <f t="shared" ca="1" si="66"/>
        <v>56111</v>
      </c>
      <c r="AF2021" s="6">
        <v>2.5817778122878585</v>
      </c>
    </row>
    <row r="2022" spans="30:32" x14ac:dyDescent="0.2">
      <c r="AD2022" s="98">
        <f t="shared" ca="1" si="67"/>
        <v>38.69404517453799</v>
      </c>
      <c r="AE2022" s="99">
        <f t="shared" ca="1" si="66"/>
        <v>56118</v>
      </c>
      <c r="AF2022" s="6">
        <v>2.5815926708359127</v>
      </c>
    </row>
    <row r="2023" spans="30:32" x14ac:dyDescent="0.2">
      <c r="AD2023" s="98">
        <f t="shared" ca="1" si="67"/>
        <v>38.713210130047912</v>
      </c>
      <c r="AE2023" s="99">
        <f t="shared" ca="1" si="66"/>
        <v>56125</v>
      </c>
      <c r="AF2023" s="6">
        <v>2.5814086028480858</v>
      </c>
    </row>
    <row r="2024" spans="30:32" x14ac:dyDescent="0.2">
      <c r="AD2024" s="98">
        <f t="shared" ca="1" si="67"/>
        <v>38.732375085557834</v>
      </c>
      <c r="AE2024" s="99">
        <f t="shared" ca="1" si="66"/>
        <v>56132</v>
      </c>
      <c r="AF2024" s="6">
        <v>2.5812256092587091</v>
      </c>
    </row>
    <row r="2025" spans="30:32" x14ac:dyDescent="0.2">
      <c r="AD2025" s="98">
        <f t="shared" ca="1" si="67"/>
        <v>38.751540041067763</v>
      </c>
      <c r="AE2025" s="99">
        <f t="shared" ca="1" si="66"/>
        <v>56139</v>
      </c>
      <c r="AF2025" s="6">
        <v>2.5810436909429835</v>
      </c>
    </row>
    <row r="2026" spans="30:32" x14ac:dyDescent="0.2">
      <c r="AD2026" s="98">
        <f t="shared" ca="1" si="67"/>
        <v>38.770704996577685</v>
      </c>
      <c r="AE2026" s="99">
        <f t="shared" ca="1" si="66"/>
        <v>56146</v>
      </c>
      <c r="AF2026" s="6">
        <v>2.5808628487173704</v>
      </c>
    </row>
    <row r="2027" spans="30:32" x14ac:dyDescent="0.2">
      <c r="AD2027" s="98">
        <f t="shared" ca="1" si="67"/>
        <v>38.789869952087614</v>
      </c>
      <c r="AE2027" s="99">
        <f t="shared" ca="1" si="66"/>
        <v>56153</v>
      </c>
      <c r="AF2027" s="6">
        <v>2.5806830833400047</v>
      </c>
    </row>
    <row r="2028" spans="30:32" x14ac:dyDescent="0.2">
      <c r="AD2028" s="98">
        <f t="shared" ca="1" si="67"/>
        <v>38.809034907597535</v>
      </c>
      <c r="AE2028" s="99">
        <f t="shared" ca="1" si="66"/>
        <v>56160</v>
      </c>
      <c r="AF2028" s="6">
        <v>2.5805043955110989</v>
      </c>
    </row>
    <row r="2029" spans="30:32" x14ac:dyDescent="0.2">
      <c r="AD2029" s="98">
        <f t="shared" ca="1" si="67"/>
        <v>38.828199863107457</v>
      </c>
      <c r="AE2029" s="99">
        <f t="shared" ca="1" si="66"/>
        <v>56167</v>
      </c>
      <c r="AF2029" s="6">
        <v>2.5803267858733534</v>
      </c>
    </row>
    <row r="2030" spans="30:32" x14ac:dyDescent="0.2">
      <c r="AD2030" s="98">
        <f t="shared" ca="1" si="67"/>
        <v>38.847364818617386</v>
      </c>
      <c r="AE2030" s="99">
        <f t="shared" ca="1" si="66"/>
        <v>56174</v>
      </c>
      <c r="AF2030" s="6">
        <v>2.5801502550123696</v>
      </c>
    </row>
    <row r="2031" spans="30:32" x14ac:dyDescent="0.2">
      <c r="AD2031" s="98">
        <f t="shared" ca="1" si="67"/>
        <v>38.866529774127308</v>
      </c>
      <c r="AE2031" s="99">
        <f t="shared" ca="1" si="66"/>
        <v>56181</v>
      </c>
      <c r="AF2031" s="6">
        <v>2.5799748034570698</v>
      </c>
    </row>
    <row r="2032" spans="30:32" x14ac:dyDescent="0.2">
      <c r="AD2032" s="98">
        <f t="shared" ca="1" si="67"/>
        <v>38.885694729637237</v>
      </c>
      <c r="AE2032" s="99">
        <f t="shared" ca="1" si="66"/>
        <v>56188</v>
      </c>
      <c r="AF2032" s="6">
        <v>2.579800431680114</v>
      </c>
    </row>
    <row r="2033" spans="30:32" x14ac:dyDescent="0.2">
      <c r="AD2033" s="98">
        <f t="shared" ca="1" si="67"/>
        <v>38.904859685147159</v>
      </c>
      <c r="AE2033" s="99">
        <f t="shared" ca="1" si="66"/>
        <v>56195</v>
      </c>
      <c r="AF2033" s="6">
        <v>2.5796271400983208</v>
      </c>
    </row>
    <row r="2034" spans="30:32" x14ac:dyDescent="0.2">
      <c r="AD2034" s="98">
        <f t="shared" ca="1" si="67"/>
        <v>38.924024640657088</v>
      </c>
      <c r="AE2034" s="99">
        <f t="shared" ca="1" si="66"/>
        <v>56202</v>
      </c>
      <c r="AF2034" s="6">
        <v>2.5794549290730986</v>
      </c>
    </row>
    <row r="2035" spans="30:32" x14ac:dyDescent="0.2">
      <c r="AD2035" s="98">
        <f t="shared" ca="1" si="67"/>
        <v>38.943189596167009</v>
      </c>
      <c r="AE2035" s="99">
        <f t="shared" ca="1" si="66"/>
        <v>56209</v>
      </c>
      <c r="AF2035" s="6">
        <v>2.5792837989108666</v>
      </c>
    </row>
    <row r="2036" spans="30:32" x14ac:dyDescent="0.2">
      <c r="AD2036" s="98">
        <f t="shared" ca="1" si="67"/>
        <v>38.962354551676931</v>
      </c>
      <c r="AE2036" s="99">
        <f t="shared" ca="1" si="66"/>
        <v>56216</v>
      </c>
      <c r="AF2036" s="6">
        <v>2.5791137498634868</v>
      </c>
    </row>
    <row r="2037" spans="30:32" x14ac:dyDescent="0.2">
      <c r="AD2037" s="98">
        <f t="shared" ca="1" si="67"/>
        <v>38.98151950718686</v>
      </c>
      <c r="AE2037" s="99">
        <f t="shared" ca="1" si="66"/>
        <v>56223</v>
      </c>
      <c r="AF2037" s="6">
        <v>2.5789447821286982</v>
      </c>
    </row>
    <row r="2038" spans="30:32" x14ac:dyDescent="0.2">
      <c r="AD2038" s="98">
        <f t="shared" ca="1" si="67"/>
        <v>39.000684462696782</v>
      </c>
      <c r="AE2038" s="99">
        <f t="shared" ca="1" si="66"/>
        <v>56230</v>
      </c>
      <c r="AF2038" s="6">
        <v>2.5787768958505506</v>
      </c>
    </row>
    <row r="2039" spans="30:32" x14ac:dyDescent="0.2">
      <c r="AD2039" s="98">
        <f t="shared" ca="1" si="67"/>
        <v>39.019849418206711</v>
      </c>
      <c r="AE2039" s="99">
        <f t="shared" ca="1" si="66"/>
        <v>56237</v>
      </c>
      <c r="AF2039" s="6">
        <v>2.5786100911198395</v>
      </c>
    </row>
    <row r="2040" spans="30:32" x14ac:dyDescent="0.2">
      <c r="AD2040" s="98">
        <f t="shared" ca="1" si="67"/>
        <v>39.039014373716633</v>
      </c>
      <c r="AE2040" s="99">
        <f t="shared" ca="1" si="66"/>
        <v>56244</v>
      </c>
      <c r="AF2040" s="6">
        <v>2.5784443679745452</v>
      </c>
    </row>
    <row r="2041" spans="30:32" x14ac:dyDescent="0.2">
      <c r="AD2041" s="98">
        <f t="shared" ca="1" si="67"/>
        <v>39.058179329226554</v>
      </c>
      <c r="AE2041" s="99">
        <f t="shared" ca="1" si="66"/>
        <v>56251</v>
      </c>
      <c r="AF2041" s="6">
        <v>2.5782797264002775</v>
      </c>
    </row>
    <row r="2042" spans="30:32" x14ac:dyDescent="0.2">
      <c r="AD2042" s="98">
        <f t="shared" ca="1" si="67"/>
        <v>39.077344284736483</v>
      </c>
      <c r="AE2042" s="99">
        <f t="shared" ca="1" si="66"/>
        <v>56258</v>
      </c>
      <c r="AF2042" s="6">
        <v>2.5781161663307111</v>
      </c>
    </row>
    <row r="2043" spans="30:32" x14ac:dyDescent="0.2">
      <c r="AD2043" s="98">
        <f t="shared" ca="1" si="67"/>
        <v>39.096509240246405</v>
      </c>
      <c r="AE2043" s="99">
        <f t="shared" ca="1" si="66"/>
        <v>56265</v>
      </c>
      <c r="AF2043" s="6">
        <v>2.5779536876480384</v>
      </c>
    </row>
    <row r="2044" spans="30:32" x14ac:dyDescent="0.2">
      <c r="AD2044" s="98">
        <f t="shared" ca="1" si="67"/>
        <v>39.115674195756334</v>
      </c>
      <c r="AE2044" s="99">
        <f t="shared" ca="1" si="66"/>
        <v>56272</v>
      </c>
      <c r="AF2044" s="6">
        <v>2.5777922901834085</v>
      </c>
    </row>
    <row r="2045" spans="30:32" x14ac:dyDescent="0.2">
      <c r="AD2045" s="98">
        <f t="shared" ca="1" si="67"/>
        <v>39.134839151266256</v>
      </c>
      <c r="AE2045" s="99">
        <f t="shared" ca="1" si="66"/>
        <v>56279</v>
      </c>
      <c r="AF2045" s="6">
        <v>2.577631973717379</v>
      </c>
    </row>
    <row r="2046" spans="30:32" x14ac:dyDescent="0.2">
      <c r="AD2046" s="98">
        <f t="shared" ca="1" si="67"/>
        <v>39.154004106776178</v>
      </c>
      <c r="AE2046" s="99">
        <f t="shared" ca="1" si="66"/>
        <v>56286</v>
      </c>
      <c r="AF2046" s="6">
        <v>2.5774727379803601</v>
      </c>
    </row>
    <row r="2047" spans="30:32" x14ac:dyDescent="0.2">
      <c r="AD2047" s="98">
        <f t="shared" ca="1" si="67"/>
        <v>39.173169062286107</v>
      </c>
      <c r="AE2047" s="99">
        <f t="shared" ca="1" si="66"/>
        <v>56293</v>
      </c>
      <c r="AF2047" s="6">
        <v>2.5773145826530732</v>
      </c>
    </row>
    <row r="2048" spans="30:32" x14ac:dyDescent="0.2">
      <c r="AD2048" s="98">
        <f t="shared" ca="1" si="67"/>
        <v>39.192334017796028</v>
      </c>
      <c r="AE2048" s="99">
        <f t="shared" ca="1" si="66"/>
        <v>56300</v>
      </c>
      <c r="AF2048" s="6">
        <v>2.5771575073669934</v>
      </c>
    </row>
    <row r="2049" spans="30:32" x14ac:dyDescent="0.2">
      <c r="AD2049" s="98">
        <f t="shared" ca="1" si="67"/>
        <v>39.211498973305957</v>
      </c>
      <c r="AE2049" s="99">
        <f t="shared" ca="1" si="66"/>
        <v>56307</v>
      </c>
      <c r="AF2049" s="6">
        <v>2.5770015117048093</v>
      </c>
    </row>
    <row r="2050" spans="30:32" x14ac:dyDescent="0.2">
      <c r="AD2050" s="98">
        <f t="shared" ca="1" si="67"/>
        <v>39.230663928815879</v>
      </c>
      <c r="AE2050" s="99">
        <f t="shared" ca="1" si="66"/>
        <v>56314</v>
      </c>
      <c r="AF2050" s="6">
        <v>2.5768465952008723</v>
      </c>
    </row>
    <row r="2051" spans="30:32" x14ac:dyDescent="0.2">
      <c r="AD2051" s="98">
        <f t="shared" ca="1" si="67"/>
        <v>39.249828884325801</v>
      </c>
      <c r="AE2051" s="99">
        <f t="shared" ca="1" si="66"/>
        <v>56321</v>
      </c>
      <c r="AF2051" s="6">
        <v>2.5766927573416569</v>
      </c>
    </row>
    <row r="2052" spans="30:32" x14ac:dyDescent="0.2">
      <c r="AD2052" s="98">
        <f t="shared" ca="1" si="67"/>
        <v>39.26899383983573</v>
      </c>
      <c r="AE2052" s="99">
        <f t="shared" ref="AE2052:AE2115" ca="1" si="68">AE2051+7</f>
        <v>56328</v>
      </c>
      <c r="AF2052" s="6">
        <v>2.5765399975662118</v>
      </c>
    </row>
    <row r="2053" spans="30:32" x14ac:dyDescent="0.2">
      <c r="AD2053" s="98">
        <f t="shared" ref="AD2053:AD2116" ca="1" si="69">(AE2053-$B$3)/365.25</f>
        <v>39.288158795345652</v>
      </c>
      <c r="AE2053" s="99">
        <f t="shared" ca="1" si="68"/>
        <v>56335</v>
      </c>
      <c r="AF2053" s="6">
        <v>2.5763883152666165</v>
      </c>
    </row>
    <row r="2054" spans="30:32" x14ac:dyDescent="0.2">
      <c r="AD2054" s="98">
        <f t="shared" ca="1" si="69"/>
        <v>39.307323750855581</v>
      </c>
      <c r="AE2054" s="99">
        <f t="shared" ca="1" si="68"/>
        <v>56342</v>
      </c>
      <c r="AF2054" s="6">
        <v>2.576237709788443</v>
      </c>
    </row>
    <row r="2055" spans="30:32" x14ac:dyDescent="0.2">
      <c r="AD2055" s="98">
        <f t="shared" ca="1" si="69"/>
        <v>39.326488706365502</v>
      </c>
      <c r="AE2055" s="99">
        <f t="shared" ca="1" si="68"/>
        <v>56349</v>
      </c>
      <c r="AF2055" s="6">
        <v>2.5760881804312121</v>
      </c>
    </row>
    <row r="2056" spans="30:32" x14ac:dyDescent="0.2">
      <c r="AD2056" s="98">
        <f t="shared" ca="1" si="69"/>
        <v>39.345653661875431</v>
      </c>
      <c r="AE2056" s="99">
        <f t="shared" ca="1" si="68"/>
        <v>56356</v>
      </c>
      <c r="AF2056" s="6">
        <v>2.5759397264488499</v>
      </c>
    </row>
    <row r="2057" spans="30:32" x14ac:dyDescent="0.2">
      <c r="AD2057" s="98">
        <f t="shared" ca="1" si="69"/>
        <v>39.364818617385353</v>
      </c>
      <c r="AE2057" s="99">
        <f t="shared" ca="1" si="68"/>
        <v>56363</v>
      </c>
      <c r="AF2057" s="6">
        <v>2.575792347050152</v>
      </c>
    </row>
    <row r="2058" spans="30:32" x14ac:dyDescent="0.2">
      <c r="AD2058" s="98">
        <f t="shared" ca="1" si="69"/>
        <v>39.383983572895275</v>
      </c>
      <c r="AE2058" s="99">
        <f t="shared" ca="1" si="68"/>
        <v>56370</v>
      </c>
      <c r="AF2058" s="6">
        <v>2.5756460413992364</v>
      </c>
    </row>
    <row r="2059" spans="30:32" x14ac:dyDescent="0.2">
      <c r="AD2059" s="98">
        <f t="shared" ca="1" si="69"/>
        <v>39.403148528405204</v>
      </c>
      <c r="AE2059" s="99">
        <f t="shared" ca="1" si="68"/>
        <v>56377</v>
      </c>
      <c r="AF2059" s="6">
        <v>2.5755008086160114</v>
      </c>
    </row>
    <row r="2060" spans="30:32" x14ac:dyDescent="0.2">
      <c r="AD2060" s="98">
        <f t="shared" ca="1" si="69"/>
        <v>39.422313483915126</v>
      </c>
      <c r="AE2060" s="99">
        <f t="shared" ca="1" si="68"/>
        <v>56384</v>
      </c>
      <c r="AF2060" s="6">
        <v>2.575356647776629</v>
      </c>
    </row>
    <row r="2061" spans="30:32" x14ac:dyDescent="0.2">
      <c r="AD2061" s="98">
        <f t="shared" ca="1" si="69"/>
        <v>39.441478439425055</v>
      </c>
      <c r="AE2061" s="99">
        <f t="shared" ca="1" si="68"/>
        <v>56391</v>
      </c>
      <c r="AF2061" s="6">
        <v>2.575213557913953</v>
      </c>
    </row>
    <row r="2062" spans="30:32" x14ac:dyDescent="0.2">
      <c r="AD2062" s="98">
        <f t="shared" ca="1" si="69"/>
        <v>39.460643394934976</v>
      </c>
      <c r="AE2062" s="99">
        <f t="shared" ca="1" si="68"/>
        <v>56398</v>
      </c>
      <c r="AF2062" s="6">
        <v>2.57507153801801</v>
      </c>
    </row>
    <row r="2063" spans="30:32" x14ac:dyDescent="0.2">
      <c r="AD2063" s="98">
        <f t="shared" ca="1" si="69"/>
        <v>39.479808350444898</v>
      </c>
      <c r="AE2063" s="99">
        <f t="shared" ca="1" si="68"/>
        <v>56405</v>
      </c>
      <c r="AF2063" s="6">
        <v>2.5749305870364596</v>
      </c>
    </row>
    <row r="2064" spans="30:32" x14ac:dyDescent="0.2">
      <c r="AD2064" s="98">
        <f t="shared" ca="1" si="69"/>
        <v>39.498973305954827</v>
      </c>
      <c r="AE2064" s="99">
        <f t="shared" ca="1" si="68"/>
        <v>56412</v>
      </c>
      <c r="AF2064" s="6">
        <v>2.5747907038750468</v>
      </c>
    </row>
    <row r="2065" spans="30:32" x14ac:dyDescent="0.2">
      <c r="AD2065" s="98">
        <f t="shared" ca="1" si="69"/>
        <v>39.518138261464749</v>
      </c>
      <c r="AE2065" s="99">
        <f t="shared" ca="1" si="68"/>
        <v>56419</v>
      </c>
      <c r="AF2065" s="6">
        <v>2.574651887398073</v>
      </c>
    </row>
    <row r="2066" spans="30:32" x14ac:dyDescent="0.2">
      <c r="AD2066" s="98">
        <f t="shared" ca="1" si="69"/>
        <v>39.537303216974678</v>
      </c>
      <c r="AE2066" s="99">
        <f t="shared" ca="1" si="68"/>
        <v>56426</v>
      </c>
      <c r="AF2066" s="6">
        <v>2.5745141364288431</v>
      </c>
    </row>
    <row r="2067" spans="30:32" x14ac:dyDescent="0.2">
      <c r="AD2067" s="98">
        <f t="shared" ca="1" si="69"/>
        <v>39.5564681724846</v>
      </c>
      <c r="AE2067" s="99">
        <f t="shared" ca="1" si="68"/>
        <v>56433</v>
      </c>
      <c r="AF2067" s="6">
        <v>2.5743774497501368</v>
      </c>
    </row>
    <row r="2068" spans="30:32" x14ac:dyDescent="0.2">
      <c r="AD2068" s="98">
        <f t="shared" ca="1" si="69"/>
        <v>39.575633127994521</v>
      </c>
      <c r="AE2068" s="99">
        <f t="shared" ca="1" si="68"/>
        <v>56440</v>
      </c>
      <c r="AF2068" s="6">
        <v>2.5742418261046622</v>
      </c>
    </row>
    <row r="2069" spans="30:32" x14ac:dyDescent="0.2">
      <c r="AD2069" s="98">
        <f t="shared" ca="1" si="69"/>
        <v>39.59479808350445</v>
      </c>
      <c r="AE2069" s="99">
        <f t="shared" ca="1" si="68"/>
        <v>56447</v>
      </c>
      <c r="AF2069" s="6">
        <v>2.5741072641955185</v>
      </c>
    </row>
    <row r="2070" spans="30:32" x14ac:dyDescent="0.2">
      <c r="AD2070" s="98">
        <f t="shared" ca="1" si="69"/>
        <v>39.613963039014372</v>
      </c>
      <c r="AE2070" s="99">
        <f t="shared" ca="1" si="68"/>
        <v>56454</v>
      </c>
      <c r="AF2070" s="6">
        <v>2.5739737626866539</v>
      </c>
    </row>
    <row r="2071" spans="30:32" x14ac:dyDescent="0.2">
      <c r="AD2071" s="98">
        <f t="shared" ca="1" si="69"/>
        <v>39.633127994524301</v>
      </c>
      <c r="AE2071" s="99">
        <f t="shared" ca="1" si="68"/>
        <v>56461</v>
      </c>
      <c r="AF2071" s="6">
        <v>2.5738413202033206</v>
      </c>
    </row>
    <row r="2072" spans="30:32" x14ac:dyDescent="0.2">
      <c r="AD2072" s="98">
        <f t="shared" ca="1" si="69"/>
        <v>39.652292950034223</v>
      </c>
      <c r="AE2072" s="99">
        <f t="shared" ca="1" si="68"/>
        <v>56468</v>
      </c>
      <c r="AF2072" s="6">
        <v>2.5737099353325381</v>
      </c>
    </row>
    <row r="2073" spans="30:32" x14ac:dyDescent="0.2">
      <c r="AD2073" s="98">
        <f t="shared" ca="1" si="69"/>
        <v>39.671457905544145</v>
      </c>
      <c r="AE2073" s="99">
        <f t="shared" ca="1" si="68"/>
        <v>56475</v>
      </c>
      <c r="AF2073" s="6">
        <v>2.5735796066235483</v>
      </c>
    </row>
    <row r="2074" spans="30:32" x14ac:dyDescent="0.2">
      <c r="AD2074" s="98">
        <f t="shared" ca="1" si="69"/>
        <v>39.690622861054074</v>
      </c>
      <c r="AE2074" s="99">
        <f t="shared" ca="1" si="68"/>
        <v>56482</v>
      </c>
      <c r="AF2074" s="6">
        <v>2.5734503325882701</v>
      </c>
    </row>
    <row r="2075" spans="30:32" x14ac:dyDescent="0.2">
      <c r="AD2075" s="98">
        <f t="shared" ca="1" si="69"/>
        <v>39.709787816563995</v>
      </c>
      <c r="AE2075" s="99">
        <f t="shared" ca="1" si="68"/>
        <v>56489</v>
      </c>
      <c r="AF2075" s="6">
        <v>2.5733221117017577</v>
      </c>
    </row>
    <row r="2076" spans="30:32" x14ac:dyDescent="0.2">
      <c r="AD2076" s="98">
        <f t="shared" ca="1" si="69"/>
        <v>39.728952772073924</v>
      </c>
      <c r="AE2076" s="99">
        <f t="shared" ca="1" si="68"/>
        <v>56496</v>
      </c>
      <c r="AF2076" s="6">
        <v>2.5731949424026506</v>
      </c>
    </row>
    <row r="2077" spans="30:32" x14ac:dyDescent="0.2">
      <c r="AD2077" s="98">
        <f t="shared" ca="1" si="69"/>
        <v>39.748117727583846</v>
      </c>
      <c r="AE2077" s="99">
        <f t="shared" ca="1" si="68"/>
        <v>56503</v>
      </c>
      <c r="AF2077" s="6">
        <v>2.5730688230936365</v>
      </c>
    </row>
    <row r="2078" spans="30:32" x14ac:dyDescent="0.2">
      <c r="AD2078" s="98">
        <f t="shared" ca="1" si="69"/>
        <v>39.767282683093768</v>
      </c>
      <c r="AE2078" s="99">
        <f t="shared" ca="1" si="68"/>
        <v>56510</v>
      </c>
      <c r="AF2078" s="6">
        <v>2.5729437521418927</v>
      </c>
    </row>
    <row r="2079" spans="30:32" x14ac:dyDescent="0.2">
      <c r="AD2079" s="98">
        <f t="shared" ca="1" si="69"/>
        <v>39.786447638603697</v>
      </c>
      <c r="AE2079" s="99">
        <f t="shared" ca="1" si="68"/>
        <v>56517</v>
      </c>
      <c r="AF2079" s="6">
        <v>2.5728197278795482</v>
      </c>
    </row>
    <row r="2080" spans="30:32" x14ac:dyDescent="0.2">
      <c r="AD2080" s="98">
        <f t="shared" ca="1" si="69"/>
        <v>39.805612594113619</v>
      </c>
      <c r="AE2080" s="99">
        <f t="shared" ca="1" si="68"/>
        <v>56524</v>
      </c>
      <c r="AF2080" s="6">
        <v>2.5726967486041272</v>
      </c>
    </row>
    <row r="2081" spans="30:32" x14ac:dyDescent="0.2">
      <c r="AD2081" s="98">
        <f t="shared" ca="1" si="69"/>
        <v>39.824777549623548</v>
      </c>
      <c r="AE2081" s="99">
        <f t="shared" ca="1" si="68"/>
        <v>56531</v>
      </c>
      <c r="AF2081" s="6">
        <v>2.5725748125790022</v>
      </c>
    </row>
    <row r="2082" spans="30:32" x14ac:dyDescent="0.2">
      <c r="AD2082" s="98">
        <f t="shared" ca="1" si="69"/>
        <v>39.843942505133469</v>
      </c>
      <c r="AE2082" s="99">
        <f t="shared" ca="1" si="68"/>
        <v>56538</v>
      </c>
      <c r="AF2082" s="6">
        <v>2.5724539180338417</v>
      </c>
    </row>
    <row r="2083" spans="30:32" x14ac:dyDescent="0.2">
      <c r="AD2083" s="98">
        <f t="shared" ca="1" si="69"/>
        <v>39.863107460643398</v>
      </c>
      <c r="AE2083" s="99">
        <f t="shared" ca="1" si="68"/>
        <v>56545</v>
      </c>
      <c r="AF2083" s="6">
        <v>2.5723340631650569</v>
      </c>
    </row>
    <row r="2084" spans="30:32" x14ac:dyDescent="0.2">
      <c r="AD2084" s="98">
        <f t="shared" ca="1" si="69"/>
        <v>39.88227241615332</v>
      </c>
      <c r="AE2084" s="99">
        <f t="shared" ca="1" si="68"/>
        <v>56552</v>
      </c>
      <c r="AF2084" s="6">
        <v>2.5722152461362477</v>
      </c>
    </row>
    <row r="2085" spans="30:32" x14ac:dyDescent="0.2">
      <c r="AD2085" s="98">
        <f t="shared" ca="1" si="69"/>
        <v>39.901437371663242</v>
      </c>
      <c r="AE2085" s="99">
        <f t="shared" ca="1" si="68"/>
        <v>56559</v>
      </c>
      <c r="AF2085" s="6">
        <v>2.5720974650786483</v>
      </c>
    </row>
    <row r="2086" spans="30:32" x14ac:dyDescent="0.2">
      <c r="AD2086" s="98">
        <f t="shared" ca="1" si="69"/>
        <v>39.920602327173171</v>
      </c>
      <c r="AE2086" s="99">
        <f t="shared" ca="1" si="68"/>
        <v>56566</v>
      </c>
      <c r="AF2086" s="6">
        <v>2.5719807180915675</v>
      </c>
    </row>
    <row r="2087" spans="30:32" x14ac:dyDescent="0.2">
      <c r="AD2087" s="98">
        <f t="shared" ca="1" si="69"/>
        <v>39.939767282683093</v>
      </c>
      <c r="AE2087" s="99">
        <f t="shared" ca="1" si="68"/>
        <v>56573</v>
      </c>
      <c r="AF2087" s="6">
        <v>2.5718650032428325</v>
      </c>
    </row>
    <row r="2088" spans="30:32" x14ac:dyDescent="0.2">
      <c r="AD2088" s="98">
        <f t="shared" ca="1" si="69"/>
        <v>39.958932238193022</v>
      </c>
      <c r="AE2088" s="99">
        <f t="shared" ca="1" si="68"/>
        <v>56580</v>
      </c>
      <c r="AF2088" s="6">
        <v>2.5717503185692299</v>
      </c>
    </row>
    <row r="2089" spans="30:32" x14ac:dyDescent="0.2">
      <c r="AD2089" s="98">
        <f t="shared" ca="1" si="69"/>
        <v>39.978097193702943</v>
      </c>
      <c r="AE2089" s="99">
        <f t="shared" ca="1" si="68"/>
        <v>56587</v>
      </c>
      <c r="AF2089" s="6">
        <v>2.5716366620769415</v>
      </c>
    </row>
    <row r="2090" spans="30:32" x14ac:dyDescent="0.2">
      <c r="AD2090" s="98">
        <f t="shared" ca="1" si="69"/>
        <v>39.997262149212865</v>
      </c>
      <c r="AE2090" s="99">
        <f t="shared" ca="1" si="68"/>
        <v>56594</v>
      </c>
      <c r="AF2090" s="6">
        <v>2.5715240317419803</v>
      </c>
    </row>
    <row r="2091" spans="30:32" x14ac:dyDescent="0.2">
      <c r="AD2091" s="98">
        <f t="shared" ca="1" si="69"/>
        <v>40.016427104722794</v>
      </c>
      <c r="AE2091" s="99">
        <f t="shared" ca="1" si="68"/>
        <v>56601</v>
      </c>
      <c r="AF2091" s="6">
        <v>2.5714120960026285</v>
      </c>
    </row>
    <row r="2092" spans="30:32" x14ac:dyDescent="0.2">
      <c r="AD2092" s="98">
        <f t="shared" ca="1" si="69"/>
        <v>40.035592060232716</v>
      </c>
      <c r="AE2092" s="99">
        <f t="shared" ca="1" si="68"/>
        <v>56608</v>
      </c>
      <c r="AF2092" s="6">
        <v>2.5713002968410787</v>
      </c>
    </row>
    <row r="2093" spans="30:32" x14ac:dyDescent="0.2">
      <c r="AD2093" s="98">
        <f t="shared" ca="1" si="69"/>
        <v>40.054757015742645</v>
      </c>
      <c r="AE2093" s="99">
        <f t="shared" ca="1" si="68"/>
        <v>56615</v>
      </c>
      <c r="AF2093" s="6">
        <v>2.5711886271768529</v>
      </c>
    </row>
    <row r="2094" spans="30:32" x14ac:dyDescent="0.2">
      <c r="AD2094" s="98">
        <f t="shared" ca="1" si="69"/>
        <v>40.073921971252567</v>
      </c>
      <c r="AE2094" s="99">
        <f t="shared" ca="1" si="68"/>
        <v>56622</v>
      </c>
      <c r="AF2094" s="6">
        <v>2.5710770891068488</v>
      </c>
    </row>
    <row r="2095" spans="30:32" x14ac:dyDescent="0.2">
      <c r="AD2095" s="98">
        <f t="shared" ca="1" si="69"/>
        <v>40.093086926762489</v>
      </c>
      <c r="AE2095" s="99">
        <f t="shared" ca="1" si="68"/>
        <v>56629</v>
      </c>
      <c r="AF2095" s="6">
        <v>2.5709656847381557</v>
      </c>
    </row>
    <row r="2096" spans="30:32" x14ac:dyDescent="0.2">
      <c r="AD2096" s="98">
        <f t="shared" ca="1" si="69"/>
        <v>40.112251882272417</v>
      </c>
      <c r="AE2096" s="99">
        <f t="shared" ca="1" si="68"/>
        <v>56636</v>
      </c>
      <c r="AF2096" s="6">
        <v>2.5708544161879976</v>
      </c>
    </row>
    <row r="2097" spans="30:32" x14ac:dyDescent="0.2">
      <c r="AD2097" s="98">
        <f t="shared" ca="1" si="69"/>
        <v>40.131416837782339</v>
      </c>
      <c r="AE2097" s="99">
        <f t="shared" ca="1" si="68"/>
        <v>56643</v>
      </c>
      <c r="AF2097" s="6">
        <v>2.5707432855836703</v>
      </c>
    </row>
    <row r="2098" spans="30:32" x14ac:dyDescent="0.2">
      <c r="AD2098" s="98">
        <f t="shared" ca="1" si="69"/>
        <v>40.150581793292268</v>
      </c>
      <c r="AE2098" s="99">
        <f t="shared" ca="1" si="68"/>
        <v>56650</v>
      </c>
      <c r="AF2098" s="6">
        <v>2.5706322950624796</v>
      </c>
    </row>
    <row r="2099" spans="30:32" x14ac:dyDescent="0.2">
      <c r="AD2099" s="98">
        <f t="shared" ca="1" si="69"/>
        <v>40.16974674880219</v>
      </c>
      <c r="AE2099" s="99">
        <f t="shared" ca="1" si="68"/>
        <v>56657</v>
      </c>
      <c r="AF2099" s="6">
        <v>2.5705214467716782</v>
      </c>
    </row>
    <row r="2100" spans="30:32" x14ac:dyDescent="0.2">
      <c r="AD2100" s="98">
        <f t="shared" ca="1" si="69"/>
        <v>40.188911704312112</v>
      </c>
      <c r="AE2100" s="99">
        <f t="shared" ca="1" si="68"/>
        <v>56664</v>
      </c>
      <c r="AF2100" s="6">
        <v>2.570410742868396</v>
      </c>
    </row>
    <row r="2101" spans="30:32" x14ac:dyDescent="0.2">
      <c r="AD2101" s="98">
        <f t="shared" ca="1" si="69"/>
        <v>40.208076659822041</v>
      </c>
      <c r="AE2101" s="99">
        <f t="shared" ca="1" si="68"/>
        <v>56671</v>
      </c>
      <c r="AF2101" s="6">
        <v>2.5703001855195775</v>
      </c>
    </row>
    <row r="2102" spans="30:32" x14ac:dyDescent="0.2">
      <c r="AD2102" s="98">
        <f t="shared" ca="1" si="69"/>
        <v>40.227241615331963</v>
      </c>
      <c r="AE2102" s="99">
        <f t="shared" ca="1" si="68"/>
        <v>56678</v>
      </c>
      <c r="AF2102" s="6">
        <v>2.5701897769019029</v>
      </c>
    </row>
    <row r="2103" spans="30:32" x14ac:dyDescent="0.2">
      <c r="AD2103" s="98">
        <f t="shared" ca="1" si="69"/>
        <v>40.246406570841891</v>
      </c>
      <c r="AE2103" s="99">
        <f t="shared" ca="1" si="68"/>
        <v>56685</v>
      </c>
      <c r="AF2103" s="6">
        <v>2.5700795192017267</v>
      </c>
    </row>
    <row r="2104" spans="30:32" x14ac:dyDescent="0.2">
      <c r="AD2104" s="98">
        <f t="shared" ca="1" si="69"/>
        <v>40.265571526351813</v>
      </c>
      <c r="AE2104" s="99">
        <f t="shared" ca="1" si="68"/>
        <v>56692</v>
      </c>
      <c r="AF2104" s="6">
        <v>2.5699694146149969</v>
      </c>
    </row>
    <row r="2105" spans="30:32" x14ac:dyDescent="0.2">
      <c r="AD2105" s="98">
        <f t="shared" ca="1" si="69"/>
        <v>40.284736481861735</v>
      </c>
      <c r="AE2105" s="99">
        <f t="shared" ca="1" si="68"/>
        <v>56699</v>
      </c>
      <c r="AF2105" s="6">
        <v>2.5698594653471778</v>
      </c>
    </row>
    <row r="2106" spans="30:32" x14ac:dyDescent="0.2">
      <c r="AD2106" s="98">
        <f t="shared" ca="1" si="69"/>
        <v>40.303901437371664</v>
      </c>
      <c r="AE2106" s="99">
        <f t="shared" ca="1" si="68"/>
        <v>56706</v>
      </c>
      <c r="AF2106" s="6">
        <v>2.5697496736131789</v>
      </c>
    </row>
    <row r="2107" spans="30:32" x14ac:dyDescent="0.2">
      <c r="AD2107" s="98">
        <f t="shared" ca="1" si="69"/>
        <v>40.323066392881586</v>
      </c>
      <c r="AE2107" s="99">
        <f t="shared" ca="1" si="68"/>
        <v>56713</v>
      </c>
      <c r="AF2107" s="6">
        <v>2.5696400416372689</v>
      </c>
    </row>
    <row r="2108" spans="30:32" x14ac:dyDescent="0.2">
      <c r="AD2108" s="98">
        <f t="shared" ca="1" si="69"/>
        <v>40.342231348391515</v>
      </c>
      <c r="AE2108" s="99">
        <f t="shared" ca="1" si="68"/>
        <v>56720</v>
      </c>
      <c r="AF2108" s="6">
        <v>2.5695305716530004</v>
      </c>
    </row>
    <row r="2109" spans="30:32" x14ac:dyDescent="0.2">
      <c r="AD2109" s="98">
        <f t="shared" ca="1" si="69"/>
        <v>40.361396303901437</v>
      </c>
      <c r="AE2109" s="99">
        <f t="shared" ca="1" si="68"/>
        <v>56727</v>
      </c>
      <c r="AF2109" s="6">
        <v>2.569421265903117</v>
      </c>
    </row>
    <row r="2110" spans="30:32" x14ac:dyDescent="0.2">
      <c r="AD2110" s="98">
        <f t="shared" ca="1" si="69"/>
        <v>40.380561259411365</v>
      </c>
      <c r="AE2110" s="99">
        <f t="shared" ca="1" si="68"/>
        <v>56734</v>
      </c>
      <c r="AF2110" s="6">
        <v>2.5693121266394785</v>
      </c>
    </row>
    <row r="2111" spans="30:32" x14ac:dyDescent="0.2">
      <c r="AD2111" s="98">
        <f t="shared" ca="1" si="69"/>
        <v>40.399726214921287</v>
      </c>
      <c r="AE2111" s="99">
        <f t="shared" ca="1" si="68"/>
        <v>56741</v>
      </c>
      <c r="AF2111" s="6">
        <v>2.5692031561229642</v>
      </c>
    </row>
    <row r="2112" spans="30:32" x14ac:dyDescent="0.2">
      <c r="AD2112" s="98">
        <f t="shared" ca="1" si="69"/>
        <v>40.418891170431209</v>
      </c>
      <c r="AE2112" s="99">
        <f t="shared" ca="1" si="68"/>
        <v>56748</v>
      </c>
      <c r="AF2112" s="6">
        <v>2.5690943566233897</v>
      </c>
    </row>
    <row r="2113" spans="30:32" x14ac:dyDescent="0.2">
      <c r="AD2113" s="98">
        <f t="shared" ca="1" si="69"/>
        <v>40.438056125941138</v>
      </c>
      <c r="AE2113" s="99">
        <f t="shared" ca="1" si="68"/>
        <v>56755</v>
      </c>
      <c r="AF2113" s="6">
        <v>2.5689857304194104</v>
      </c>
    </row>
    <row r="2114" spans="30:32" x14ac:dyDescent="0.2">
      <c r="AD2114" s="98">
        <f t="shared" ca="1" si="69"/>
        <v>40.45722108145106</v>
      </c>
      <c r="AE2114" s="99">
        <f t="shared" ca="1" si="68"/>
        <v>56762</v>
      </c>
      <c r="AF2114" s="6">
        <v>2.5688772797984321</v>
      </c>
    </row>
    <row r="2115" spans="30:32" x14ac:dyDescent="0.2">
      <c r="AD2115" s="98">
        <f t="shared" ca="1" si="69"/>
        <v>40.476386036960989</v>
      </c>
      <c r="AE2115" s="99">
        <f t="shared" ca="1" si="68"/>
        <v>56769</v>
      </c>
      <c r="AF2115" s="6">
        <v>2.5687690070565106</v>
      </c>
    </row>
    <row r="2116" spans="30:32" x14ac:dyDescent="0.2">
      <c r="AD2116" s="98">
        <f t="shared" ca="1" si="69"/>
        <v>40.495550992470911</v>
      </c>
      <c r="AE2116" s="99">
        <f t="shared" ref="AE2116:AE2179" ca="1" si="70">AE2115+7</f>
        <v>56776</v>
      </c>
      <c r="AF2116" s="6">
        <v>2.5686609144982602</v>
      </c>
    </row>
    <row r="2117" spans="30:32" x14ac:dyDescent="0.2">
      <c r="AD2117" s="98">
        <f t="shared" ref="AD2117:AD2180" ca="1" si="71">(AE2117-$B$3)/365.25</f>
        <v>40.514715947980832</v>
      </c>
      <c r="AE2117" s="99">
        <f t="shared" ca="1" si="70"/>
        <v>56783</v>
      </c>
      <c r="AF2117" s="6">
        <v>2.5685530044367444</v>
      </c>
    </row>
    <row r="2118" spans="30:32" x14ac:dyDescent="0.2">
      <c r="AD2118" s="98">
        <f t="shared" ca="1" si="71"/>
        <v>40.533880903490761</v>
      </c>
      <c r="AE2118" s="99">
        <f t="shared" ca="1" si="70"/>
        <v>56790</v>
      </c>
      <c r="AF2118" s="6">
        <v>2.5684452791933872</v>
      </c>
    </row>
    <row r="2119" spans="30:32" x14ac:dyDescent="0.2">
      <c r="AD2119" s="98">
        <f t="shared" ca="1" si="71"/>
        <v>40.553045859000683</v>
      </c>
      <c r="AE2119" s="99">
        <f t="shared" ca="1" si="70"/>
        <v>56797</v>
      </c>
      <c r="AF2119" s="6">
        <v>2.5683377410978547</v>
      </c>
    </row>
    <row r="2120" spans="30:32" x14ac:dyDescent="0.2">
      <c r="AD2120" s="98">
        <f t="shared" ca="1" si="71"/>
        <v>40.572210814510612</v>
      </c>
      <c r="AE2120" s="99">
        <f t="shared" ca="1" si="70"/>
        <v>56804</v>
      </c>
      <c r="AF2120" s="6">
        <v>2.568230392487961</v>
      </c>
    </row>
    <row r="2121" spans="30:32" x14ac:dyDescent="0.2">
      <c r="AD2121" s="98">
        <f t="shared" ca="1" si="71"/>
        <v>40.591375770020534</v>
      </c>
      <c r="AE2121" s="99">
        <f t="shared" ca="1" si="70"/>
        <v>56811</v>
      </c>
      <c r="AF2121" s="6">
        <v>2.5681232357095523</v>
      </c>
    </row>
    <row r="2122" spans="30:32" x14ac:dyDescent="0.2">
      <c r="AD2122" s="98">
        <f t="shared" ca="1" si="71"/>
        <v>40.610540725530456</v>
      </c>
      <c r="AE2122" s="99">
        <f t="shared" ca="1" si="70"/>
        <v>56818</v>
      </c>
      <c r="AF2122" s="6">
        <v>2.5680162731163989</v>
      </c>
    </row>
    <row r="2123" spans="30:32" x14ac:dyDescent="0.2">
      <c r="AD2123" s="98">
        <f t="shared" ca="1" si="71"/>
        <v>40.629705681040384</v>
      </c>
      <c r="AE2123" s="99">
        <f t="shared" ca="1" si="70"/>
        <v>56825</v>
      </c>
      <c r="AF2123" s="6">
        <v>2.5679095070700835</v>
      </c>
    </row>
    <row r="2124" spans="30:32" x14ac:dyDescent="0.2">
      <c r="AD2124" s="98">
        <f t="shared" ca="1" si="71"/>
        <v>40.648870636550306</v>
      </c>
      <c r="AE2124" s="99">
        <f t="shared" ca="1" si="70"/>
        <v>56832</v>
      </c>
      <c r="AF2124" s="6">
        <v>2.567802939939889</v>
      </c>
    </row>
    <row r="2125" spans="30:32" x14ac:dyDescent="0.2">
      <c r="AD2125" s="98">
        <f t="shared" ca="1" si="71"/>
        <v>40.668035592060235</v>
      </c>
      <c r="AE2125" s="99">
        <f t="shared" ca="1" si="70"/>
        <v>56839</v>
      </c>
      <c r="AF2125" s="6">
        <v>2.567696574102674</v>
      </c>
    </row>
    <row r="2126" spans="30:32" x14ac:dyDescent="0.2">
      <c r="AD2126" s="98">
        <f t="shared" ca="1" si="71"/>
        <v>40.687200547570157</v>
      </c>
      <c r="AE2126" s="99">
        <f t="shared" ca="1" si="70"/>
        <v>56846</v>
      </c>
      <c r="AF2126" s="6">
        <v>2.5675904119427631</v>
      </c>
    </row>
    <row r="2127" spans="30:32" x14ac:dyDescent="0.2">
      <c r="AD2127" s="98">
        <f t="shared" ca="1" si="71"/>
        <v>40.706365503080079</v>
      </c>
      <c r="AE2127" s="99">
        <f t="shared" ca="1" si="70"/>
        <v>56853</v>
      </c>
      <c r="AF2127" s="6">
        <v>2.5674844558518202</v>
      </c>
    </row>
    <row r="2128" spans="30:32" x14ac:dyDescent="0.2">
      <c r="AD2128" s="98">
        <f t="shared" ca="1" si="71"/>
        <v>40.725530458590008</v>
      </c>
      <c r="AE2128" s="99">
        <f t="shared" ca="1" si="70"/>
        <v>56860</v>
      </c>
      <c r="AF2128" s="6">
        <v>2.5673787082287256</v>
      </c>
    </row>
    <row r="2129" spans="30:32" x14ac:dyDescent="0.2">
      <c r="AD2129" s="98">
        <f t="shared" ca="1" si="71"/>
        <v>40.74469541409993</v>
      </c>
      <c r="AE2129" s="99">
        <f t="shared" ca="1" si="70"/>
        <v>56867</v>
      </c>
      <c r="AF2129" s="6">
        <v>2.5672731714794526</v>
      </c>
    </row>
    <row r="2130" spans="30:32" x14ac:dyDescent="0.2">
      <c r="AD2130" s="98">
        <f t="shared" ca="1" si="71"/>
        <v>40.763860369609858</v>
      </c>
      <c r="AE2130" s="99">
        <f t="shared" ca="1" si="70"/>
        <v>56874</v>
      </c>
      <c r="AF2130" s="6">
        <v>2.5671678480169424</v>
      </c>
    </row>
    <row r="2131" spans="30:32" x14ac:dyDescent="0.2">
      <c r="AD2131" s="98">
        <f t="shared" ca="1" si="71"/>
        <v>40.78302532511978</v>
      </c>
      <c r="AE2131" s="99">
        <f t="shared" ca="1" si="70"/>
        <v>56881</v>
      </c>
      <c r="AF2131" s="6">
        <v>2.5670627402609654</v>
      </c>
    </row>
    <row r="2132" spans="30:32" x14ac:dyDescent="0.2">
      <c r="AD2132" s="98">
        <f t="shared" ca="1" si="71"/>
        <v>40.802190280629709</v>
      </c>
      <c r="AE2132" s="99">
        <f t="shared" ca="1" si="70"/>
        <v>56888</v>
      </c>
      <c r="AF2132" s="6">
        <v>2.5669578506380009</v>
      </c>
    </row>
    <row r="2133" spans="30:32" x14ac:dyDescent="0.2">
      <c r="AD2133" s="98">
        <f t="shared" ca="1" si="71"/>
        <v>40.821355236139631</v>
      </c>
      <c r="AE2133" s="99">
        <f t="shared" ca="1" si="70"/>
        <v>56895</v>
      </c>
      <c r="AF2133" s="6">
        <v>2.5668531815810938</v>
      </c>
    </row>
    <row r="2134" spans="30:32" x14ac:dyDescent="0.2">
      <c r="AD2134" s="98">
        <f t="shared" ca="1" si="71"/>
        <v>40.840520191649553</v>
      </c>
      <c r="AE2134" s="99">
        <f t="shared" ca="1" si="70"/>
        <v>56902</v>
      </c>
      <c r="AF2134" s="6">
        <v>2.5667487355297247</v>
      </c>
    </row>
    <row r="2135" spans="30:32" x14ac:dyDescent="0.2">
      <c r="AD2135" s="98">
        <f t="shared" ca="1" si="71"/>
        <v>40.859685147159482</v>
      </c>
      <c r="AE2135" s="99">
        <f t="shared" ca="1" si="70"/>
        <v>56909</v>
      </c>
      <c r="AF2135" s="6">
        <v>2.5666445149296653</v>
      </c>
    </row>
    <row r="2136" spans="30:32" x14ac:dyDescent="0.2">
      <c r="AD2136" s="98">
        <f t="shared" ca="1" si="71"/>
        <v>40.878850102669404</v>
      </c>
      <c r="AE2136" s="99">
        <f t="shared" ca="1" si="70"/>
        <v>56916</v>
      </c>
      <c r="AF2136" s="6">
        <v>2.5665405222328448</v>
      </c>
    </row>
    <row r="2137" spans="30:32" x14ac:dyDescent="0.2">
      <c r="AD2137" s="98">
        <f t="shared" ca="1" si="71"/>
        <v>40.898015058179332</v>
      </c>
      <c r="AE2137" s="99">
        <f t="shared" ca="1" si="70"/>
        <v>56923</v>
      </c>
      <c r="AF2137" s="6">
        <v>2.5664367598972002</v>
      </c>
    </row>
    <row r="2138" spans="30:32" x14ac:dyDescent="0.2">
      <c r="AD2138" s="98">
        <f t="shared" ca="1" si="71"/>
        <v>40.917180013689254</v>
      </c>
      <c r="AE2138" s="99">
        <f t="shared" ca="1" si="70"/>
        <v>56930</v>
      </c>
      <c r="AF2138" s="6">
        <v>2.5663332303865363</v>
      </c>
    </row>
    <row r="2139" spans="30:32" x14ac:dyDescent="0.2">
      <c r="AD2139" s="98">
        <f t="shared" ca="1" si="71"/>
        <v>40.936344969199176</v>
      </c>
      <c r="AE2139" s="99">
        <f t="shared" ca="1" si="70"/>
        <v>56937</v>
      </c>
      <c r="AF2139" s="6">
        <v>2.5662299361703775</v>
      </c>
    </row>
    <row r="2140" spans="30:32" x14ac:dyDescent="0.2">
      <c r="AD2140" s="98">
        <f t="shared" ca="1" si="71"/>
        <v>40.955509924709105</v>
      </c>
      <c r="AE2140" s="99">
        <f t="shared" ca="1" si="70"/>
        <v>56944</v>
      </c>
      <c r="AF2140" s="6">
        <v>2.5661268797238135</v>
      </c>
    </row>
    <row r="2141" spans="30:32" x14ac:dyDescent="0.2">
      <c r="AD2141" s="98">
        <f t="shared" ca="1" si="71"/>
        <v>40.974674880219027</v>
      </c>
      <c r="AE2141" s="99">
        <f t="shared" ca="1" si="70"/>
        <v>56951</v>
      </c>
      <c r="AF2141" s="6">
        <v>2.5660240635273563</v>
      </c>
    </row>
    <row r="2142" spans="30:32" x14ac:dyDescent="0.2">
      <c r="AD2142" s="98">
        <f t="shared" ca="1" si="71"/>
        <v>40.993839835728956</v>
      </c>
      <c r="AE2142" s="99">
        <f t="shared" ca="1" si="70"/>
        <v>56958</v>
      </c>
      <c r="AF2142" s="6">
        <v>2.5659214900667786</v>
      </c>
    </row>
    <row r="2143" spans="30:32" x14ac:dyDescent="0.2">
      <c r="AD2143" s="98">
        <f t="shared" ca="1" si="71"/>
        <v>41.013004791238878</v>
      </c>
      <c r="AE2143" s="99">
        <f t="shared" ca="1" si="70"/>
        <v>56965</v>
      </c>
      <c r="AF2143" s="6">
        <v>2.5658191618329629</v>
      </c>
    </row>
    <row r="2144" spans="30:32" x14ac:dyDescent="0.2">
      <c r="AD2144" s="98">
        <f t="shared" ca="1" si="71"/>
        <v>41.032169746748799</v>
      </c>
      <c r="AE2144" s="99">
        <f t="shared" ca="1" si="70"/>
        <v>56972</v>
      </c>
      <c r="AF2144" s="6">
        <v>2.565717081321738</v>
      </c>
    </row>
    <row r="2145" spans="30:32" x14ac:dyDescent="0.2">
      <c r="AD2145" s="98">
        <f t="shared" ca="1" si="71"/>
        <v>41.051334702258728</v>
      </c>
      <c r="AE2145" s="99">
        <f t="shared" ca="1" si="70"/>
        <v>56979</v>
      </c>
      <c r="AF2145" s="6">
        <v>2.565615251033722</v>
      </c>
    </row>
    <row r="2146" spans="30:32" x14ac:dyDescent="0.2">
      <c r="AD2146" s="98">
        <f t="shared" ca="1" si="71"/>
        <v>41.07049965776865</v>
      </c>
      <c r="AE2146" s="99">
        <f t="shared" ca="1" si="70"/>
        <v>56986</v>
      </c>
      <c r="AF2146" s="6">
        <v>2.5655136734741619</v>
      </c>
    </row>
    <row r="2147" spans="30:32" x14ac:dyDescent="0.2">
      <c r="AD2147" s="98">
        <f t="shared" ca="1" si="71"/>
        <v>41.089664613278579</v>
      </c>
      <c r="AE2147" s="99">
        <f t="shared" ca="1" si="70"/>
        <v>56993</v>
      </c>
      <c r="AF2147" s="6">
        <v>2.5654123511527613</v>
      </c>
    </row>
    <row r="2148" spans="30:32" x14ac:dyDescent="0.2">
      <c r="AD2148" s="98">
        <f t="shared" ca="1" si="71"/>
        <v>41.108829568788501</v>
      </c>
      <c r="AE2148" s="99">
        <f t="shared" ca="1" si="70"/>
        <v>57000</v>
      </c>
      <c r="AF2148" s="6">
        <v>2.5653112865835213</v>
      </c>
    </row>
    <row r="2149" spans="30:32" x14ac:dyDescent="0.2">
      <c r="AD2149" s="98">
        <f t="shared" ca="1" si="71"/>
        <v>41.127994524298423</v>
      </c>
      <c r="AE2149" s="99">
        <f t="shared" ca="1" si="70"/>
        <v>57007</v>
      </c>
      <c r="AF2149" s="6">
        <v>2.5652104822845652</v>
      </c>
    </row>
    <row r="2150" spans="30:32" x14ac:dyDescent="0.2">
      <c r="AD2150" s="98">
        <f t="shared" ca="1" si="71"/>
        <v>41.147159479808352</v>
      </c>
      <c r="AE2150" s="99">
        <f t="shared" ca="1" si="70"/>
        <v>57014</v>
      </c>
      <c r="AF2150" s="6">
        <v>2.5651099407779689</v>
      </c>
    </row>
    <row r="2151" spans="30:32" x14ac:dyDescent="0.2">
      <c r="AD2151" s="98">
        <f t="shared" ca="1" si="71"/>
        <v>41.166324435318273</v>
      </c>
      <c r="AE2151" s="99">
        <f t="shared" ca="1" si="70"/>
        <v>57021</v>
      </c>
      <c r="AF2151" s="6">
        <v>2.5650096645895899</v>
      </c>
    </row>
    <row r="2152" spans="30:32" x14ac:dyDescent="0.2">
      <c r="AD2152" s="98">
        <f t="shared" ca="1" si="71"/>
        <v>41.185489390828202</v>
      </c>
      <c r="AE2152" s="99">
        <f t="shared" ca="1" si="70"/>
        <v>57028</v>
      </c>
      <c r="AF2152" s="6">
        <v>2.5649096562488869</v>
      </c>
    </row>
    <row r="2153" spans="30:32" x14ac:dyDescent="0.2">
      <c r="AD2153" s="98">
        <f t="shared" ca="1" si="71"/>
        <v>41.204654346338124</v>
      </c>
      <c r="AE2153" s="99">
        <f t="shared" ca="1" si="70"/>
        <v>57035</v>
      </c>
      <c r="AF2153" s="6">
        <v>2.5648099182887432</v>
      </c>
    </row>
    <row r="2154" spans="30:32" x14ac:dyDescent="0.2">
      <c r="AD2154" s="98">
        <f t="shared" ca="1" si="71"/>
        <v>41.223819301848046</v>
      </c>
      <c r="AE2154" s="99">
        <f t="shared" ca="1" si="70"/>
        <v>57042</v>
      </c>
      <c r="AF2154" s="6">
        <v>2.5647104532452882</v>
      </c>
    </row>
    <row r="2155" spans="30:32" x14ac:dyDescent="0.2">
      <c r="AD2155" s="98">
        <f t="shared" ca="1" si="71"/>
        <v>41.242984257357975</v>
      </c>
      <c r="AE2155" s="99">
        <f t="shared" ca="1" si="70"/>
        <v>57049</v>
      </c>
      <c r="AF2155" s="6">
        <v>2.5646112636577119</v>
      </c>
    </row>
    <row r="2156" spans="30:32" x14ac:dyDescent="0.2">
      <c r="AD2156" s="98">
        <f t="shared" ca="1" si="71"/>
        <v>41.262149212867897</v>
      </c>
      <c r="AE2156" s="99">
        <f t="shared" ca="1" si="70"/>
        <v>57056</v>
      </c>
      <c r="AF2156" s="6">
        <v>2.5645123520680824</v>
      </c>
    </row>
    <row r="2157" spans="30:32" x14ac:dyDescent="0.2">
      <c r="AD2157" s="98">
        <f t="shared" ca="1" si="71"/>
        <v>41.281314168377826</v>
      </c>
      <c r="AE2157" s="99">
        <f t="shared" ca="1" si="70"/>
        <v>57063</v>
      </c>
      <c r="AF2157" s="6">
        <v>2.5644137210211602</v>
      </c>
    </row>
    <row r="2158" spans="30:32" x14ac:dyDescent="0.2">
      <c r="AD2158" s="98">
        <f t="shared" ca="1" si="71"/>
        <v>41.300479123887747</v>
      </c>
      <c r="AE2158" s="99">
        <f t="shared" ca="1" si="70"/>
        <v>57070</v>
      </c>
      <c r="AF2158" s="6">
        <v>2.5643153730642041</v>
      </c>
    </row>
    <row r="2159" spans="30:32" x14ac:dyDescent="0.2">
      <c r="AD2159" s="98">
        <f t="shared" ca="1" si="71"/>
        <v>41.319644079397676</v>
      </c>
      <c r="AE2159" s="99">
        <f t="shared" ca="1" si="70"/>
        <v>57077</v>
      </c>
      <c r="AF2159" s="6">
        <v>2.5642173107467854</v>
      </c>
    </row>
    <row r="2160" spans="30:32" x14ac:dyDescent="0.2">
      <c r="AD2160" s="98">
        <f t="shared" ca="1" si="71"/>
        <v>41.338809034907598</v>
      </c>
      <c r="AE2160" s="99">
        <f t="shared" ca="1" si="70"/>
        <v>57084</v>
      </c>
      <c r="AF2160" s="6">
        <v>2.5641195366205936</v>
      </c>
    </row>
    <row r="2161" spans="30:32" x14ac:dyDescent="0.2">
      <c r="AD2161" s="98">
        <f t="shared" ca="1" si="71"/>
        <v>41.35797399041752</v>
      </c>
      <c r="AE2161" s="99">
        <f t="shared" ca="1" si="70"/>
        <v>57091</v>
      </c>
      <c r="AF2161" s="6">
        <v>2.5640220532392366</v>
      </c>
    </row>
    <row r="2162" spans="30:32" x14ac:dyDescent="0.2">
      <c r="AD2162" s="98">
        <f t="shared" ca="1" si="71"/>
        <v>41.377138945927449</v>
      </c>
      <c r="AE2162" s="99">
        <f t="shared" ca="1" si="70"/>
        <v>57098</v>
      </c>
      <c r="AF2162" s="6">
        <v>2.5639248631580505</v>
      </c>
    </row>
    <row r="2163" spans="30:32" x14ac:dyDescent="0.2">
      <c r="AD2163" s="98">
        <f t="shared" ca="1" si="71"/>
        <v>41.396303901437371</v>
      </c>
      <c r="AE2163" s="99">
        <f t="shared" ca="1" si="70"/>
        <v>57105</v>
      </c>
      <c r="AF2163" s="6">
        <v>2.563827968933893</v>
      </c>
    </row>
    <row r="2164" spans="30:32" x14ac:dyDescent="0.2">
      <c r="AD2164" s="98">
        <f t="shared" ca="1" si="71"/>
        <v>41.4154688569473</v>
      </c>
      <c r="AE2164" s="99">
        <f t="shared" ca="1" si="70"/>
        <v>57112</v>
      </c>
      <c r="AF2164" s="6">
        <v>2.5637313731249463</v>
      </c>
    </row>
    <row r="2165" spans="30:32" x14ac:dyDescent="0.2">
      <c r="AD2165" s="98">
        <f t="shared" ca="1" si="71"/>
        <v>41.434633812457221</v>
      </c>
      <c r="AE2165" s="99">
        <f t="shared" ca="1" si="70"/>
        <v>57119</v>
      </c>
      <c r="AF2165" s="6">
        <v>2.5636350782905124</v>
      </c>
    </row>
    <row r="2166" spans="30:32" x14ac:dyDescent="0.2">
      <c r="AD2166" s="98">
        <f t="shared" ca="1" si="71"/>
        <v>41.453798767967143</v>
      </c>
      <c r="AE2166" s="99">
        <f t="shared" ca="1" si="70"/>
        <v>57126</v>
      </c>
      <c r="AF2166" s="6">
        <v>2.5635390869908039</v>
      </c>
    </row>
    <row r="2167" spans="30:32" x14ac:dyDescent="0.2">
      <c r="AD2167" s="98">
        <f t="shared" ca="1" si="71"/>
        <v>41.472963723477072</v>
      </c>
      <c r="AE2167" s="99">
        <f t="shared" ca="1" si="70"/>
        <v>57133</v>
      </c>
      <c r="AF2167" s="6">
        <v>2.5634434017867411</v>
      </c>
    </row>
    <row r="2168" spans="30:32" x14ac:dyDescent="0.2">
      <c r="AD2168" s="98">
        <f t="shared" ca="1" si="71"/>
        <v>41.492128678986994</v>
      </c>
      <c r="AE2168" s="99">
        <f t="shared" ca="1" si="70"/>
        <v>57140</v>
      </c>
      <c r="AF2168" s="6">
        <v>2.56334802523974</v>
      </c>
    </row>
    <row r="2169" spans="30:32" x14ac:dyDescent="0.2">
      <c r="AD2169" s="98">
        <f t="shared" ca="1" si="71"/>
        <v>41.511293634496923</v>
      </c>
      <c r="AE2169" s="99">
        <f t="shared" ca="1" si="70"/>
        <v>57147</v>
      </c>
      <c r="AF2169" s="6">
        <v>2.5632529599114973</v>
      </c>
    </row>
    <row r="2170" spans="30:32" x14ac:dyDescent="0.2">
      <c r="AD2170" s="98">
        <f t="shared" ca="1" si="71"/>
        <v>41.530458590006845</v>
      </c>
      <c r="AE2170" s="99">
        <f t="shared" ca="1" si="70"/>
        <v>57154</v>
      </c>
      <c r="AF2170" s="6">
        <v>2.5631582083637823</v>
      </c>
    </row>
    <row r="2171" spans="30:32" x14ac:dyDescent="0.2">
      <c r="AD2171" s="98">
        <f t="shared" ca="1" si="71"/>
        <v>41.549623545516766</v>
      </c>
      <c r="AE2171" s="99">
        <f t="shared" ca="1" si="70"/>
        <v>57161</v>
      </c>
      <c r="AF2171" s="6">
        <v>2.5630637731582149</v>
      </c>
    </row>
    <row r="2172" spans="30:32" x14ac:dyDescent="0.2">
      <c r="AD2172" s="98">
        <f t="shared" ca="1" si="71"/>
        <v>41.568788501026695</v>
      </c>
      <c r="AE2172" s="99">
        <f t="shared" ca="1" si="70"/>
        <v>57168</v>
      </c>
      <c r="AF2172" s="6">
        <v>2.5629696568560516</v>
      </c>
    </row>
    <row r="2173" spans="30:32" x14ac:dyDescent="0.2">
      <c r="AD2173" s="98">
        <f t="shared" ca="1" si="71"/>
        <v>41.587953456536617</v>
      </c>
      <c r="AE2173" s="99">
        <f t="shared" ca="1" si="70"/>
        <v>57175</v>
      </c>
      <c r="AF2173" s="6">
        <v>2.5628758620179632</v>
      </c>
    </row>
    <row r="2174" spans="30:32" x14ac:dyDescent="0.2">
      <c r="AD2174" s="98">
        <f t="shared" ca="1" si="71"/>
        <v>41.607118412046546</v>
      </c>
      <c r="AE2174" s="99">
        <f t="shared" ca="1" si="70"/>
        <v>57182</v>
      </c>
      <c r="AF2174" s="6">
        <v>2.5627823912038172</v>
      </c>
    </row>
    <row r="2175" spans="30:32" x14ac:dyDescent="0.2">
      <c r="AD2175" s="98">
        <f t="shared" ca="1" si="71"/>
        <v>41.626283367556468</v>
      </c>
      <c r="AE2175" s="99">
        <f t="shared" ca="1" si="70"/>
        <v>57189</v>
      </c>
      <c r="AF2175" s="6">
        <v>2.5626892469724476</v>
      </c>
    </row>
    <row r="2176" spans="30:32" x14ac:dyDescent="0.2">
      <c r="AD2176" s="98">
        <f t="shared" ca="1" si="71"/>
        <v>41.64544832306639</v>
      </c>
      <c r="AE2176" s="99">
        <f t="shared" ca="1" si="70"/>
        <v>57196</v>
      </c>
      <c r="AF2176" s="6">
        <v>2.562596431881432</v>
      </c>
    </row>
    <row r="2177" spans="30:32" x14ac:dyDescent="0.2">
      <c r="AD2177" s="98">
        <f t="shared" ca="1" si="71"/>
        <v>41.664613278576319</v>
      </c>
      <c r="AE2177" s="99">
        <f t="shared" ca="1" si="70"/>
        <v>57203</v>
      </c>
      <c r="AF2177" s="6">
        <v>2.5625039484868686</v>
      </c>
    </row>
    <row r="2178" spans="30:32" x14ac:dyDescent="0.2">
      <c r="AD2178" s="98">
        <f t="shared" ca="1" si="71"/>
        <v>41.68377823408624</v>
      </c>
      <c r="AE2178" s="99">
        <f t="shared" ca="1" si="70"/>
        <v>57210</v>
      </c>
      <c r="AF2178" s="6">
        <v>2.5624117993431379</v>
      </c>
    </row>
    <row r="2179" spans="30:32" x14ac:dyDescent="0.2">
      <c r="AD2179" s="98">
        <f t="shared" ca="1" si="71"/>
        <v>41.702943189596169</v>
      </c>
      <c r="AE2179" s="99">
        <f t="shared" ca="1" si="70"/>
        <v>57217</v>
      </c>
      <c r="AF2179" s="6">
        <v>2.5623199870026769</v>
      </c>
    </row>
    <row r="2180" spans="30:32" x14ac:dyDescent="0.2">
      <c r="AD2180" s="98">
        <f t="shared" ca="1" si="71"/>
        <v>41.722108145106091</v>
      </c>
      <c r="AE2180" s="99">
        <f t="shared" ref="AE2180:AE2243" ca="1" si="72">AE2179+7</f>
        <v>57224</v>
      </c>
      <c r="AF2180" s="6">
        <v>2.5622285140157475</v>
      </c>
    </row>
    <row r="2181" spans="30:32" x14ac:dyDescent="0.2">
      <c r="AD2181" s="98">
        <f t="shared" ref="AD2181:AD2244" ca="1" si="73">(AE2181-$B$3)/365.25</f>
        <v>41.741273100616013</v>
      </c>
      <c r="AE2181" s="99">
        <f t="shared" ca="1" si="72"/>
        <v>57231</v>
      </c>
      <c r="AF2181" s="6">
        <v>2.5621373829301981</v>
      </c>
    </row>
    <row r="2182" spans="30:32" x14ac:dyDescent="0.2">
      <c r="AD2182" s="98">
        <f t="shared" ca="1" si="73"/>
        <v>41.760438056125942</v>
      </c>
      <c r="AE2182" s="99">
        <f t="shared" ca="1" si="72"/>
        <v>57238</v>
      </c>
      <c r="AF2182" s="6">
        <v>2.5620465962912262</v>
      </c>
    </row>
    <row r="2183" spans="30:32" x14ac:dyDescent="0.2">
      <c r="AD2183" s="98">
        <f t="shared" ca="1" si="73"/>
        <v>41.779603011635864</v>
      </c>
      <c r="AE2183" s="99">
        <f t="shared" ca="1" si="72"/>
        <v>57245</v>
      </c>
      <c r="AF2183" s="6">
        <v>2.5619561566411444</v>
      </c>
    </row>
    <row r="2184" spans="30:32" x14ac:dyDescent="0.2">
      <c r="AD2184" s="98">
        <f t="shared" ca="1" si="73"/>
        <v>41.798767967145793</v>
      </c>
      <c r="AE2184" s="99">
        <f t="shared" ca="1" si="72"/>
        <v>57252</v>
      </c>
      <c r="AF2184" s="6">
        <v>2.5618660665191353</v>
      </c>
    </row>
    <row r="2185" spans="30:32" x14ac:dyDescent="0.2">
      <c r="AD2185" s="98">
        <f t="shared" ca="1" si="73"/>
        <v>41.817932922655714</v>
      </c>
      <c r="AE2185" s="99">
        <f t="shared" ca="1" si="72"/>
        <v>57259</v>
      </c>
      <c r="AF2185" s="6">
        <v>2.5617763284610136</v>
      </c>
    </row>
    <row r="2186" spans="30:32" x14ac:dyDescent="0.2">
      <c r="AD2186" s="98">
        <f t="shared" ca="1" si="73"/>
        <v>41.837097878165643</v>
      </c>
      <c r="AE2186" s="99">
        <f t="shared" ca="1" si="72"/>
        <v>57266</v>
      </c>
      <c r="AF2186" s="6">
        <v>2.561686944998979</v>
      </c>
    </row>
    <row r="2187" spans="30:32" x14ac:dyDescent="0.2">
      <c r="AD2187" s="98">
        <f t="shared" ca="1" si="73"/>
        <v>41.856262833675565</v>
      </c>
      <c r="AE2187" s="99">
        <f t="shared" ca="1" si="72"/>
        <v>57273</v>
      </c>
      <c r="AF2187" s="6">
        <v>2.5615979186613753</v>
      </c>
    </row>
    <row r="2188" spans="30:32" x14ac:dyDescent="0.2">
      <c r="AD2188" s="98">
        <f t="shared" ca="1" si="73"/>
        <v>41.875427789185487</v>
      </c>
      <c r="AE2188" s="99">
        <f t="shared" ca="1" si="72"/>
        <v>57280</v>
      </c>
      <c r="AF2188" s="6">
        <v>2.5615092519724394</v>
      </c>
    </row>
    <row r="2189" spans="30:32" x14ac:dyDescent="0.2">
      <c r="AD2189" s="98">
        <f t="shared" ca="1" si="73"/>
        <v>41.894592744695416</v>
      </c>
      <c r="AE2189" s="99">
        <f t="shared" ca="1" si="72"/>
        <v>57287</v>
      </c>
      <c r="AF2189" s="6">
        <v>2.5614209474520551</v>
      </c>
    </row>
    <row r="2190" spans="30:32" x14ac:dyDescent="0.2">
      <c r="AD2190" s="98">
        <f t="shared" ca="1" si="73"/>
        <v>41.913757700205338</v>
      </c>
      <c r="AE2190" s="99">
        <f t="shared" ca="1" si="72"/>
        <v>57294</v>
      </c>
      <c r="AF2190" s="6">
        <v>2.5613330076155023</v>
      </c>
    </row>
    <row r="2191" spans="30:32" x14ac:dyDescent="0.2">
      <c r="AD2191" s="98">
        <f t="shared" ca="1" si="73"/>
        <v>41.932922655715267</v>
      </c>
      <c r="AE2191" s="99">
        <f t="shared" ca="1" si="72"/>
        <v>57301</v>
      </c>
      <c r="AF2191" s="6">
        <v>2.5612454349732086</v>
      </c>
    </row>
    <row r="2192" spans="30:32" x14ac:dyDescent="0.2">
      <c r="AD2192" s="98">
        <f t="shared" ca="1" si="73"/>
        <v>41.952087611225188</v>
      </c>
      <c r="AE2192" s="99">
        <f t="shared" ca="1" si="72"/>
        <v>57308</v>
      </c>
      <c r="AF2192" s="6">
        <v>2.5611582320304893</v>
      </c>
    </row>
    <row r="2193" spans="30:32" x14ac:dyDescent="0.2">
      <c r="AD2193" s="98">
        <f t="shared" ca="1" si="73"/>
        <v>41.97125256673511</v>
      </c>
      <c r="AE2193" s="99">
        <f t="shared" ca="1" si="72"/>
        <v>57315</v>
      </c>
      <c r="AF2193" s="6">
        <v>2.5610714012873022</v>
      </c>
    </row>
    <row r="2194" spans="30:32" x14ac:dyDescent="0.2">
      <c r="AD2194" s="98">
        <f t="shared" ca="1" si="73"/>
        <v>41.990417522245039</v>
      </c>
      <c r="AE2194" s="99">
        <f t="shared" ca="1" si="72"/>
        <v>57322</v>
      </c>
      <c r="AF2194" s="6">
        <v>2.5609849452379829</v>
      </c>
    </row>
    <row r="2195" spans="30:32" x14ac:dyDescent="0.2">
      <c r="AD2195" s="98">
        <f t="shared" ca="1" si="73"/>
        <v>42.009582477754961</v>
      </c>
      <c r="AE2195" s="99">
        <f t="shared" ca="1" si="72"/>
        <v>57329</v>
      </c>
      <c r="AF2195" s="6">
        <v>2.5608988663709953</v>
      </c>
    </row>
    <row r="2196" spans="30:32" x14ac:dyDescent="0.2">
      <c r="AD2196" s="98">
        <f t="shared" ca="1" si="73"/>
        <v>42.02874743326489</v>
      </c>
      <c r="AE2196" s="99">
        <f t="shared" ca="1" si="72"/>
        <v>57336</v>
      </c>
      <c r="AF2196" s="6">
        <v>2.5608131671686651</v>
      </c>
    </row>
    <row r="2197" spans="30:32" x14ac:dyDescent="0.2">
      <c r="AD2197" s="98">
        <f t="shared" ca="1" si="73"/>
        <v>42.047912388774812</v>
      </c>
      <c r="AE2197" s="99">
        <f t="shared" ca="1" si="72"/>
        <v>57343</v>
      </c>
      <c r="AF2197" s="6">
        <v>2.5607278501069293</v>
      </c>
    </row>
    <row r="2198" spans="30:32" x14ac:dyDescent="0.2">
      <c r="AD2198" s="98">
        <f t="shared" ca="1" si="73"/>
        <v>42.067077344284733</v>
      </c>
      <c r="AE2198" s="99">
        <f t="shared" ca="1" si="72"/>
        <v>57350</v>
      </c>
      <c r="AF2198" s="6">
        <v>2.5606429176550645</v>
      </c>
    </row>
    <row r="2199" spans="30:32" x14ac:dyDescent="0.2">
      <c r="AD2199" s="98">
        <f t="shared" ca="1" si="73"/>
        <v>42.086242299794662</v>
      </c>
      <c r="AE2199" s="99">
        <f t="shared" ca="1" si="72"/>
        <v>57357</v>
      </c>
      <c r="AF2199" s="6">
        <v>2.5605583722754321</v>
      </c>
    </row>
    <row r="2200" spans="30:32" x14ac:dyDescent="0.2">
      <c r="AD2200" s="98">
        <f t="shared" ca="1" si="73"/>
        <v>42.105407255304584</v>
      </c>
      <c r="AE2200" s="99">
        <f t="shared" ca="1" si="72"/>
        <v>57364</v>
      </c>
      <c r="AF2200" s="6">
        <v>2.5604742164232133</v>
      </c>
    </row>
    <row r="2201" spans="30:32" x14ac:dyDescent="0.2">
      <c r="AD2201" s="98">
        <f t="shared" ca="1" si="73"/>
        <v>42.124572210814513</v>
      </c>
      <c r="AE2201" s="99">
        <f t="shared" ca="1" si="72"/>
        <v>57371</v>
      </c>
      <c r="AF2201" s="6">
        <v>2.5603904525461405</v>
      </c>
    </row>
    <row r="2202" spans="30:32" x14ac:dyDescent="0.2">
      <c r="AD2202" s="98">
        <f t="shared" ca="1" si="73"/>
        <v>42.143737166324435</v>
      </c>
      <c r="AE2202" s="99">
        <f t="shared" ca="1" si="72"/>
        <v>57378</v>
      </c>
      <c r="AF2202" s="6">
        <v>2.5603070830842354</v>
      </c>
    </row>
    <row r="2203" spans="30:32" x14ac:dyDescent="0.2">
      <c r="AD2203" s="98">
        <f t="shared" ca="1" si="73"/>
        <v>42.162902121834357</v>
      </c>
      <c r="AE2203" s="99">
        <f t="shared" ca="1" si="72"/>
        <v>57385</v>
      </c>
      <c r="AF2203" s="6">
        <v>2.5602241104695391</v>
      </c>
    </row>
    <row r="2204" spans="30:32" x14ac:dyDescent="0.2">
      <c r="AD2204" s="98">
        <f t="shared" ca="1" si="73"/>
        <v>42.182067077344286</v>
      </c>
      <c r="AE2204" s="99">
        <f t="shared" ca="1" si="72"/>
        <v>57392</v>
      </c>
      <c r="AF2204" s="6">
        <v>2.5601415371258458</v>
      </c>
    </row>
    <row r="2205" spans="30:32" x14ac:dyDescent="0.2">
      <c r="AD2205" s="98">
        <f t="shared" ca="1" si="73"/>
        <v>42.201232032854207</v>
      </c>
      <c r="AE2205" s="99">
        <f t="shared" ca="1" si="72"/>
        <v>57399</v>
      </c>
      <c r="AF2205" s="6">
        <v>2.5600593654684314</v>
      </c>
    </row>
    <row r="2206" spans="30:32" x14ac:dyDescent="0.2">
      <c r="AD2206" s="98">
        <f t="shared" ca="1" si="73"/>
        <v>42.220396988364136</v>
      </c>
      <c r="AE2206" s="99">
        <f t="shared" ca="1" si="72"/>
        <v>57406</v>
      </c>
      <c r="AF2206" s="6">
        <v>2.5599775979037855</v>
      </c>
    </row>
    <row r="2207" spans="30:32" x14ac:dyDescent="0.2">
      <c r="AD2207" s="98">
        <f t="shared" ca="1" si="73"/>
        <v>42.239561943874058</v>
      </c>
      <c r="AE2207" s="99">
        <f t="shared" ca="1" si="72"/>
        <v>57413</v>
      </c>
      <c r="AF2207" s="6">
        <v>2.559896236829339</v>
      </c>
    </row>
    <row r="2208" spans="30:32" x14ac:dyDescent="0.2">
      <c r="AD2208" s="98">
        <f t="shared" ca="1" si="73"/>
        <v>42.258726899383987</v>
      </c>
      <c r="AE2208" s="99">
        <f t="shared" ca="1" si="72"/>
        <v>57420</v>
      </c>
      <c r="AF2208" s="6">
        <v>2.5598152846331921</v>
      </c>
    </row>
    <row r="2209" spans="30:32" x14ac:dyDescent="0.2">
      <c r="AD2209" s="98">
        <f t="shared" ca="1" si="73"/>
        <v>42.277891854893909</v>
      </c>
      <c r="AE2209" s="99">
        <f t="shared" ca="1" si="72"/>
        <v>57427</v>
      </c>
      <c r="AF2209" s="6">
        <v>2.5597347436938405</v>
      </c>
    </row>
    <row r="2210" spans="30:32" x14ac:dyDescent="0.2">
      <c r="AD2210" s="98">
        <f t="shared" ca="1" si="73"/>
        <v>42.297056810403831</v>
      </c>
      <c r="AE2210" s="99">
        <f t="shared" ca="1" si="72"/>
        <v>57434</v>
      </c>
      <c r="AF2210" s="6">
        <v>2.5596546163799037</v>
      </c>
    </row>
    <row r="2211" spans="30:32" x14ac:dyDescent="0.2">
      <c r="AD2211" s="98">
        <f t="shared" ca="1" si="73"/>
        <v>42.31622176591376</v>
      </c>
      <c r="AE2211" s="99">
        <f t="shared" ca="1" si="72"/>
        <v>57441</v>
      </c>
      <c r="AF2211" s="6">
        <v>2.559574905049848</v>
      </c>
    </row>
    <row r="2212" spans="30:32" x14ac:dyDescent="0.2">
      <c r="AD2212" s="98">
        <f t="shared" ca="1" si="73"/>
        <v>42.335386721423681</v>
      </c>
      <c r="AE2212" s="99">
        <f t="shared" ca="1" si="72"/>
        <v>57448</v>
      </c>
      <c r="AF2212" s="6">
        <v>2.5594956120517138</v>
      </c>
    </row>
    <row r="2213" spans="30:32" x14ac:dyDescent="0.2">
      <c r="AD2213" s="98">
        <f t="shared" ca="1" si="73"/>
        <v>42.35455167693361</v>
      </c>
      <c r="AE2213" s="99">
        <f t="shared" ca="1" si="72"/>
        <v>57455</v>
      </c>
      <c r="AF2213" s="6">
        <v>2.5594167397228365</v>
      </c>
    </row>
    <row r="2214" spans="30:32" x14ac:dyDescent="0.2">
      <c r="AD2214" s="98">
        <f t="shared" ca="1" si="73"/>
        <v>42.373716632443532</v>
      </c>
      <c r="AE2214" s="99">
        <f t="shared" ca="1" si="72"/>
        <v>57462</v>
      </c>
      <c r="AF2214" s="6">
        <v>2.5593382903895727</v>
      </c>
    </row>
    <row r="2215" spans="30:32" x14ac:dyDescent="0.2">
      <c r="AD2215" s="98">
        <f t="shared" ca="1" si="73"/>
        <v>42.392881587953454</v>
      </c>
      <c r="AE2215" s="99">
        <f t="shared" ca="1" si="72"/>
        <v>57469</v>
      </c>
      <c r="AF2215" s="6">
        <v>2.5592602663670219</v>
      </c>
    </row>
    <row r="2216" spans="30:32" x14ac:dyDescent="0.2">
      <c r="AD2216" s="98">
        <f t="shared" ca="1" si="73"/>
        <v>42.412046543463383</v>
      </c>
      <c r="AE2216" s="99">
        <f t="shared" ca="1" si="72"/>
        <v>57476</v>
      </c>
      <c r="AF2216" s="6">
        <v>2.5591826699587479</v>
      </c>
    </row>
    <row r="2217" spans="30:32" x14ac:dyDescent="0.2">
      <c r="AD2217" s="98">
        <f t="shared" ca="1" si="73"/>
        <v>42.431211498973305</v>
      </c>
      <c r="AE2217" s="99">
        <f t="shared" ca="1" si="72"/>
        <v>57483</v>
      </c>
      <c r="AF2217" s="6">
        <v>2.5591055034565011</v>
      </c>
    </row>
    <row r="2218" spans="30:32" x14ac:dyDescent="0.2">
      <c r="AD2218" s="98">
        <f t="shared" ca="1" si="73"/>
        <v>42.450376454483234</v>
      </c>
      <c r="AE2218" s="99">
        <f t="shared" ca="1" si="72"/>
        <v>57490</v>
      </c>
      <c r="AF2218" s="6">
        <v>2.5590287691399416</v>
      </c>
    </row>
    <row r="2219" spans="30:32" x14ac:dyDescent="0.2">
      <c r="AD2219" s="98">
        <f t="shared" ca="1" si="73"/>
        <v>42.469541409993155</v>
      </c>
      <c r="AE2219" s="99">
        <f t="shared" ca="1" si="72"/>
        <v>57497</v>
      </c>
      <c r="AF2219" s="6">
        <v>2.5589524692763566</v>
      </c>
    </row>
    <row r="2220" spans="30:32" x14ac:dyDescent="0.2">
      <c r="AD2220" s="98">
        <f t="shared" ca="1" si="73"/>
        <v>42.488706365503077</v>
      </c>
      <c r="AE2220" s="99">
        <f t="shared" ca="1" si="72"/>
        <v>57504</v>
      </c>
      <c r="AF2220" s="6">
        <v>2.5588766061203838</v>
      </c>
    </row>
    <row r="2221" spans="30:32" x14ac:dyDescent="0.2">
      <c r="AD2221" s="98">
        <f t="shared" ca="1" si="73"/>
        <v>42.507871321013006</v>
      </c>
      <c r="AE2221" s="99">
        <f t="shared" ca="1" si="72"/>
        <v>57511</v>
      </c>
      <c r="AF2221" s="6">
        <v>2.5588011819137297</v>
      </c>
    </row>
    <row r="2222" spans="30:32" x14ac:dyDescent="0.2">
      <c r="AD2222" s="98">
        <f t="shared" ca="1" si="73"/>
        <v>42.527036276522928</v>
      </c>
      <c r="AE2222" s="99">
        <f t="shared" ca="1" si="72"/>
        <v>57518</v>
      </c>
      <c r="AF2222" s="6">
        <v>2.5587261988848917</v>
      </c>
    </row>
    <row r="2223" spans="30:32" x14ac:dyDescent="0.2">
      <c r="AD2223" s="98">
        <f t="shared" ca="1" si="73"/>
        <v>42.546201232032857</v>
      </c>
      <c r="AE2223" s="99">
        <f t="shared" ca="1" si="72"/>
        <v>57525</v>
      </c>
      <c r="AF2223" s="6">
        <v>2.5586516592488748</v>
      </c>
    </row>
    <row r="2224" spans="30:32" x14ac:dyDescent="0.2">
      <c r="AD2224" s="98">
        <f t="shared" ca="1" si="73"/>
        <v>42.565366187542779</v>
      </c>
      <c r="AE2224" s="99">
        <f t="shared" ca="1" si="72"/>
        <v>57532</v>
      </c>
      <c r="AF2224" s="6">
        <v>2.5585775652069156</v>
      </c>
    </row>
    <row r="2225" spans="30:32" x14ac:dyDescent="0.2">
      <c r="AD2225" s="98">
        <f t="shared" ca="1" si="73"/>
        <v>42.5845311430527</v>
      </c>
      <c r="AE2225" s="99">
        <f t="shared" ca="1" si="72"/>
        <v>57539</v>
      </c>
      <c r="AF2225" s="6">
        <v>2.5585039189461978</v>
      </c>
    </row>
    <row r="2226" spans="30:32" x14ac:dyDescent="0.2">
      <c r="AD2226" s="98">
        <f t="shared" ca="1" si="73"/>
        <v>42.603696098562629</v>
      </c>
      <c r="AE2226" s="99">
        <f t="shared" ca="1" si="72"/>
        <v>57546</v>
      </c>
      <c r="AF2226" s="6">
        <v>2.5584307226395735</v>
      </c>
    </row>
    <row r="2227" spans="30:32" x14ac:dyDescent="0.2">
      <c r="AD2227" s="98">
        <f t="shared" ca="1" si="73"/>
        <v>42.622861054072551</v>
      </c>
      <c r="AE2227" s="99">
        <f t="shared" ca="1" si="72"/>
        <v>57553</v>
      </c>
      <c r="AF2227" s="6">
        <v>2.5583579784452808</v>
      </c>
    </row>
    <row r="2228" spans="30:32" x14ac:dyDescent="0.2">
      <c r="AD2228" s="98">
        <f t="shared" ca="1" si="73"/>
        <v>42.64202600958248</v>
      </c>
      <c r="AE2228" s="99">
        <f t="shared" ca="1" si="72"/>
        <v>57560</v>
      </c>
      <c r="AF2228" s="6">
        <v>2.5582856885066678</v>
      </c>
    </row>
    <row r="2229" spans="30:32" x14ac:dyDescent="0.2">
      <c r="AD2229" s="98">
        <f t="shared" ca="1" si="73"/>
        <v>42.661190965092402</v>
      </c>
      <c r="AE2229" s="99">
        <f t="shared" ca="1" si="72"/>
        <v>57567</v>
      </c>
      <c r="AF2229" s="6">
        <v>2.5582138549519069</v>
      </c>
    </row>
    <row r="2230" spans="30:32" x14ac:dyDescent="0.2">
      <c r="AD2230" s="98">
        <f t="shared" ca="1" si="73"/>
        <v>42.680355920602324</v>
      </c>
      <c r="AE2230" s="99">
        <f t="shared" ca="1" si="72"/>
        <v>57574</v>
      </c>
      <c r="AF2230" s="6">
        <v>2.55814247989372</v>
      </c>
    </row>
    <row r="2231" spans="30:32" x14ac:dyDescent="0.2">
      <c r="AD2231" s="98">
        <f t="shared" ca="1" si="73"/>
        <v>42.699520876112253</v>
      </c>
      <c r="AE2231" s="99">
        <f t="shared" ca="1" si="72"/>
        <v>57581</v>
      </c>
      <c r="AF2231" s="6">
        <v>2.5580715654290938</v>
      </c>
    </row>
    <row r="2232" spans="30:32" x14ac:dyDescent="0.2">
      <c r="AD2232" s="98">
        <f t="shared" ca="1" si="73"/>
        <v>42.718685831622174</v>
      </c>
      <c r="AE2232" s="99">
        <f t="shared" ca="1" si="72"/>
        <v>57588</v>
      </c>
      <c r="AF2232" s="6">
        <v>2.5580011136390004</v>
      </c>
    </row>
    <row r="2233" spans="30:32" x14ac:dyDescent="0.2">
      <c r="AD2233" s="98">
        <f t="shared" ca="1" si="73"/>
        <v>42.737850787132103</v>
      </c>
      <c r="AE2233" s="99">
        <f t="shared" ca="1" si="72"/>
        <v>57595</v>
      </c>
      <c r="AF2233" s="6">
        <v>2.5579311265881239</v>
      </c>
    </row>
    <row r="2234" spans="30:32" x14ac:dyDescent="0.2">
      <c r="AD2234" s="98">
        <f t="shared" ca="1" si="73"/>
        <v>42.757015742642025</v>
      </c>
      <c r="AE2234" s="99">
        <f t="shared" ca="1" si="72"/>
        <v>57602</v>
      </c>
      <c r="AF2234" s="6">
        <v>2.5578616063245749</v>
      </c>
    </row>
    <row r="2235" spans="30:32" x14ac:dyDescent="0.2">
      <c r="AD2235" s="98">
        <f t="shared" ca="1" si="73"/>
        <v>42.776180698151954</v>
      </c>
      <c r="AE2235" s="99">
        <f t="shared" ca="1" si="72"/>
        <v>57609</v>
      </c>
      <c r="AF2235" s="6">
        <v>2.5577925548796148</v>
      </c>
    </row>
    <row r="2236" spans="30:32" x14ac:dyDescent="0.2">
      <c r="AD2236" s="98">
        <f t="shared" ca="1" si="73"/>
        <v>42.795345653661876</v>
      </c>
      <c r="AE2236" s="99">
        <f t="shared" ca="1" si="72"/>
        <v>57616</v>
      </c>
      <c r="AF2236" s="6">
        <v>2.5577239742673776</v>
      </c>
    </row>
    <row r="2237" spans="30:32" x14ac:dyDescent="0.2">
      <c r="AD2237" s="98">
        <f t="shared" ca="1" si="73"/>
        <v>42.814510609171798</v>
      </c>
      <c r="AE2237" s="99">
        <f t="shared" ca="1" si="72"/>
        <v>57623</v>
      </c>
      <c r="AF2237" s="6">
        <v>2.5576558664845925</v>
      </c>
    </row>
    <row r="2238" spans="30:32" x14ac:dyDescent="0.2">
      <c r="AD2238" s="98">
        <f t="shared" ca="1" si="73"/>
        <v>42.833675564681727</v>
      </c>
      <c r="AE2238" s="99">
        <f t="shared" ca="1" si="72"/>
        <v>57630</v>
      </c>
      <c r="AF2238" s="6">
        <v>2.5575882335103097</v>
      </c>
    </row>
    <row r="2239" spans="30:32" x14ac:dyDescent="0.2">
      <c r="AD2239" s="98">
        <f t="shared" ca="1" si="73"/>
        <v>42.852840520191648</v>
      </c>
      <c r="AE2239" s="99">
        <f t="shared" ca="1" si="72"/>
        <v>57637</v>
      </c>
      <c r="AF2239" s="6">
        <v>2.5575210773056161</v>
      </c>
    </row>
    <row r="2240" spans="30:32" x14ac:dyDescent="0.2">
      <c r="AD2240" s="98">
        <f t="shared" ca="1" si="73"/>
        <v>42.872005475701577</v>
      </c>
      <c r="AE2240" s="99">
        <f t="shared" ca="1" si="72"/>
        <v>57644</v>
      </c>
      <c r="AF2240" s="6">
        <v>2.5574543998133725</v>
      </c>
    </row>
    <row r="2241" spans="30:32" x14ac:dyDescent="0.2">
      <c r="AD2241" s="98">
        <f t="shared" ca="1" si="73"/>
        <v>42.891170431211499</v>
      </c>
      <c r="AE2241" s="99">
        <f t="shared" ca="1" si="72"/>
        <v>57651</v>
      </c>
      <c r="AF2241" s="6">
        <v>2.557388202957926</v>
      </c>
    </row>
    <row r="2242" spans="30:32" x14ac:dyDescent="0.2">
      <c r="AD2242" s="98">
        <f t="shared" ca="1" si="73"/>
        <v>42.910335386721421</v>
      </c>
      <c r="AE2242" s="99">
        <f t="shared" ca="1" si="72"/>
        <v>57658</v>
      </c>
      <c r="AF2242" s="6">
        <v>2.5573224886448491</v>
      </c>
    </row>
    <row r="2243" spans="30:32" x14ac:dyDescent="0.2">
      <c r="AD2243" s="98">
        <f t="shared" ca="1" si="73"/>
        <v>42.92950034223135</v>
      </c>
      <c r="AE2243" s="99">
        <f t="shared" ca="1" si="72"/>
        <v>57665</v>
      </c>
      <c r="AF2243" s="6">
        <v>2.5572572587606555</v>
      </c>
    </row>
    <row r="2244" spans="30:32" x14ac:dyDescent="0.2">
      <c r="AD2244" s="98">
        <f t="shared" ca="1" si="73"/>
        <v>42.948665297741272</v>
      </c>
      <c r="AE2244" s="99">
        <f t="shared" ref="AE2244:AE2307" ca="1" si="74">AE2243+7</f>
        <v>57672</v>
      </c>
      <c r="AF2244" s="6">
        <v>2.5571925151725359</v>
      </c>
    </row>
    <row r="2245" spans="30:32" x14ac:dyDescent="0.2">
      <c r="AD2245" s="98">
        <f t="shared" ref="AD2245:AD2308" ca="1" si="75">(AE2245-$B$3)/365.25</f>
        <v>42.967830253251201</v>
      </c>
      <c r="AE2245" s="99">
        <f t="shared" ca="1" si="74"/>
        <v>57679</v>
      </c>
      <c r="AF2245" s="6">
        <v>2.5571282597280836</v>
      </c>
    </row>
    <row r="2246" spans="30:32" x14ac:dyDescent="0.2">
      <c r="AD2246" s="98">
        <f t="shared" ca="1" si="75"/>
        <v>42.986995208761122</v>
      </c>
      <c r="AE2246" s="99">
        <f t="shared" ca="1" si="74"/>
        <v>57686</v>
      </c>
      <c r="AF2246" s="6">
        <v>2.5570644942550285</v>
      </c>
    </row>
    <row r="2247" spans="30:32" x14ac:dyDescent="0.2">
      <c r="AD2247" s="98">
        <f t="shared" ca="1" si="75"/>
        <v>43.006160164271044</v>
      </c>
      <c r="AE2247" s="99">
        <f t="shared" ca="1" si="74"/>
        <v>57693</v>
      </c>
      <c r="AF2247" s="6">
        <v>2.5570012205609634</v>
      </c>
    </row>
    <row r="2248" spans="30:32" x14ac:dyDescent="0.2">
      <c r="AD2248" s="98">
        <f t="shared" ca="1" si="75"/>
        <v>43.025325119780973</v>
      </c>
      <c r="AE2248" s="99">
        <f t="shared" ca="1" si="74"/>
        <v>57700</v>
      </c>
      <c r="AF2248" s="6">
        <v>2.5569384404330813</v>
      </c>
    </row>
    <row r="2249" spans="30:32" x14ac:dyDescent="0.2">
      <c r="AD2249" s="98">
        <f t="shared" ca="1" si="75"/>
        <v>43.044490075290895</v>
      </c>
      <c r="AE2249" s="99">
        <f t="shared" ca="1" si="74"/>
        <v>57707</v>
      </c>
      <c r="AF2249" s="6">
        <v>2.5568761556379083</v>
      </c>
    </row>
    <row r="2250" spans="30:32" x14ac:dyDescent="0.2">
      <c r="AD2250" s="98">
        <f t="shared" ca="1" si="75"/>
        <v>43.063655030800824</v>
      </c>
      <c r="AE2250" s="99">
        <f t="shared" ca="1" si="74"/>
        <v>57714</v>
      </c>
      <c r="AF2250" s="6">
        <v>2.5568143679210369</v>
      </c>
    </row>
    <row r="2251" spans="30:32" x14ac:dyDescent="0.2">
      <c r="AD2251" s="98">
        <f t="shared" ca="1" si="75"/>
        <v>43.082819986310746</v>
      </c>
      <c r="AE2251" s="99">
        <f t="shared" ca="1" si="74"/>
        <v>57721</v>
      </c>
      <c r="AF2251" s="6">
        <v>2.5567530790068664</v>
      </c>
    </row>
    <row r="2252" spans="30:32" x14ac:dyDescent="0.2">
      <c r="AD2252" s="98">
        <f t="shared" ca="1" si="75"/>
        <v>43.101984941820668</v>
      </c>
      <c r="AE2252" s="99">
        <f t="shared" ca="1" si="74"/>
        <v>57728</v>
      </c>
      <c r="AF2252" s="6">
        <v>2.5566922905983378</v>
      </c>
    </row>
    <row r="2253" spans="30:32" x14ac:dyDescent="0.2">
      <c r="AD2253" s="98">
        <f t="shared" ca="1" si="75"/>
        <v>43.121149897330596</v>
      </c>
      <c r="AE2253" s="99">
        <f t="shared" ca="1" si="74"/>
        <v>57735</v>
      </c>
      <c r="AF2253" s="6">
        <v>2.5566320043766773</v>
      </c>
    </row>
    <row r="2254" spans="30:32" x14ac:dyDescent="0.2">
      <c r="AD2254" s="98">
        <f t="shared" ca="1" si="75"/>
        <v>43.140314852840518</v>
      </c>
      <c r="AE2254" s="99">
        <f t="shared" ca="1" si="74"/>
        <v>57742</v>
      </c>
      <c r="AF2254" s="6">
        <v>2.5565722220011322</v>
      </c>
    </row>
    <row r="2255" spans="30:32" x14ac:dyDescent="0.2">
      <c r="AD2255" s="98">
        <f t="shared" ca="1" si="75"/>
        <v>43.159479808350447</v>
      </c>
      <c r="AE2255" s="99">
        <f t="shared" ca="1" si="74"/>
        <v>57749</v>
      </c>
      <c r="AF2255" s="6">
        <v>2.5565129451087207</v>
      </c>
    </row>
    <row r="2256" spans="30:32" x14ac:dyDescent="0.2">
      <c r="AD2256" s="98">
        <f t="shared" ca="1" si="75"/>
        <v>43.178644763860369</v>
      </c>
      <c r="AE2256" s="99">
        <f t="shared" ca="1" si="74"/>
        <v>57756</v>
      </c>
      <c r="AF2256" s="6">
        <v>2.5564541753139705</v>
      </c>
    </row>
    <row r="2257" spans="30:32" x14ac:dyDescent="0.2">
      <c r="AD2257" s="98">
        <f t="shared" ca="1" si="75"/>
        <v>43.197809719370291</v>
      </c>
      <c r="AE2257" s="99">
        <f t="shared" ca="1" si="74"/>
        <v>57763</v>
      </c>
      <c r="AF2257" s="6">
        <v>2.556395914208669</v>
      </c>
    </row>
    <row r="2258" spans="30:32" x14ac:dyDescent="0.2">
      <c r="AD2258" s="98">
        <f t="shared" ca="1" si="75"/>
        <v>43.21697467488022</v>
      </c>
      <c r="AE2258" s="99">
        <f t="shared" ca="1" si="74"/>
        <v>57770</v>
      </c>
      <c r="AF2258" s="6">
        <v>2.5563381633616107</v>
      </c>
    </row>
    <row r="2259" spans="30:32" x14ac:dyDescent="0.2">
      <c r="AD2259" s="98">
        <f t="shared" ca="1" si="75"/>
        <v>43.236139630390142</v>
      </c>
      <c r="AE2259" s="99">
        <f t="shared" ca="1" si="74"/>
        <v>57777</v>
      </c>
      <c r="AF2259" s="6">
        <v>2.5562809243183491</v>
      </c>
    </row>
    <row r="2260" spans="30:32" x14ac:dyDescent="0.2">
      <c r="AD2260" s="98">
        <f t="shared" ca="1" si="75"/>
        <v>43.25530458590007</v>
      </c>
      <c r="AE2260" s="99">
        <f t="shared" ca="1" si="74"/>
        <v>57784</v>
      </c>
      <c r="AF2260" s="6">
        <v>2.5562241986009435</v>
      </c>
    </row>
    <row r="2261" spans="30:32" x14ac:dyDescent="0.2">
      <c r="AD2261" s="98">
        <f t="shared" ca="1" si="75"/>
        <v>43.274469541409992</v>
      </c>
      <c r="AE2261" s="99">
        <f t="shared" ca="1" si="74"/>
        <v>57791</v>
      </c>
      <c r="AF2261" s="6">
        <v>2.5561679877077212</v>
      </c>
    </row>
    <row r="2262" spans="30:32" x14ac:dyDescent="0.2">
      <c r="AD2262" s="98">
        <f t="shared" ca="1" si="75"/>
        <v>43.293634496919921</v>
      </c>
      <c r="AE2262" s="99">
        <f t="shared" ca="1" si="74"/>
        <v>57798</v>
      </c>
      <c r="AF2262" s="6">
        <v>2.5561122931130265</v>
      </c>
    </row>
    <row r="2263" spans="30:32" x14ac:dyDescent="0.2">
      <c r="AD2263" s="98">
        <f t="shared" ca="1" si="75"/>
        <v>43.312799452429843</v>
      </c>
      <c r="AE2263" s="99">
        <f t="shared" ca="1" si="74"/>
        <v>57805</v>
      </c>
      <c r="AF2263" s="6">
        <v>2.5560571162669832</v>
      </c>
    </row>
    <row r="2264" spans="30:32" x14ac:dyDescent="0.2">
      <c r="AD2264" s="98">
        <f t="shared" ca="1" si="75"/>
        <v>43.331964407939765</v>
      </c>
      <c r="AE2264" s="99">
        <f t="shared" ca="1" si="74"/>
        <v>57812</v>
      </c>
      <c r="AF2264" s="6">
        <v>2.5560024585952559</v>
      </c>
    </row>
    <row r="2265" spans="30:32" x14ac:dyDescent="0.2">
      <c r="AD2265" s="98">
        <f t="shared" ca="1" si="75"/>
        <v>43.351129363449694</v>
      </c>
      <c r="AE2265" s="99">
        <f t="shared" ca="1" si="74"/>
        <v>57819</v>
      </c>
      <c r="AF2265" s="6">
        <v>2.5559483214988075</v>
      </c>
    </row>
    <row r="2266" spans="30:32" x14ac:dyDescent="0.2">
      <c r="AD2266" s="98">
        <f t="shared" ca="1" si="75"/>
        <v>43.370294318959616</v>
      </c>
      <c r="AE2266" s="99">
        <f t="shared" ca="1" si="74"/>
        <v>57826</v>
      </c>
      <c r="AF2266" s="6">
        <v>2.5558947063536719</v>
      </c>
    </row>
    <row r="2267" spans="30:32" x14ac:dyDescent="0.2">
      <c r="AD2267" s="98">
        <f t="shared" ca="1" si="75"/>
        <v>43.389459274469544</v>
      </c>
      <c r="AE2267" s="99">
        <f t="shared" ca="1" si="74"/>
        <v>57833</v>
      </c>
      <c r="AF2267" s="6">
        <v>2.5558416145107161</v>
      </c>
    </row>
    <row r="2268" spans="30:32" x14ac:dyDescent="0.2">
      <c r="AD2268" s="98">
        <f t="shared" ca="1" si="75"/>
        <v>43.408624229979466</v>
      </c>
      <c r="AE2268" s="99">
        <f t="shared" ca="1" si="74"/>
        <v>57840</v>
      </c>
      <c r="AF2268" s="6">
        <v>2.5557890472954123</v>
      </c>
    </row>
    <row r="2269" spans="30:32" x14ac:dyDescent="0.2">
      <c r="AD2269" s="98">
        <f t="shared" ca="1" si="75"/>
        <v>43.427789185489388</v>
      </c>
      <c r="AE2269" s="99">
        <f t="shared" ca="1" si="74"/>
        <v>57847</v>
      </c>
      <c r="AF2269" s="6">
        <v>2.555737006007611</v>
      </c>
    </row>
    <row r="2270" spans="30:32" x14ac:dyDescent="0.2">
      <c r="AD2270" s="98">
        <f t="shared" ca="1" si="75"/>
        <v>43.446954140999317</v>
      </c>
      <c r="AE2270" s="99">
        <f t="shared" ca="1" si="74"/>
        <v>57854</v>
      </c>
      <c r="AF2270" s="6">
        <v>2.555685491921313</v>
      </c>
    </row>
    <row r="2271" spans="30:32" x14ac:dyDescent="0.2">
      <c r="AD2271" s="98">
        <f t="shared" ca="1" si="75"/>
        <v>43.466119096509239</v>
      </c>
      <c r="AE2271" s="99">
        <f t="shared" ca="1" si="74"/>
        <v>57861</v>
      </c>
      <c r="AF2271" s="6">
        <v>2.5556345062844512</v>
      </c>
    </row>
    <row r="2272" spans="30:32" x14ac:dyDescent="0.2">
      <c r="AD2272" s="98">
        <f t="shared" ca="1" si="75"/>
        <v>43.485284052019168</v>
      </c>
      <c r="AE2272" s="99">
        <f t="shared" ca="1" si="74"/>
        <v>57868</v>
      </c>
      <c r="AF2272" s="6">
        <v>2.5555840503186711</v>
      </c>
    </row>
    <row r="2273" spans="30:32" x14ac:dyDescent="0.2">
      <c r="AD2273" s="98">
        <f t="shared" ca="1" si="75"/>
        <v>43.504449007529089</v>
      </c>
      <c r="AE2273" s="99">
        <f t="shared" ca="1" si="74"/>
        <v>57875</v>
      </c>
      <c r="AF2273" s="6">
        <v>2.5555341252191064</v>
      </c>
    </row>
    <row r="2274" spans="30:32" x14ac:dyDescent="0.2">
      <c r="AD2274" s="98">
        <f t="shared" ca="1" si="75"/>
        <v>43.523613963039011</v>
      </c>
      <c r="AE2274" s="99">
        <f t="shared" ca="1" si="74"/>
        <v>57882</v>
      </c>
      <c r="AF2274" s="6">
        <v>2.5554847321541763</v>
      </c>
    </row>
    <row r="2275" spans="30:32" x14ac:dyDescent="0.2">
      <c r="AD2275" s="98">
        <f t="shared" ca="1" si="75"/>
        <v>43.54277891854894</v>
      </c>
      <c r="AE2275" s="99">
        <f t="shared" ca="1" si="74"/>
        <v>57889</v>
      </c>
      <c r="AF2275" s="6">
        <v>2.5554358722653654</v>
      </c>
    </row>
    <row r="2276" spans="30:32" x14ac:dyDescent="0.2">
      <c r="AD2276" s="98">
        <f t="shared" ca="1" si="75"/>
        <v>43.561943874058862</v>
      </c>
      <c r="AE2276" s="99">
        <f t="shared" ca="1" si="74"/>
        <v>57896</v>
      </c>
      <c r="AF2276" s="6">
        <v>2.555387546667018</v>
      </c>
    </row>
    <row r="2277" spans="30:32" x14ac:dyDescent="0.2">
      <c r="AD2277" s="98">
        <f t="shared" ca="1" si="75"/>
        <v>43.581108829568791</v>
      </c>
      <c r="AE2277" s="99">
        <f t="shared" ca="1" si="74"/>
        <v>57903</v>
      </c>
      <c r="AF2277" s="6">
        <v>2.555339756446136</v>
      </c>
    </row>
    <row r="2278" spans="30:32" x14ac:dyDescent="0.2">
      <c r="AD2278" s="98">
        <f t="shared" ca="1" si="75"/>
        <v>43.600273785078713</v>
      </c>
      <c r="AE2278" s="99">
        <f t="shared" ca="1" si="74"/>
        <v>57910</v>
      </c>
      <c r="AF2278" s="6">
        <v>2.5552925026621716</v>
      </c>
    </row>
    <row r="2279" spans="30:32" x14ac:dyDescent="0.2">
      <c r="AD2279" s="98">
        <f t="shared" ca="1" si="75"/>
        <v>43.619438740588635</v>
      </c>
      <c r="AE2279" s="99">
        <f t="shared" ca="1" si="74"/>
        <v>57917</v>
      </c>
      <c r="AF2279" s="6">
        <v>2.5552457863468288</v>
      </c>
    </row>
    <row r="2280" spans="30:32" x14ac:dyDescent="0.2">
      <c r="AD2280" s="98">
        <f t="shared" ca="1" si="75"/>
        <v>43.638603696098563</v>
      </c>
      <c r="AE2280" s="99">
        <f t="shared" ca="1" si="74"/>
        <v>57924</v>
      </c>
      <c r="AF2280" s="6">
        <v>2.5551996085038731</v>
      </c>
    </row>
    <row r="2281" spans="30:32" x14ac:dyDescent="0.2">
      <c r="AD2281" s="98">
        <f t="shared" ca="1" si="75"/>
        <v>43.657768651608485</v>
      </c>
      <c r="AE2281" s="99">
        <f t="shared" ca="1" si="74"/>
        <v>57931</v>
      </c>
      <c r="AF2281" s="6">
        <v>2.5551539701089307</v>
      </c>
    </row>
    <row r="2282" spans="30:32" x14ac:dyDescent="0.2">
      <c r="AD2282" s="98">
        <f t="shared" ca="1" si="75"/>
        <v>43.676933607118414</v>
      </c>
      <c r="AE2282" s="99">
        <f t="shared" ca="1" si="74"/>
        <v>57938</v>
      </c>
      <c r="AF2282" s="6">
        <v>2.5551088721093032</v>
      </c>
    </row>
    <row r="2283" spans="30:32" x14ac:dyDescent="0.2">
      <c r="AD2283" s="98">
        <f t="shared" ca="1" si="75"/>
        <v>43.696098562628336</v>
      </c>
      <c r="AE2283" s="99">
        <f t="shared" ca="1" si="74"/>
        <v>57945</v>
      </c>
      <c r="AF2283" s="6">
        <v>2.5550643154237811</v>
      </c>
    </row>
    <row r="2284" spans="30:32" x14ac:dyDescent="0.2">
      <c r="AD2284" s="98">
        <f t="shared" ca="1" si="75"/>
        <v>43.715263518138265</v>
      </c>
      <c r="AE2284" s="99">
        <f t="shared" ca="1" si="74"/>
        <v>57952</v>
      </c>
      <c r="AF2284" s="6">
        <v>2.5550203009424566</v>
      </c>
    </row>
    <row r="2285" spans="30:32" x14ac:dyDescent="0.2">
      <c r="AD2285" s="98">
        <f t="shared" ca="1" si="75"/>
        <v>43.734428473648187</v>
      </c>
      <c r="AE2285" s="99">
        <f t="shared" ca="1" si="74"/>
        <v>57959</v>
      </c>
      <c r="AF2285" s="6">
        <v>2.5549768295265523</v>
      </c>
    </row>
    <row r="2286" spans="30:32" x14ac:dyDescent="0.2">
      <c r="AD2286" s="98">
        <f t="shared" ca="1" si="75"/>
        <v>43.753593429158109</v>
      </c>
      <c r="AE2286" s="99">
        <f t="shared" ca="1" si="74"/>
        <v>57966</v>
      </c>
      <c r="AF2286" s="6">
        <v>2.5549339020082362</v>
      </c>
    </row>
    <row r="2287" spans="30:32" x14ac:dyDescent="0.2">
      <c r="AD2287" s="98">
        <f t="shared" ca="1" si="75"/>
        <v>43.772758384668037</v>
      </c>
      <c r="AE2287" s="99">
        <f t="shared" ca="1" si="74"/>
        <v>57973</v>
      </c>
      <c r="AF2287" s="6">
        <v>2.5548915191904529</v>
      </c>
    </row>
    <row r="2288" spans="30:32" x14ac:dyDescent="0.2">
      <c r="AD2288" s="98">
        <f t="shared" ca="1" si="75"/>
        <v>43.791923340177959</v>
      </c>
      <c r="AE2288" s="99">
        <f t="shared" ca="1" si="74"/>
        <v>57980</v>
      </c>
      <c r="AF2288" s="6">
        <v>2.5548496818467563</v>
      </c>
    </row>
    <row r="2289" spans="30:32" x14ac:dyDescent="0.2">
      <c r="AD2289" s="98">
        <f t="shared" ca="1" si="75"/>
        <v>43.811088295687888</v>
      </c>
      <c r="AE2289" s="99">
        <f t="shared" ca="1" si="74"/>
        <v>57987</v>
      </c>
      <c r="AF2289" s="6">
        <v>2.5548083907211407</v>
      </c>
    </row>
    <row r="2290" spans="30:32" x14ac:dyDescent="0.2">
      <c r="AD2290" s="98">
        <f t="shared" ca="1" si="75"/>
        <v>43.83025325119781</v>
      </c>
      <c r="AE2290" s="99">
        <f t="shared" ca="1" si="74"/>
        <v>57994</v>
      </c>
      <c r="AF2290" s="6">
        <v>2.554767646527881</v>
      </c>
    </row>
    <row r="2291" spans="30:32" x14ac:dyDescent="0.2">
      <c r="AD2291" s="98">
        <f t="shared" ca="1" si="75"/>
        <v>43.849418206707732</v>
      </c>
      <c r="AE2291" s="99">
        <f t="shared" ca="1" si="74"/>
        <v>58001</v>
      </c>
      <c r="AF2291" s="6">
        <v>2.554727449951371</v>
      </c>
    </row>
    <row r="2292" spans="30:32" x14ac:dyDescent="0.2">
      <c r="AD2292" s="98">
        <f t="shared" ca="1" si="75"/>
        <v>43.868583162217661</v>
      </c>
      <c r="AE2292" s="99">
        <f t="shared" ca="1" si="74"/>
        <v>58008</v>
      </c>
      <c r="AF2292" s="6">
        <v>2.554687801645978</v>
      </c>
    </row>
    <row r="2293" spans="30:32" x14ac:dyDescent="0.2">
      <c r="AD2293" s="98">
        <f t="shared" ca="1" si="75"/>
        <v>43.887748117727583</v>
      </c>
      <c r="AE2293" s="99">
        <f t="shared" ca="1" si="74"/>
        <v>58015</v>
      </c>
      <c r="AF2293" s="6">
        <v>2.5546487022358768</v>
      </c>
    </row>
    <row r="2294" spans="30:32" x14ac:dyDescent="0.2">
      <c r="AD2294" s="98">
        <f t="shared" ca="1" si="75"/>
        <v>43.906913073237511</v>
      </c>
      <c r="AE2294" s="99">
        <f t="shared" ca="1" si="74"/>
        <v>58022</v>
      </c>
      <c r="AF2294" s="6">
        <v>2.5546101523149218</v>
      </c>
    </row>
    <row r="2295" spans="30:32" x14ac:dyDescent="0.2">
      <c r="AD2295" s="98">
        <f t="shared" ca="1" si="75"/>
        <v>43.926078028747433</v>
      </c>
      <c r="AE2295" s="99">
        <f t="shared" ca="1" si="74"/>
        <v>58029</v>
      </c>
      <c r="AF2295" s="6">
        <v>2.5545721524464855</v>
      </c>
    </row>
    <row r="2296" spans="30:32" x14ac:dyDescent="0.2">
      <c r="AD2296" s="98">
        <f t="shared" ca="1" si="75"/>
        <v>43.945242984257355</v>
      </c>
      <c r="AE2296" s="99">
        <f t="shared" ca="1" si="74"/>
        <v>58036</v>
      </c>
      <c r="AF2296" s="6">
        <v>2.5545347031633354</v>
      </c>
    </row>
    <row r="2297" spans="30:32" x14ac:dyDescent="0.2">
      <c r="AD2297" s="98">
        <f t="shared" ca="1" si="75"/>
        <v>43.964407939767284</v>
      </c>
      <c r="AE2297" s="99">
        <f t="shared" ca="1" si="74"/>
        <v>58043</v>
      </c>
      <c r="AF2297" s="6">
        <v>2.5544978049674874</v>
      </c>
    </row>
    <row r="2298" spans="30:32" x14ac:dyDescent="0.2">
      <c r="AD2298" s="98">
        <f t="shared" ca="1" si="75"/>
        <v>43.983572895277206</v>
      </c>
      <c r="AE2298" s="99">
        <f t="shared" ca="1" si="74"/>
        <v>58050</v>
      </c>
      <c r="AF2298" s="6">
        <v>2.5544614583300795</v>
      </c>
    </row>
    <row r="2299" spans="30:32" x14ac:dyDescent="0.2">
      <c r="AD2299" s="98">
        <f t="shared" ca="1" si="75"/>
        <v>44.002737850787135</v>
      </c>
      <c r="AE2299" s="99">
        <f t="shared" ca="1" si="74"/>
        <v>58057</v>
      </c>
      <c r="AF2299" s="6">
        <v>2.5544256636912483</v>
      </c>
    </row>
    <row r="2300" spans="30:32" x14ac:dyDescent="0.2">
      <c r="AD2300" s="98">
        <f t="shared" ca="1" si="75"/>
        <v>44.021902806297057</v>
      </c>
      <c r="AE2300" s="99">
        <f t="shared" ca="1" si="74"/>
        <v>58064</v>
      </c>
      <c r="AF2300" s="6">
        <v>2.5543904214599986</v>
      </c>
    </row>
    <row r="2301" spans="30:32" x14ac:dyDescent="0.2">
      <c r="AD2301" s="98">
        <f t="shared" ca="1" si="75"/>
        <v>44.041067761806978</v>
      </c>
      <c r="AE2301" s="99">
        <f t="shared" ca="1" si="74"/>
        <v>58071</v>
      </c>
      <c r="AF2301" s="6">
        <v>2.5543557320140904</v>
      </c>
    </row>
    <row r="2302" spans="30:32" x14ac:dyDescent="0.2">
      <c r="AD2302" s="98">
        <f t="shared" ca="1" si="75"/>
        <v>44.060232717316907</v>
      </c>
      <c r="AE2302" s="99">
        <f t="shared" ca="1" si="74"/>
        <v>58078</v>
      </c>
      <c r="AF2302" s="6">
        <v>2.5543215956999217</v>
      </c>
    </row>
    <row r="2303" spans="30:32" x14ac:dyDescent="0.2">
      <c r="AD2303" s="98">
        <f t="shared" ca="1" si="75"/>
        <v>44.079397672826829</v>
      </c>
      <c r="AE2303" s="99">
        <f t="shared" ca="1" si="74"/>
        <v>58085</v>
      </c>
      <c r="AF2303" s="6">
        <v>2.5542880128324215</v>
      </c>
    </row>
    <row r="2304" spans="30:32" x14ac:dyDescent="0.2">
      <c r="AD2304" s="98">
        <f t="shared" ca="1" si="75"/>
        <v>44.098562628336758</v>
      </c>
      <c r="AE2304" s="99">
        <f t="shared" ca="1" si="74"/>
        <v>58092</v>
      </c>
      <c r="AF2304" s="6">
        <v>2.5542549836949369</v>
      </c>
    </row>
    <row r="2305" spans="30:32" x14ac:dyDescent="0.2">
      <c r="AD2305" s="98">
        <f t="shared" ca="1" si="75"/>
        <v>44.11772758384668</v>
      </c>
      <c r="AE2305" s="99">
        <f t="shared" ca="1" si="74"/>
        <v>58099</v>
      </c>
      <c r="AF2305" s="6">
        <v>2.5542225085391403</v>
      </c>
    </row>
    <row r="2306" spans="30:32" x14ac:dyDescent="0.2">
      <c r="AD2306" s="98">
        <f t="shared" ca="1" si="75"/>
        <v>44.136892539356602</v>
      </c>
      <c r="AE2306" s="99">
        <f t="shared" ca="1" si="74"/>
        <v>58106</v>
      </c>
      <c r="AF2306" s="6">
        <v>2.5541905875849258</v>
      </c>
    </row>
    <row r="2307" spans="30:32" x14ac:dyDescent="0.2">
      <c r="AD2307" s="98">
        <f t="shared" ca="1" si="75"/>
        <v>44.156057494866531</v>
      </c>
      <c r="AE2307" s="99">
        <f t="shared" ca="1" si="74"/>
        <v>58113</v>
      </c>
      <c r="AF2307" s="6">
        <v>2.554159221020317</v>
      </c>
    </row>
    <row r="2308" spans="30:32" x14ac:dyDescent="0.2">
      <c r="AD2308" s="98">
        <f t="shared" ca="1" si="75"/>
        <v>44.175222450376452</v>
      </c>
      <c r="AE2308" s="99">
        <f t="shared" ref="AE2308:AE2371" ca="1" si="76">AE2307+7</f>
        <v>58120</v>
      </c>
      <c r="AF2308" s="6">
        <v>2.5541284090013812</v>
      </c>
    </row>
    <row r="2309" spans="30:32" x14ac:dyDescent="0.2">
      <c r="AD2309" s="98">
        <f t="shared" ref="AD2309:AD2372" ca="1" si="77">(AE2309-$B$3)/365.25</f>
        <v>44.194387405886381</v>
      </c>
      <c r="AE2309" s="99">
        <f t="shared" ca="1" si="76"/>
        <v>58127</v>
      </c>
      <c r="AF2309" s="6">
        <v>2.5540981516521408</v>
      </c>
    </row>
    <row r="2310" spans="30:32" x14ac:dyDescent="0.2">
      <c r="AD2310" s="98">
        <f t="shared" ca="1" si="77"/>
        <v>44.213552361396303</v>
      </c>
      <c r="AE2310" s="99">
        <f t="shared" ca="1" si="76"/>
        <v>58134</v>
      </c>
      <c r="AF2310" s="6">
        <v>2.5540684490644976</v>
      </c>
    </row>
    <row r="2311" spans="30:32" x14ac:dyDescent="0.2">
      <c r="AD2311" s="98">
        <f t="shared" ca="1" si="77"/>
        <v>44.232717316906232</v>
      </c>
      <c r="AE2311" s="99">
        <f t="shared" ca="1" si="76"/>
        <v>58141</v>
      </c>
      <c r="AF2311" s="6">
        <v>2.5540393012981535</v>
      </c>
    </row>
    <row r="2312" spans="30:32" x14ac:dyDescent="0.2">
      <c r="AD2312" s="98">
        <f t="shared" ca="1" si="77"/>
        <v>44.251882272416154</v>
      </c>
      <c r="AE2312" s="99">
        <f t="shared" ca="1" si="76"/>
        <v>58148</v>
      </c>
      <c r="AF2312" s="6">
        <v>2.5540107083805439</v>
      </c>
    </row>
    <row r="2313" spans="30:32" x14ac:dyDescent="0.2">
      <c r="AD2313" s="98">
        <f t="shared" ca="1" si="77"/>
        <v>44.271047227926076</v>
      </c>
      <c r="AE2313" s="99">
        <f t="shared" ca="1" si="76"/>
        <v>58155</v>
      </c>
      <c r="AF2313" s="6">
        <v>2.5539826703067692</v>
      </c>
    </row>
    <row r="2314" spans="30:32" x14ac:dyDescent="0.2">
      <c r="AD2314" s="98">
        <f t="shared" ca="1" si="77"/>
        <v>44.290212183436005</v>
      </c>
      <c r="AE2314" s="99">
        <f t="shared" ca="1" si="76"/>
        <v>58162</v>
      </c>
      <c r="AF2314" s="6">
        <v>2.5539551870395325</v>
      </c>
    </row>
    <row r="2315" spans="30:32" x14ac:dyDescent="0.2">
      <c r="AD2315" s="98">
        <f t="shared" ca="1" si="77"/>
        <v>44.309377138945926</v>
      </c>
      <c r="AE2315" s="99">
        <f t="shared" ca="1" si="76"/>
        <v>58169</v>
      </c>
      <c r="AF2315" s="6">
        <v>2.5539282585090834</v>
      </c>
    </row>
    <row r="2316" spans="30:32" x14ac:dyDescent="0.2">
      <c r="AD2316" s="98">
        <f t="shared" ca="1" si="77"/>
        <v>44.328542094455855</v>
      </c>
      <c r="AE2316" s="99">
        <f t="shared" ca="1" si="76"/>
        <v>58176</v>
      </c>
      <c r="AF2316" s="6">
        <v>2.553901884613166</v>
      </c>
    </row>
    <row r="2317" spans="30:32" x14ac:dyDescent="0.2">
      <c r="AD2317" s="98">
        <f t="shared" ca="1" si="77"/>
        <v>44.347707049965777</v>
      </c>
      <c r="AE2317" s="99">
        <f t="shared" ca="1" si="76"/>
        <v>58183</v>
      </c>
      <c r="AF2317" s="6">
        <v>2.5538760652169672</v>
      </c>
    </row>
    <row r="2318" spans="30:32" x14ac:dyDescent="0.2">
      <c r="AD2318" s="98">
        <f t="shared" ca="1" si="77"/>
        <v>44.366872005475699</v>
      </c>
      <c r="AE2318" s="99">
        <f t="shared" ca="1" si="76"/>
        <v>58190</v>
      </c>
      <c r="AF2318" s="6">
        <v>2.5538508001530822</v>
      </c>
    </row>
    <row r="2319" spans="30:32" x14ac:dyDescent="0.2">
      <c r="AD2319" s="98">
        <f t="shared" ca="1" si="77"/>
        <v>44.386036960985628</v>
      </c>
      <c r="AE2319" s="99">
        <f t="shared" ca="1" si="76"/>
        <v>58197</v>
      </c>
      <c r="AF2319" s="6">
        <v>2.5538260892214666</v>
      </c>
    </row>
    <row r="2320" spans="30:32" x14ac:dyDescent="0.2">
      <c r="AD2320" s="98">
        <f t="shared" ca="1" si="77"/>
        <v>44.40520191649555</v>
      </c>
      <c r="AE2320" s="99">
        <f t="shared" ca="1" si="76"/>
        <v>58204</v>
      </c>
      <c r="AF2320" s="6">
        <v>2.553801932189407</v>
      </c>
    </row>
    <row r="2321" spans="30:32" x14ac:dyDescent="0.2">
      <c r="AD2321" s="98">
        <f t="shared" ca="1" si="77"/>
        <v>44.424366872005479</v>
      </c>
      <c r="AE2321" s="99">
        <f t="shared" ca="1" si="76"/>
        <v>58211</v>
      </c>
      <c r="AF2321" s="6">
        <v>2.5537783287914908</v>
      </c>
    </row>
    <row r="2322" spans="30:32" x14ac:dyDescent="0.2">
      <c r="AD2322" s="98">
        <f t="shared" ca="1" si="77"/>
        <v>44.4435318275154</v>
      </c>
      <c r="AE2322" s="99">
        <f t="shared" ca="1" si="76"/>
        <v>58218</v>
      </c>
      <c r="AF2322" s="6">
        <v>2.5537552787295832</v>
      </c>
    </row>
    <row r="2323" spans="30:32" x14ac:dyDescent="0.2">
      <c r="AD2323" s="98">
        <f t="shared" ca="1" si="77"/>
        <v>44.462696783025322</v>
      </c>
      <c r="AE2323" s="99">
        <f t="shared" ca="1" si="76"/>
        <v>58225</v>
      </c>
      <c r="AF2323" s="6">
        <v>2.5537327816728066</v>
      </c>
    </row>
    <row r="2324" spans="30:32" x14ac:dyDescent="0.2">
      <c r="AD2324" s="98">
        <f t="shared" ca="1" si="77"/>
        <v>44.481861738535251</v>
      </c>
      <c r="AE2324" s="99">
        <f t="shared" ca="1" si="76"/>
        <v>58232</v>
      </c>
      <c r="AF2324" s="6">
        <v>2.5537108372575235</v>
      </c>
    </row>
    <row r="2325" spans="30:32" x14ac:dyDescent="0.2">
      <c r="AD2325" s="98">
        <f t="shared" ca="1" si="77"/>
        <v>44.501026694045173</v>
      </c>
      <c r="AE2325" s="99">
        <f t="shared" ca="1" si="76"/>
        <v>58239</v>
      </c>
      <c r="AF2325" s="6">
        <v>2.5536894450873318</v>
      </c>
    </row>
    <row r="2326" spans="30:32" x14ac:dyDescent="0.2">
      <c r="AD2326" s="98">
        <f t="shared" ca="1" si="77"/>
        <v>44.520191649555102</v>
      </c>
      <c r="AE2326" s="99">
        <f t="shared" ca="1" si="76"/>
        <v>58246</v>
      </c>
      <c r="AF2326" s="6">
        <v>2.5536686047330543</v>
      </c>
    </row>
    <row r="2327" spans="30:32" x14ac:dyDescent="0.2">
      <c r="AD2327" s="98">
        <f t="shared" ca="1" si="77"/>
        <v>44.539356605065024</v>
      </c>
      <c r="AE2327" s="99">
        <f t="shared" ca="1" si="76"/>
        <v>58253</v>
      </c>
      <c r="AF2327" s="6">
        <v>2.5536483157327403</v>
      </c>
    </row>
    <row r="2328" spans="30:32" x14ac:dyDescent="0.2">
      <c r="AD2328" s="98">
        <f t="shared" ca="1" si="77"/>
        <v>44.558521560574945</v>
      </c>
      <c r="AE2328" s="99">
        <f t="shared" ca="1" si="76"/>
        <v>58260</v>
      </c>
      <c r="AF2328" s="6">
        <v>2.5536285775916685</v>
      </c>
    </row>
    <row r="2329" spans="30:32" x14ac:dyDescent="0.2">
      <c r="AD2329" s="98">
        <f t="shared" ca="1" si="77"/>
        <v>44.577686516084874</v>
      </c>
      <c r="AE2329" s="99">
        <f t="shared" ca="1" si="76"/>
        <v>58267</v>
      </c>
      <c r="AF2329" s="6">
        <v>2.55360938978236</v>
      </c>
    </row>
    <row r="2330" spans="30:32" x14ac:dyDescent="0.2">
      <c r="AD2330" s="98">
        <f t="shared" ca="1" si="77"/>
        <v>44.596851471594796</v>
      </c>
      <c r="AE2330" s="99">
        <f t="shared" ca="1" si="76"/>
        <v>58274</v>
      </c>
      <c r="AF2330" s="6">
        <v>2.5535907517445855</v>
      </c>
    </row>
    <row r="2331" spans="30:32" x14ac:dyDescent="0.2">
      <c r="AD2331" s="98">
        <f t="shared" ca="1" si="77"/>
        <v>44.616016427104725</v>
      </c>
      <c r="AE2331" s="99">
        <f t="shared" ca="1" si="76"/>
        <v>58281</v>
      </c>
      <c r="AF2331" s="6">
        <v>2.5535726628853919</v>
      </c>
    </row>
    <row r="2332" spans="30:32" x14ac:dyDescent="0.2">
      <c r="AD2332" s="98">
        <f t="shared" ca="1" si="77"/>
        <v>44.635181382614647</v>
      </c>
      <c r="AE2332" s="99">
        <f t="shared" ca="1" si="76"/>
        <v>58288</v>
      </c>
      <c r="AF2332" s="6">
        <v>2.5535551225791191</v>
      </c>
    </row>
    <row r="2333" spans="30:32" x14ac:dyDescent="0.2">
      <c r="AD2333" s="98">
        <f t="shared" ca="1" si="77"/>
        <v>44.654346338124569</v>
      </c>
      <c r="AE2333" s="99">
        <f t="shared" ca="1" si="76"/>
        <v>58295</v>
      </c>
      <c r="AF2333" s="6">
        <v>2.5535381301674307</v>
      </c>
    </row>
    <row r="2334" spans="30:32" x14ac:dyDescent="0.2">
      <c r="AD2334" s="98">
        <f t="shared" ca="1" si="77"/>
        <v>44.673511293634498</v>
      </c>
      <c r="AE2334" s="99">
        <f t="shared" ca="1" si="76"/>
        <v>58302</v>
      </c>
      <c r="AF2334" s="6">
        <v>2.5535216849593483</v>
      </c>
    </row>
    <row r="2335" spans="30:32" x14ac:dyDescent="0.2">
      <c r="AD2335" s="98">
        <f t="shared" ca="1" si="77"/>
        <v>44.692676249144419</v>
      </c>
      <c r="AE2335" s="99">
        <f t="shared" ca="1" si="76"/>
        <v>58309</v>
      </c>
      <c r="AF2335" s="6">
        <v>2.5535057862312889</v>
      </c>
    </row>
    <row r="2336" spans="30:32" x14ac:dyDescent="0.2">
      <c r="AD2336" s="98">
        <f t="shared" ca="1" si="77"/>
        <v>44.711841204654348</v>
      </c>
      <c r="AE2336" s="99">
        <f t="shared" ca="1" si="76"/>
        <v>58316</v>
      </c>
      <c r="AF2336" s="6">
        <v>2.5534904332271071</v>
      </c>
    </row>
    <row r="2337" spans="30:32" x14ac:dyDescent="0.2">
      <c r="AD2337" s="98">
        <f t="shared" ca="1" si="77"/>
        <v>44.73100616016427</v>
      </c>
      <c r="AE2337" s="99">
        <f t="shared" ca="1" si="76"/>
        <v>58323</v>
      </c>
      <c r="AF2337" s="6">
        <v>2.5534756251581445</v>
      </c>
    </row>
    <row r="2338" spans="30:32" x14ac:dyDescent="0.2">
      <c r="AD2338" s="98">
        <f t="shared" ca="1" si="77"/>
        <v>44.750171115674199</v>
      </c>
      <c r="AE2338" s="99">
        <f t="shared" ca="1" si="76"/>
        <v>58330</v>
      </c>
      <c r="AF2338" s="6">
        <v>2.553461361203277</v>
      </c>
    </row>
    <row r="2339" spans="30:32" x14ac:dyDescent="0.2">
      <c r="AD2339" s="98">
        <f t="shared" ca="1" si="77"/>
        <v>44.769336071184121</v>
      </c>
      <c r="AE2339" s="99">
        <f t="shared" ca="1" si="76"/>
        <v>58337</v>
      </c>
      <c r="AF2339" s="6">
        <v>2.5534476405089803</v>
      </c>
    </row>
    <row r="2340" spans="30:32" x14ac:dyDescent="0.2">
      <c r="AD2340" s="98">
        <f t="shared" ca="1" si="77"/>
        <v>44.788501026694043</v>
      </c>
      <c r="AE2340" s="99">
        <f t="shared" ca="1" si="76"/>
        <v>58344</v>
      </c>
      <c r="AF2340" s="6">
        <v>2.5534344621893847</v>
      </c>
    </row>
    <row r="2341" spans="30:32" x14ac:dyDescent="0.2">
      <c r="AD2341" s="98">
        <f t="shared" ca="1" si="77"/>
        <v>44.807665982203972</v>
      </c>
      <c r="AE2341" s="99">
        <f t="shared" ca="1" si="76"/>
        <v>58351</v>
      </c>
      <c r="AF2341" s="6">
        <v>2.5534218253263461</v>
      </c>
    </row>
    <row r="2342" spans="30:32" x14ac:dyDescent="0.2">
      <c r="AD2342" s="98">
        <f t="shared" ca="1" si="77"/>
        <v>44.826830937713893</v>
      </c>
      <c r="AE2342" s="99">
        <f t="shared" ca="1" si="76"/>
        <v>58358</v>
      </c>
      <c r="AF2342" s="6">
        <v>2.5534097289695152</v>
      </c>
    </row>
    <row r="2343" spans="30:32" x14ac:dyDescent="0.2">
      <c r="AD2343" s="98">
        <f t="shared" ca="1" si="77"/>
        <v>44.845995893223822</v>
      </c>
      <c r="AE2343" s="99">
        <f t="shared" ca="1" si="76"/>
        <v>58365</v>
      </c>
      <c r="AF2343" s="6">
        <v>2.5533981721364158</v>
      </c>
    </row>
    <row r="2344" spans="30:32" x14ac:dyDescent="0.2">
      <c r="AD2344" s="98">
        <f t="shared" ca="1" si="77"/>
        <v>44.865160848733744</v>
      </c>
      <c r="AE2344" s="99">
        <f t="shared" ca="1" si="76"/>
        <v>58372</v>
      </c>
      <c r="AF2344" s="6">
        <v>2.553387153812527</v>
      </c>
    </row>
    <row r="2345" spans="30:32" x14ac:dyDescent="0.2">
      <c r="AD2345" s="98">
        <f t="shared" ca="1" si="77"/>
        <v>44.884325804243666</v>
      </c>
      <c r="AE2345" s="99">
        <f t="shared" ca="1" si="76"/>
        <v>58379</v>
      </c>
      <c r="AF2345" s="6">
        <v>2.5533766729513641</v>
      </c>
    </row>
    <row r="2346" spans="30:32" x14ac:dyDescent="0.2">
      <c r="AD2346" s="98">
        <f t="shared" ca="1" si="77"/>
        <v>44.903490759753595</v>
      </c>
      <c r="AE2346" s="99">
        <f t="shared" ca="1" si="76"/>
        <v>58386</v>
      </c>
      <c r="AF2346" s="6">
        <v>2.5533667284745745</v>
      </c>
    </row>
    <row r="2347" spans="30:32" x14ac:dyDescent="0.2">
      <c r="AD2347" s="98">
        <f t="shared" ca="1" si="77"/>
        <v>44.922655715263517</v>
      </c>
      <c r="AE2347" s="99">
        <f t="shared" ca="1" si="76"/>
        <v>58393</v>
      </c>
      <c r="AF2347" s="6">
        <v>2.5533573192720316</v>
      </c>
    </row>
    <row r="2348" spans="30:32" x14ac:dyDescent="0.2">
      <c r="AD2348" s="98">
        <f t="shared" ca="1" si="77"/>
        <v>44.941820670773446</v>
      </c>
      <c r="AE2348" s="99">
        <f t="shared" ca="1" si="76"/>
        <v>58400</v>
      </c>
      <c r="AF2348" s="6">
        <v>2.5533484442019354</v>
      </c>
    </row>
    <row r="2349" spans="30:32" x14ac:dyDescent="0.2">
      <c r="AD2349" s="98">
        <f t="shared" ca="1" si="77"/>
        <v>44.960985626283367</v>
      </c>
      <c r="AE2349" s="99">
        <f t="shared" ca="1" si="76"/>
        <v>58407</v>
      </c>
      <c r="AF2349" s="6">
        <v>2.5533401020909134</v>
      </c>
    </row>
    <row r="2350" spans="30:32" x14ac:dyDescent="0.2">
      <c r="AD2350" s="98">
        <f t="shared" ca="1" si="77"/>
        <v>44.980150581793289</v>
      </c>
      <c r="AE2350" s="99">
        <f t="shared" ca="1" si="76"/>
        <v>58414</v>
      </c>
      <c r="AF2350" s="6">
        <v>2.5533322917341366</v>
      </c>
    </row>
    <row r="2351" spans="30:32" x14ac:dyDescent="0.2">
      <c r="AD2351" s="98">
        <f t="shared" ca="1" si="77"/>
        <v>44.999315537303218</v>
      </c>
      <c r="AE2351" s="99">
        <f t="shared" ca="1" si="76"/>
        <v>58421</v>
      </c>
      <c r="AF2351" s="6">
        <v>2.5533250118954283</v>
      </c>
    </row>
    <row r="2352" spans="30:32" x14ac:dyDescent="0.2">
      <c r="AD2352" s="98">
        <f t="shared" ca="1" si="77"/>
        <v>45.01848049281314</v>
      </c>
      <c r="AE2352" s="99">
        <f t="shared" ca="1" si="76"/>
        <v>58428</v>
      </c>
      <c r="AF2352" s="6">
        <v>2.5533182613073842</v>
      </c>
    </row>
    <row r="2353" spans="30:32" x14ac:dyDescent="0.2">
      <c r="AD2353" s="98">
        <f t="shared" ca="1" si="77"/>
        <v>45.037645448323069</v>
      </c>
      <c r="AE2353" s="99">
        <f t="shared" ca="1" si="76"/>
        <v>58435</v>
      </c>
      <c r="AF2353" s="6">
        <v>2.5533120386714963</v>
      </c>
    </row>
    <row r="2354" spans="30:32" x14ac:dyDescent="0.2">
      <c r="AD2354" s="98">
        <f t="shared" ca="1" si="77"/>
        <v>45.056810403832991</v>
      </c>
      <c r="AE2354" s="99">
        <f t="shared" ca="1" si="76"/>
        <v>58442</v>
      </c>
      <c r="AF2354" s="6">
        <v>2.5533063426582836</v>
      </c>
    </row>
    <row r="2355" spans="30:32" x14ac:dyDescent="0.2">
      <c r="AD2355" s="98">
        <f t="shared" ca="1" si="77"/>
        <v>45.075975359342912</v>
      </c>
      <c r="AE2355" s="99">
        <f t="shared" ca="1" si="76"/>
        <v>58449</v>
      </c>
      <c r="AF2355" s="6">
        <v>2.5533011719074179</v>
      </c>
    </row>
    <row r="2356" spans="30:32" x14ac:dyDescent="0.2">
      <c r="AD2356" s="98">
        <f t="shared" ca="1" si="77"/>
        <v>45.095140314852841</v>
      </c>
      <c r="AE2356" s="99">
        <f t="shared" ca="1" si="76"/>
        <v>58456</v>
      </c>
      <c r="AF2356" s="6">
        <v>2.5532965250278665</v>
      </c>
    </row>
    <row r="2357" spans="30:32" x14ac:dyDescent="0.2">
      <c r="AD2357" s="98">
        <f t="shared" ca="1" si="77"/>
        <v>45.114305270362763</v>
      </c>
      <c r="AE2357" s="99">
        <f t="shared" ca="1" si="76"/>
        <v>58463</v>
      </c>
      <c r="AF2357" s="6">
        <v>2.5532924005980306</v>
      </c>
    </row>
    <row r="2358" spans="30:32" x14ac:dyDescent="0.2">
      <c r="AD2358" s="98">
        <f t="shared" ca="1" si="77"/>
        <v>45.133470225872692</v>
      </c>
      <c r="AE2358" s="99">
        <f t="shared" ca="1" si="76"/>
        <v>58470</v>
      </c>
      <c r="AF2358" s="6">
        <v>2.5532887971658931</v>
      </c>
    </row>
    <row r="2359" spans="30:32" x14ac:dyDescent="0.2">
      <c r="AD2359" s="98">
        <f t="shared" ca="1" si="77"/>
        <v>45.152635181382614</v>
      </c>
      <c r="AE2359" s="99">
        <f t="shared" ca="1" si="76"/>
        <v>58477</v>
      </c>
      <c r="AF2359" s="6">
        <v>2.5532857132491662</v>
      </c>
    </row>
    <row r="2360" spans="30:32" x14ac:dyDescent="0.2">
      <c r="AD2360" s="98">
        <f t="shared" ca="1" si="77"/>
        <v>45.171800136892543</v>
      </c>
      <c r="AE2360" s="99">
        <f t="shared" ca="1" si="76"/>
        <v>58484</v>
      </c>
      <c r="AF2360" s="6">
        <v>2.5532831473354509</v>
      </c>
    </row>
    <row r="2361" spans="30:32" x14ac:dyDescent="0.2">
      <c r="AD2361" s="98">
        <f t="shared" ca="1" si="77"/>
        <v>45.190965092402465</v>
      </c>
      <c r="AE2361" s="99">
        <f t="shared" ca="1" si="76"/>
        <v>58491</v>
      </c>
      <c r="AF2361" s="6">
        <v>2.5532810978823903</v>
      </c>
    </row>
    <row r="2362" spans="30:32" x14ac:dyDescent="0.2">
      <c r="AD2362" s="98">
        <f t="shared" ca="1" si="77"/>
        <v>45.210130047912386</v>
      </c>
      <c r="AE2362" s="99">
        <f t="shared" ca="1" si="76"/>
        <v>58498</v>
      </c>
      <c r="AF2362" s="6">
        <v>2.5532795633178358</v>
      </c>
    </row>
    <row r="2363" spans="30:32" x14ac:dyDescent="0.2">
      <c r="AD2363" s="98">
        <f t="shared" ca="1" si="77"/>
        <v>45.229295003422315</v>
      </c>
      <c r="AE2363" s="99">
        <f t="shared" ca="1" si="76"/>
        <v>58505</v>
      </c>
      <c r="AF2363" s="6">
        <v>2.5532785420400161</v>
      </c>
    </row>
    <row r="2364" spans="30:32" x14ac:dyDescent="0.2">
      <c r="AD2364" s="98">
        <f t="shared" ca="1" si="77"/>
        <v>45.248459958932237</v>
      </c>
      <c r="AE2364" s="99">
        <f t="shared" ca="1" si="76"/>
        <v>58512</v>
      </c>
      <c r="AF2364" s="6">
        <v>2.5532780324177091</v>
      </c>
    </row>
    <row r="2365" spans="30:32" x14ac:dyDescent="0.2">
      <c r="AD2365" s="98">
        <f t="shared" ca="1" si="77"/>
        <v>45.267624914442166</v>
      </c>
      <c r="AE2365" s="99">
        <f t="shared" ca="1" si="76"/>
        <v>58519</v>
      </c>
      <c r="AF2365" s="6">
        <v>2.5532780327904132</v>
      </c>
    </row>
    <row r="2366" spans="30:32" x14ac:dyDescent="0.2">
      <c r="AD2366" s="98">
        <f t="shared" ca="1" si="77"/>
        <v>45.286789869952088</v>
      </c>
      <c r="AE2366" s="99">
        <f t="shared" ca="1" si="76"/>
        <v>58526</v>
      </c>
      <c r="AF2366" s="6">
        <v>2.5532785414685324</v>
      </c>
    </row>
    <row r="2367" spans="30:32" x14ac:dyDescent="0.2">
      <c r="AD2367" s="98">
        <f t="shared" ca="1" si="77"/>
        <v>45.30595482546201</v>
      </c>
      <c r="AE2367" s="99">
        <f t="shared" ca="1" si="76"/>
        <v>58533</v>
      </c>
      <c r="AF2367" s="6">
        <v>2.5532795567335591</v>
      </c>
    </row>
    <row r="2368" spans="30:32" x14ac:dyDescent="0.2">
      <c r="AD2368" s="98">
        <f t="shared" ca="1" si="77"/>
        <v>45.325119780971939</v>
      </c>
      <c r="AE2368" s="99">
        <f t="shared" ca="1" si="76"/>
        <v>58540</v>
      </c>
      <c r="AF2368" s="6">
        <v>2.5532810768382661</v>
      </c>
    </row>
    <row r="2369" spans="30:32" x14ac:dyDescent="0.2">
      <c r="AD2369" s="98">
        <f t="shared" ca="1" si="77"/>
        <v>45.34428473648186</v>
      </c>
      <c r="AE2369" s="99">
        <f t="shared" ca="1" si="76"/>
        <v>58547</v>
      </c>
      <c r="AF2369" s="6">
        <v>2.5532831000068912</v>
      </c>
    </row>
    <row r="2370" spans="30:32" x14ac:dyDescent="0.2">
      <c r="AD2370" s="98">
        <f t="shared" ca="1" si="77"/>
        <v>45.363449691991789</v>
      </c>
      <c r="AE2370" s="99">
        <f t="shared" ca="1" si="76"/>
        <v>58554</v>
      </c>
      <c r="AF2370" s="6">
        <v>2.5532856244353419</v>
      </c>
    </row>
    <row r="2371" spans="30:32" x14ac:dyDescent="0.2">
      <c r="AD2371" s="98">
        <f t="shared" ca="1" si="77"/>
        <v>45.382614647501711</v>
      </c>
      <c r="AE2371" s="99">
        <f t="shared" ca="1" si="76"/>
        <v>58561</v>
      </c>
      <c r="AF2371" s="6">
        <v>2.553288648291391</v>
      </c>
    </row>
    <row r="2372" spans="30:32" x14ac:dyDescent="0.2">
      <c r="AD2372" s="98">
        <f t="shared" ca="1" si="77"/>
        <v>45.401779603011633</v>
      </c>
      <c r="AE2372" s="99">
        <f t="shared" ref="AE2372:AE2435" ca="1" si="78">AE2371+7</f>
        <v>58568</v>
      </c>
      <c r="AF2372" s="6">
        <v>2.5532921697148847</v>
      </c>
    </row>
    <row r="2373" spans="30:32" x14ac:dyDescent="0.2">
      <c r="AD2373" s="98">
        <f t="shared" ref="AD2373:AD2436" ca="1" si="79">(AE2373-$B$3)/365.25</f>
        <v>45.420944558521562</v>
      </c>
      <c r="AE2373" s="99">
        <f t="shared" ca="1" si="78"/>
        <v>58575</v>
      </c>
      <c r="AF2373" s="6">
        <v>2.5532961868179469</v>
      </c>
    </row>
    <row r="2374" spans="30:32" x14ac:dyDescent="0.2">
      <c r="AD2374" s="98">
        <f t="shared" ca="1" si="79"/>
        <v>45.440109514031484</v>
      </c>
      <c r="AE2374" s="99">
        <f t="shared" ca="1" si="78"/>
        <v>58582</v>
      </c>
      <c r="AF2374" s="6">
        <v>2.5533006976851937</v>
      </c>
    </row>
    <row r="2375" spans="30:32" x14ac:dyDescent="0.2">
      <c r="AD2375" s="98">
        <f t="shared" ca="1" si="79"/>
        <v>45.459274469541413</v>
      </c>
      <c r="AE2375" s="99">
        <f t="shared" ca="1" si="78"/>
        <v>58589</v>
      </c>
      <c r="AF2375" s="6">
        <v>2.5533057003739503</v>
      </c>
    </row>
    <row r="2376" spans="30:32" x14ac:dyDescent="0.2">
      <c r="AD2376" s="98">
        <f t="shared" ca="1" si="79"/>
        <v>45.478439425051334</v>
      </c>
      <c r="AE2376" s="99">
        <f t="shared" ca="1" si="78"/>
        <v>58596</v>
      </c>
      <c r="AF2376" s="6">
        <v>2.5533111929144687</v>
      </c>
    </row>
    <row r="2377" spans="30:32" x14ac:dyDescent="0.2">
      <c r="AD2377" s="98">
        <f t="shared" ca="1" si="79"/>
        <v>45.497604380561256</v>
      </c>
      <c r="AE2377" s="99">
        <f t="shared" ca="1" si="78"/>
        <v>58603</v>
      </c>
      <c r="AF2377" s="6">
        <v>2.5533171733101505</v>
      </c>
    </row>
    <row r="2378" spans="30:32" x14ac:dyDescent="0.2">
      <c r="AD2378" s="98">
        <f t="shared" ca="1" si="79"/>
        <v>45.516769336071185</v>
      </c>
      <c r="AE2378" s="99">
        <f t="shared" ca="1" si="78"/>
        <v>58610</v>
      </c>
      <c r="AF2378" s="6">
        <v>2.5533236395377772</v>
      </c>
    </row>
    <row r="2379" spans="30:32" x14ac:dyDescent="0.2">
      <c r="AD2379" s="98">
        <f t="shared" ca="1" si="79"/>
        <v>45.535934291581107</v>
      </c>
      <c r="AE2379" s="99">
        <f t="shared" ca="1" si="78"/>
        <v>58617</v>
      </c>
      <c r="AF2379" s="6">
        <v>2.553330589547735</v>
      </c>
    </row>
    <row r="2380" spans="30:32" x14ac:dyDescent="0.2">
      <c r="AD2380" s="98">
        <f t="shared" ca="1" si="79"/>
        <v>45.555099247091036</v>
      </c>
      <c r="AE2380" s="99">
        <f t="shared" ca="1" si="78"/>
        <v>58624</v>
      </c>
      <c r="AF2380" s="6">
        <v>2.5533380212642562</v>
      </c>
    </row>
    <row r="2381" spans="30:32" x14ac:dyDescent="0.2">
      <c r="AD2381" s="98">
        <f t="shared" ca="1" si="79"/>
        <v>45.574264202600958</v>
      </c>
      <c r="AE2381" s="99">
        <f t="shared" ca="1" si="78"/>
        <v>58631</v>
      </c>
      <c r="AF2381" s="6">
        <v>2.5533459325856507</v>
      </c>
    </row>
    <row r="2382" spans="30:32" x14ac:dyDescent="0.2">
      <c r="AD2382" s="98">
        <f t="shared" ca="1" si="79"/>
        <v>45.593429158110879</v>
      </c>
      <c r="AE2382" s="99">
        <f t="shared" ca="1" si="78"/>
        <v>58638</v>
      </c>
      <c r="AF2382" s="6">
        <v>2.5533543213845489</v>
      </c>
    </row>
    <row r="2383" spans="30:32" x14ac:dyDescent="0.2">
      <c r="AD2383" s="98">
        <f t="shared" ca="1" si="79"/>
        <v>45.612594113620808</v>
      </c>
      <c r="AE2383" s="99">
        <f t="shared" ca="1" si="78"/>
        <v>58645</v>
      </c>
      <c r="AF2383" s="6">
        <v>2.5533631855081453</v>
      </c>
    </row>
    <row r="2384" spans="30:32" x14ac:dyDescent="0.2">
      <c r="AD2384" s="98">
        <f t="shared" ca="1" si="79"/>
        <v>45.63175906913073</v>
      </c>
      <c r="AE2384" s="99">
        <f t="shared" ca="1" si="78"/>
        <v>58652</v>
      </c>
      <c r="AF2384" s="6">
        <v>2.5533725227784481</v>
      </c>
    </row>
    <row r="2385" spans="30:32" x14ac:dyDescent="0.2">
      <c r="AD2385" s="98">
        <f t="shared" ca="1" si="79"/>
        <v>45.650924024640659</v>
      </c>
      <c r="AE2385" s="99">
        <f t="shared" ca="1" si="78"/>
        <v>58659</v>
      </c>
      <c r="AF2385" s="6">
        <v>2.5533823309925268</v>
      </c>
    </row>
    <row r="2386" spans="30:32" x14ac:dyDescent="0.2">
      <c r="AD2386" s="98">
        <f t="shared" ca="1" si="79"/>
        <v>45.670088980150581</v>
      </c>
      <c r="AE2386" s="99">
        <f t="shared" ca="1" si="78"/>
        <v>58666</v>
      </c>
      <c r="AF2386" s="6">
        <v>2.5533926079227682</v>
      </c>
    </row>
    <row r="2387" spans="30:32" x14ac:dyDescent="0.2">
      <c r="AD2387" s="98">
        <f t="shared" ca="1" si="79"/>
        <v>45.68925393566051</v>
      </c>
      <c r="AE2387" s="99">
        <f t="shared" ca="1" si="78"/>
        <v>58673</v>
      </c>
      <c r="AF2387" s="6">
        <v>2.5534033513171326</v>
      </c>
    </row>
    <row r="2388" spans="30:32" x14ac:dyDescent="0.2">
      <c r="AD2388" s="98">
        <f t="shared" ca="1" si="79"/>
        <v>45.708418891170432</v>
      </c>
      <c r="AE2388" s="99">
        <f t="shared" ca="1" si="78"/>
        <v>58680</v>
      </c>
      <c r="AF2388" s="6">
        <v>2.5534145588994153</v>
      </c>
    </row>
    <row r="2389" spans="30:32" x14ac:dyDescent="0.2">
      <c r="AD2389" s="98">
        <f t="shared" ca="1" si="79"/>
        <v>45.727583846680353</v>
      </c>
      <c r="AE2389" s="99">
        <f t="shared" ca="1" si="78"/>
        <v>58687</v>
      </c>
      <c r="AF2389" s="6">
        <v>2.5534262283695064</v>
      </c>
    </row>
    <row r="2390" spans="30:32" x14ac:dyDescent="0.2">
      <c r="AD2390" s="98">
        <f t="shared" ca="1" si="79"/>
        <v>45.746748802190282</v>
      </c>
      <c r="AE2390" s="99">
        <f t="shared" ca="1" si="78"/>
        <v>58694</v>
      </c>
      <c r="AF2390" s="6">
        <v>2.5534383574036603</v>
      </c>
    </row>
    <row r="2391" spans="30:32" x14ac:dyDescent="0.2">
      <c r="AD2391" s="98">
        <f t="shared" ca="1" si="79"/>
        <v>45.765913757700204</v>
      </c>
      <c r="AE2391" s="99">
        <f t="shared" ca="1" si="78"/>
        <v>58701</v>
      </c>
      <c r="AF2391" s="6">
        <v>2.5534509436547639</v>
      </c>
    </row>
    <row r="2392" spans="30:32" x14ac:dyDescent="0.2">
      <c r="AD2392" s="98">
        <f t="shared" ca="1" si="79"/>
        <v>45.785078713210133</v>
      </c>
      <c r="AE2392" s="99">
        <f t="shared" ca="1" si="78"/>
        <v>58708</v>
      </c>
      <c r="AF2392" s="6">
        <v>2.5534639847526059</v>
      </c>
    </row>
    <row r="2393" spans="30:32" x14ac:dyDescent="0.2">
      <c r="AD2393" s="98">
        <f t="shared" ca="1" si="79"/>
        <v>45.804243668720055</v>
      </c>
      <c r="AE2393" s="99">
        <f t="shared" ca="1" si="78"/>
        <v>58715</v>
      </c>
      <c r="AF2393" s="6">
        <v>2.5534774783041509</v>
      </c>
    </row>
    <row r="2394" spans="30:32" x14ac:dyDescent="0.2">
      <c r="AD2394" s="98">
        <f t="shared" ca="1" si="79"/>
        <v>45.823408624229977</v>
      </c>
      <c r="AE2394" s="99">
        <f t="shared" ca="1" si="78"/>
        <v>58722</v>
      </c>
      <c r="AF2394" s="6">
        <v>2.5534914218938241</v>
      </c>
    </row>
    <row r="2395" spans="30:32" x14ac:dyDescent="0.2">
      <c r="AD2395" s="98">
        <f t="shared" ca="1" si="79"/>
        <v>45.842573579739906</v>
      </c>
      <c r="AE2395" s="99">
        <f t="shared" ca="1" si="78"/>
        <v>58729</v>
      </c>
      <c r="AF2395" s="6">
        <v>2.5535058130837816</v>
      </c>
    </row>
    <row r="2396" spans="30:32" x14ac:dyDescent="0.2">
      <c r="AD2396" s="98">
        <f t="shared" ca="1" si="79"/>
        <v>45.861738535249827</v>
      </c>
      <c r="AE2396" s="99">
        <f t="shared" ca="1" si="78"/>
        <v>58736</v>
      </c>
      <c r="AF2396" s="6">
        <v>2.5535206494141951</v>
      </c>
    </row>
    <row r="2397" spans="30:32" x14ac:dyDescent="0.2">
      <c r="AD2397" s="98">
        <f t="shared" ca="1" si="79"/>
        <v>45.880903490759756</v>
      </c>
      <c r="AE2397" s="99">
        <f t="shared" ca="1" si="78"/>
        <v>58743</v>
      </c>
      <c r="AF2397" s="6">
        <v>2.5535359284035417</v>
      </c>
    </row>
    <row r="2398" spans="30:32" x14ac:dyDescent="0.2">
      <c r="AD2398" s="98">
        <f t="shared" ca="1" si="79"/>
        <v>45.900068446269678</v>
      </c>
      <c r="AE2398" s="99">
        <f t="shared" ca="1" si="78"/>
        <v>58750</v>
      </c>
      <c r="AF2398" s="6">
        <v>2.5535516475488844</v>
      </c>
    </row>
    <row r="2399" spans="30:32" x14ac:dyDescent="0.2">
      <c r="AD2399" s="98">
        <f t="shared" ca="1" si="79"/>
        <v>45.9192334017796</v>
      </c>
      <c r="AE2399" s="99">
        <f t="shared" ca="1" si="78"/>
        <v>58757</v>
      </c>
      <c r="AF2399" s="6">
        <v>2.5535678043261663</v>
      </c>
    </row>
    <row r="2400" spans="30:32" x14ac:dyDescent="0.2">
      <c r="AD2400" s="98">
        <f t="shared" ca="1" si="79"/>
        <v>45.938398357289529</v>
      </c>
      <c r="AE2400" s="99">
        <f t="shared" ca="1" si="78"/>
        <v>58764</v>
      </c>
      <c r="AF2400" s="6">
        <v>2.5535843961905003</v>
      </c>
    </row>
    <row r="2401" spans="30:32" x14ac:dyDescent="0.2">
      <c r="AD2401" s="98">
        <f t="shared" ca="1" si="79"/>
        <v>45.957563312799451</v>
      </c>
      <c r="AE2401" s="99">
        <f t="shared" ca="1" si="78"/>
        <v>58771</v>
      </c>
      <c r="AF2401" s="6">
        <v>2.5536014205764657</v>
      </c>
    </row>
    <row r="2402" spans="30:32" x14ac:dyDescent="0.2">
      <c r="AD2402" s="98">
        <f t="shared" ca="1" si="79"/>
        <v>45.97672826830938</v>
      </c>
      <c r="AE2402" s="99">
        <f t="shared" ca="1" si="78"/>
        <v>58778</v>
      </c>
      <c r="AF2402" s="6">
        <v>2.553618874898397</v>
      </c>
    </row>
    <row r="2403" spans="30:32" x14ac:dyDescent="0.2">
      <c r="AD2403" s="98">
        <f t="shared" ca="1" si="79"/>
        <v>45.995893223819301</v>
      </c>
      <c r="AE2403" s="99">
        <f t="shared" ca="1" si="78"/>
        <v>58785</v>
      </c>
      <c r="AF2403" s="6">
        <v>2.5536367565506928</v>
      </c>
    </row>
    <row r="2404" spans="30:32" x14ac:dyDescent="0.2">
      <c r="AD2404" s="98">
        <f t="shared" ca="1" si="79"/>
        <v>46.015058179329223</v>
      </c>
      <c r="AE2404" s="99">
        <f t="shared" ca="1" si="78"/>
        <v>58792</v>
      </c>
      <c r="AF2404" s="6">
        <v>2.5536550629081103</v>
      </c>
    </row>
    <row r="2405" spans="30:32" x14ac:dyDescent="0.2">
      <c r="AD2405" s="98">
        <f t="shared" ca="1" si="79"/>
        <v>46.034223134839152</v>
      </c>
      <c r="AE2405" s="99">
        <f t="shared" ca="1" si="78"/>
        <v>58799</v>
      </c>
      <c r="AF2405" s="6">
        <v>2.5536737913260668</v>
      </c>
    </row>
    <row r="2406" spans="30:32" x14ac:dyDescent="0.2">
      <c r="AD2406" s="98">
        <f t="shared" ca="1" si="79"/>
        <v>46.053388090349074</v>
      </c>
      <c r="AE2406" s="99">
        <f t="shared" ca="1" si="78"/>
        <v>58806</v>
      </c>
      <c r="AF2406" s="6">
        <v>2.5536929391409458</v>
      </c>
    </row>
    <row r="2407" spans="30:32" x14ac:dyDescent="0.2">
      <c r="AD2407" s="98">
        <f t="shared" ca="1" si="79"/>
        <v>46.072553045859003</v>
      </c>
      <c r="AE2407" s="99">
        <f t="shared" ca="1" si="78"/>
        <v>58813</v>
      </c>
      <c r="AF2407" s="6">
        <v>2.553712503670404</v>
      </c>
    </row>
    <row r="2408" spans="30:32" x14ac:dyDescent="0.2">
      <c r="AD2408" s="98">
        <f t="shared" ca="1" si="79"/>
        <v>46.091718001368925</v>
      </c>
      <c r="AE2408" s="99">
        <f t="shared" ca="1" si="78"/>
        <v>58820</v>
      </c>
      <c r="AF2408" s="6">
        <v>2.5537324822136758</v>
      </c>
    </row>
    <row r="2409" spans="30:32" x14ac:dyDescent="0.2">
      <c r="AD2409" s="98">
        <f t="shared" ca="1" si="79"/>
        <v>46.110882956878854</v>
      </c>
      <c r="AE2409" s="99">
        <f t="shared" ca="1" si="78"/>
        <v>58827</v>
      </c>
      <c r="AF2409" s="6">
        <v>2.5537528720518878</v>
      </c>
    </row>
    <row r="2410" spans="30:32" x14ac:dyDescent="0.2">
      <c r="AD2410" s="98">
        <f t="shared" ca="1" si="79"/>
        <v>46.130047912388775</v>
      </c>
      <c r="AE2410" s="99">
        <f t="shared" ca="1" si="78"/>
        <v>58834</v>
      </c>
      <c r="AF2410" s="6">
        <v>2.5537736704483649</v>
      </c>
    </row>
    <row r="2411" spans="30:32" x14ac:dyDescent="0.2">
      <c r="AD2411" s="98">
        <f t="shared" ca="1" si="79"/>
        <v>46.149212867898697</v>
      </c>
      <c r="AE2411" s="99">
        <f t="shared" ca="1" si="78"/>
        <v>58841</v>
      </c>
      <c r="AF2411" s="6">
        <v>2.5537948746489429</v>
      </c>
    </row>
    <row r="2412" spans="30:32" x14ac:dyDescent="0.2">
      <c r="AD2412" s="98">
        <f t="shared" ca="1" si="79"/>
        <v>46.168377823408626</v>
      </c>
      <c r="AE2412" s="99">
        <f t="shared" ca="1" si="78"/>
        <v>58848</v>
      </c>
      <c r="AF2412" s="6">
        <v>2.5538164818822877</v>
      </c>
    </row>
    <row r="2413" spans="30:32" x14ac:dyDescent="0.2">
      <c r="AD2413" s="98">
        <f t="shared" ca="1" si="79"/>
        <v>46.187542778918548</v>
      </c>
      <c r="AE2413" s="99">
        <f t="shared" ca="1" si="78"/>
        <v>58855</v>
      </c>
      <c r="AF2413" s="6">
        <v>2.5538384893602073</v>
      </c>
    </row>
    <row r="2414" spans="30:32" x14ac:dyDescent="0.2">
      <c r="AD2414" s="98">
        <f t="shared" ca="1" si="79"/>
        <v>46.206707734428477</v>
      </c>
      <c r="AE2414" s="99">
        <f t="shared" ca="1" si="78"/>
        <v>58862</v>
      </c>
      <c r="AF2414" s="6">
        <v>2.5538608942779679</v>
      </c>
    </row>
    <row r="2415" spans="30:32" x14ac:dyDescent="0.2">
      <c r="AD2415" s="98">
        <f t="shared" ca="1" si="79"/>
        <v>46.225872689938399</v>
      </c>
      <c r="AE2415" s="99">
        <f t="shared" ca="1" si="78"/>
        <v>58869</v>
      </c>
      <c r="AF2415" s="6">
        <v>2.5538836938146137</v>
      </c>
    </row>
    <row r="2416" spans="30:32" x14ac:dyDescent="0.2">
      <c r="AD2416" s="98">
        <f t="shared" ca="1" si="79"/>
        <v>46.245037645448321</v>
      </c>
      <c r="AE2416" s="99">
        <f t="shared" ca="1" si="78"/>
        <v>58876</v>
      </c>
      <c r="AF2416" s="6">
        <v>2.5539068851332862</v>
      </c>
    </row>
    <row r="2417" spans="30:32" x14ac:dyDescent="0.2">
      <c r="AD2417" s="98">
        <f t="shared" ca="1" si="79"/>
        <v>46.264202600958249</v>
      </c>
      <c r="AE2417" s="99">
        <f t="shared" ca="1" si="78"/>
        <v>58883</v>
      </c>
      <c r="AF2417" s="6">
        <v>2.5539304653815433</v>
      </c>
    </row>
    <row r="2418" spans="30:32" x14ac:dyDescent="0.2">
      <c r="AD2418" s="98">
        <f t="shared" ca="1" si="79"/>
        <v>46.283367556468171</v>
      </c>
      <c r="AE2418" s="99">
        <f t="shared" ca="1" si="78"/>
        <v>58890</v>
      </c>
      <c r="AF2418" s="6">
        <v>2.5539544316916825</v>
      </c>
    </row>
    <row r="2419" spans="30:32" x14ac:dyDescent="0.2">
      <c r="AD2419" s="98">
        <f t="shared" ca="1" si="79"/>
        <v>46.3025325119781</v>
      </c>
      <c r="AE2419" s="99">
        <f t="shared" ca="1" si="78"/>
        <v>58897</v>
      </c>
      <c r="AF2419" s="6">
        <v>2.5539787811810619</v>
      </c>
    </row>
    <row r="2420" spans="30:32" x14ac:dyDescent="0.2">
      <c r="AD2420" s="98">
        <f t="shared" ca="1" si="79"/>
        <v>46.321697467488022</v>
      </c>
      <c r="AE2420" s="99">
        <f t="shared" ca="1" si="78"/>
        <v>58904</v>
      </c>
      <c r="AF2420" s="6">
        <v>2.5540035109524246</v>
      </c>
    </row>
    <row r="2421" spans="30:32" x14ac:dyDescent="0.2">
      <c r="AD2421" s="98">
        <f t="shared" ca="1" si="79"/>
        <v>46.340862422997944</v>
      </c>
      <c r="AE2421" s="99">
        <f t="shared" ca="1" si="78"/>
        <v>58911</v>
      </c>
      <c r="AF2421" s="6">
        <v>2.554028618094224</v>
      </c>
    </row>
    <row r="2422" spans="30:32" x14ac:dyDescent="0.2">
      <c r="AD2422" s="98">
        <f t="shared" ca="1" si="79"/>
        <v>46.360027378507873</v>
      </c>
      <c r="AE2422" s="99">
        <f t="shared" ca="1" si="78"/>
        <v>58918</v>
      </c>
      <c r="AF2422" s="6">
        <v>2.5540540996809451</v>
      </c>
    </row>
    <row r="2423" spans="30:32" x14ac:dyDescent="0.2">
      <c r="AD2423" s="98">
        <f t="shared" ca="1" si="79"/>
        <v>46.379192334017795</v>
      </c>
      <c r="AE2423" s="99">
        <f t="shared" ca="1" si="78"/>
        <v>58925</v>
      </c>
      <c r="AF2423" s="6">
        <v>2.5540799527734337</v>
      </c>
    </row>
    <row r="2424" spans="30:32" x14ac:dyDescent="0.2">
      <c r="AD2424" s="98">
        <f t="shared" ca="1" si="79"/>
        <v>46.398357289527723</v>
      </c>
      <c r="AE2424" s="99">
        <f t="shared" ca="1" si="78"/>
        <v>58932</v>
      </c>
      <c r="AF2424" s="6">
        <v>2.5541061744192239</v>
      </c>
    </row>
    <row r="2425" spans="30:32" x14ac:dyDescent="0.2">
      <c r="AD2425" s="98">
        <f t="shared" ca="1" si="79"/>
        <v>46.417522245037645</v>
      </c>
      <c r="AE2425" s="99">
        <f t="shared" ca="1" si="78"/>
        <v>58939</v>
      </c>
      <c r="AF2425" s="6">
        <v>2.5541327616528604</v>
      </c>
    </row>
    <row r="2426" spans="30:32" x14ac:dyDescent="0.2">
      <c r="AD2426" s="98">
        <f t="shared" ca="1" si="79"/>
        <v>46.436687200547567</v>
      </c>
      <c r="AE2426" s="99">
        <f t="shared" ca="1" si="78"/>
        <v>58946</v>
      </c>
      <c r="AF2426" s="6">
        <v>2.5541597114962307</v>
      </c>
    </row>
    <row r="2427" spans="30:32" x14ac:dyDescent="0.2">
      <c r="AD2427" s="98">
        <f t="shared" ca="1" si="79"/>
        <v>46.455852156057496</v>
      </c>
      <c r="AE2427" s="99">
        <f t="shared" ca="1" si="78"/>
        <v>58953</v>
      </c>
      <c r="AF2427" s="6">
        <v>2.5541870209588895</v>
      </c>
    </row>
    <row r="2428" spans="30:32" x14ac:dyDescent="0.2">
      <c r="AD2428" s="98">
        <f t="shared" ca="1" si="79"/>
        <v>46.475017111567418</v>
      </c>
      <c r="AE2428" s="99">
        <f t="shared" ca="1" si="78"/>
        <v>58960</v>
      </c>
      <c r="AF2428" s="6">
        <v>2.5542146870383893</v>
      </c>
    </row>
    <row r="2429" spans="30:32" x14ac:dyDescent="0.2">
      <c r="AD2429" s="98">
        <f t="shared" ca="1" si="79"/>
        <v>46.494182067077347</v>
      </c>
      <c r="AE2429" s="99">
        <f t="shared" ca="1" si="78"/>
        <v>58967</v>
      </c>
      <c r="AF2429" s="6">
        <v>2.5542427067206104</v>
      </c>
    </row>
    <row r="2430" spans="30:32" x14ac:dyDescent="0.2">
      <c r="AD2430" s="98">
        <f t="shared" ca="1" si="79"/>
        <v>46.513347022587268</v>
      </c>
      <c r="AE2430" s="99">
        <f t="shared" ca="1" si="78"/>
        <v>58974</v>
      </c>
      <c r="AF2430" s="6">
        <v>2.554271076980084</v>
      </c>
    </row>
    <row r="2431" spans="30:32" x14ac:dyDescent="0.2">
      <c r="AD2431" s="98">
        <f t="shared" ca="1" si="79"/>
        <v>46.53251197809719</v>
      </c>
      <c r="AE2431" s="99">
        <f t="shared" ca="1" si="78"/>
        <v>58981</v>
      </c>
      <c r="AF2431" s="6">
        <v>2.5542997947803281</v>
      </c>
    </row>
    <row r="2432" spans="30:32" x14ac:dyDescent="0.2">
      <c r="AD2432" s="98">
        <f t="shared" ca="1" si="79"/>
        <v>46.551676933607119</v>
      </c>
      <c r="AE2432" s="99">
        <f t="shared" ca="1" si="78"/>
        <v>58988</v>
      </c>
      <c r="AF2432" s="6">
        <v>2.5543288570741716</v>
      </c>
    </row>
    <row r="2433" spans="30:32" x14ac:dyDescent="0.2">
      <c r="AD2433" s="98">
        <f t="shared" ca="1" si="79"/>
        <v>46.570841889117041</v>
      </c>
      <c r="AE2433" s="99">
        <f t="shared" ca="1" si="78"/>
        <v>58995</v>
      </c>
      <c r="AF2433" s="6">
        <v>2.5543582608040891</v>
      </c>
    </row>
    <row r="2434" spans="30:32" x14ac:dyDescent="0.2">
      <c r="AD2434" s="98">
        <f t="shared" ca="1" si="79"/>
        <v>46.59000684462697</v>
      </c>
      <c r="AE2434" s="99">
        <f t="shared" ca="1" si="78"/>
        <v>59002</v>
      </c>
      <c r="AF2434" s="6">
        <v>2.5543880029025212</v>
      </c>
    </row>
    <row r="2435" spans="30:32" x14ac:dyDescent="0.2">
      <c r="AD2435" s="98">
        <f t="shared" ca="1" si="79"/>
        <v>46.609171800136892</v>
      </c>
      <c r="AE2435" s="99">
        <f t="shared" ca="1" si="78"/>
        <v>59009</v>
      </c>
      <c r="AF2435" s="6">
        <v>2.5544180802922143</v>
      </c>
    </row>
    <row r="2436" spans="30:32" x14ac:dyDescent="0.2">
      <c r="AD2436" s="98">
        <f t="shared" ca="1" si="79"/>
        <v>46.628336755646821</v>
      </c>
      <c r="AE2436" s="99">
        <f t="shared" ref="AE2436:AE2499" ca="1" si="80">AE2435+7</f>
        <v>59016</v>
      </c>
      <c r="AF2436" s="6">
        <v>2.5544484898865401</v>
      </c>
    </row>
    <row r="2437" spans="30:32" x14ac:dyDescent="0.2">
      <c r="AD2437" s="98">
        <f t="shared" ref="AD2437:AD2500" ca="1" si="81">(AE2437-$B$3)/365.25</f>
        <v>46.647501711156742</v>
      </c>
      <c r="AE2437" s="99">
        <f t="shared" ca="1" si="80"/>
        <v>59023</v>
      </c>
      <c r="AF2437" s="6">
        <v>2.5544792285898308</v>
      </c>
    </row>
    <row r="2438" spans="30:32" x14ac:dyDescent="0.2">
      <c r="AD2438" s="98">
        <f t="shared" ca="1" si="81"/>
        <v>46.666666666666664</v>
      </c>
      <c r="AE2438" s="99">
        <f t="shared" ca="1" si="80"/>
        <v>59030</v>
      </c>
      <c r="AF2438" s="6">
        <v>2.5545102932977048</v>
      </c>
    </row>
    <row r="2439" spans="30:32" x14ac:dyDescent="0.2">
      <c r="AD2439" s="98">
        <f t="shared" ca="1" si="81"/>
        <v>46.685831622176593</v>
      </c>
      <c r="AE2439" s="99">
        <f t="shared" ca="1" si="80"/>
        <v>59037</v>
      </c>
      <c r="AF2439" s="6">
        <v>2.5545416808973935</v>
      </c>
    </row>
    <row r="2440" spans="30:32" x14ac:dyDescent="0.2">
      <c r="AD2440" s="98">
        <f t="shared" ca="1" si="81"/>
        <v>46.704996577686515</v>
      </c>
      <c r="AE2440" s="99">
        <f t="shared" ca="1" si="80"/>
        <v>59044</v>
      </c>
      <c r="AF2440" s="6">
        <v>2.5545733882680741</v>
      </c>
    </row>
    <row r="2441" spans="30:32" x14ac:dyDescent="0.2">
      <c r="AD2441" s="98">
        <f t="shared" ca="1" si="81"/>
        <v>46.724161533196444</v>
      </c>
      <c r="AE2441" s="99">
        <f t="shared" ca="1" si="80"/>
        <v>59051</v>
      </c>
      <c r="AF2441" s="6">
        <v>2.5546054122811896</v>
      </c>
    </row>
    <row r="2442" spans="30:32" x14ac:dyDescent="0.2">
      <c r="AD2442" s="98">
        <f t="shared" ca="1" si="81"/>
        <v>46.743326488706366</v>
      </c>
      <c r="AE2442" s="99">
        <f t="shared" ca="1" si="80"/>
        <v>59058</v>
      </c>
      <c r="AF2442" s="6">
        <v>2.554637749800782</v>
      </c>
    </row>
    <row r="2443" spans="30:32" x14ac:dyDescent="0.2">
      <c r="AD2443" s="98">
        <f t="shared" ca="1" si="81"/>
        <v>46.762491444216288</v>
      </c>
      <c r="AE2443" s="99">
        <f t="shared" ca="1" si="80"/>
        <v>59065</v>
      </c>
      <c r="AF2443" s="6">
        <v>2.5546703976838132</v>
      </c>
    </row>
    <row r="2444" spans="30:32" x14ac:dyDescent="0.2">
      <c r="AD2444" s="98">
        <f t="shared" ca="1" si="81"/>
        <v>46.781656399726216</v>
      </c>
      <c r="AE2444" s="99">
        <f t="shared" ca="1" si="80"/>
        <v>59072</v>
      </c>
      <c r="AF2444" s="6">
        <v>2.5547033527804963</v>
      </c>
    </row>
    <row r="2445" spans="30:32" x14ac:dyDescent="0.2">
      <c r="AD2445" s="98">
        <f t="shared" ca="1" si="81"/>
        <v>46.800821355236138</v>
      </c>
      <c r="AE2445" s="99">
        <f t="shared" ca="1" si="80"/>
        <v>59079</v>
      </c>
      <c r="AF2445" s="6">
        <v>2.5547366119346129</v>
      </c>
    </row>
    <row r="2446" spans="30:32" x14ac:dyDescent="0.2">
      <c r="AD2446" s="98">
        <f t="shared" ca="1" si="81"/>
        <v>46.819986310746067</v>
      </c>
      <c r="AE2446" s="99">
        <f t="shared" ca="1" si="80"/>
        <v>59086</v>
      </c>
      <c r="AF2446" s="6">
        <v>2.554770171983844</v>
      </c>
    </row>
    <row r="2447" spans="30:32" x14ac:dyDescent="0.2">
      <c r="AD2447" s="98">
        <f t="shared" ca="1" si="81"/>
        <v>46.839151266255989</v>
      </c>
      <c r="AE2447" s="99">
        <f t="shared" ca="1" si="80"/>
        <v>59093</v>
      </c>
      <c r="AF2447" s="6">
        <v>2.5548040297600889</v>
      </c>
    </row>
    <row r="2448" spans="30:32" x14ac:dyDescent="0.2">
      <c r="AD2448" s="98">
        <f t="shared" ca="1" si="81"/>
        <v>46.858316221765911</v>
      </c>
      <c r="AE2448" s="99">
        <f t="shared" ca="1" si="80"/>
        <v>59100</v>
      </c>
      <c r="AF2448" s="6">
        <v>2.5548381820897887</v>
      </c>
    </row>
    <row r="2449" spans="30:32" x14ac:dyDescent="0.2">
      <c r="AD2449" s="98">
        <f t="shared" ca="1" si="81"/>
        <v>46.87748117727584</v>
      </c>
      <c r="AE2449" s="99">
        <f t="shared" ca="1" si="80"/>
        <v>59107</v>
      </c>
      <c r="AF2449" s="6">
        <v>2.5548726257942471</v>
      </c>
    </row>
    <row r="2450" spans="30:32" x14ac:dyDescent="0.2">
      <c r="AD2450" s="98">
        <f t="shared" ca="1" si="81"/>
        <v>46.896646132785762</v>
      </c>
      <c r="AE2450" s="99">
        <f t="shared" ca="1" si="80"/>
        <v>59114</v>
      </c>
      <c r="AF2450" s="6">
        <v>2.5549073576899519</v>
      </c>
    </row>
    <row r="2451" spans="30:32" x14ac:dyDescent="0.2">
      <c r="AD2451" s="98">
        <f t="shared" ca="1" si="81"/>
        <v>46.91581108829569</v>
      </c>
      <c r="AE2451" s="99">
        <f t="shared" ca="1" si="80"/>
        <v>59121</v>
      </c>
      <c r="AF2451" s="6">
        <v>2.5549423745888946</v>
      </c>
    </row>
    <row r="2452" spans="30:32" x14ac:dyDescent="0.2">
      <c r="AD2452" s="98">
        <f t="shared" ca="1" si="81"/>
        <v>46.934976043805612</v>
      </c>
      <c r="AE2452" s="99">
        <f t="shared" ca="1" si="80"/>
        <v>59128</v>
      </c>
      <c r="AF2452" s="6">
        <v>2.5549776732988834</v>
      </c>
    </row>
    <row r="2453" spans="30:32" x14ac:dyDescent="0.2">
      <c r="AD2453" s="98">
        <f t="shared" ca="1" si="81"/>
        <v>46.954140999315534</v>
      </c>
      <c r="AE2453" s="99">
        <f t="shared" ca="1" si="80"/>
        <v>59135</v>
      </c>
      <c r="AF2453" s="6">
        <v>2.5550132506238654</v>
      </c>
    </row>
    <row r="2454" spans="30:32" x14ac:dyDescent="0.2">
      <c r="AD2454" s="98">
        <f t="shared" ca="1" si="81"/>
        <v>46.973305954825463</v>
      </c>
      <c r="AE2454" s="99">
        <f t="shared" ca="1" si="80"/>
        <v>59142</v>
      </c>
      <c r="AF2454" s="6">
        <v>2.5550491033642428</v>
      </c>
    </row>
    <row r="2455" spans="30:32" x14ac:dyDescent="0.2">
      <c r="AD2455" s="98">
        <f t="shared" ca="1" si="81"/>
        <v>46.992470910335385</v>
      </c>
      <c r="AE2455" s="99">
        <f t="shared" ca="1" si="80"/>
        <v>59149</v>
      </c>
      <c r="AF2455" s="6">
        <v>2.5550852283171839</v>
      </c>
    </row>
    <row r="2456" spans="30:32" x14ac:dyDescent="0.2">
      <c r="AD2456" s="98">
        <f t="shared" ca="1" si="81"/>
        <v>47.011635865845314</v>
      </c>
      <c r="AE2456" s="99">
        <f t="shared" ca="1" si="80"/>
        <v>59156</v>
      </c>
      <c r="AF2456" s="6">
        <v>2.555121622276936</v>
      </c>
    </row>
    <row r="2457" spans="30:32" x14ac:dyDescent="0.2">
      <c r="AD2457" s="98">
        <f t="shared" ca="1" si="81"/>
        <v>47.030800821355236</v>
      </c>
      <c r="AE2457" s="99">
        <f t="shared" ca="1" si="80"/>
        <v>59163</v>
      </c>
      <c r="AF2457" s="6">
        <v>2.5551582820351393</v>
      </c>
    </row>
    <row r="2458" spans="30:32" x14ac:dyDescent="0.2">
      <c r="AD2458" s="98">
        <f t="shared" ca="1" si="81"/>
        <v>47.049965776865157</v>
      </c>
      <c r="AE2458" s="99">
        <f t="shared" ca="1" si="80"/>
        <v>59170</v>
      </c>
      <c r="AF2458" s="6">
        <v>2.5551952043811377</v>
      </c>
    </row>
    <row r="2459" spans="30:32" x14ac:dyDescent="0.2">
      <c r="AD2459" s="98">
        <f t="shared" ca="1" si="81"/>
        <v>47.069130732375086</v>
      </c>
      <c r="AE2459" s="99">
        <f t="shared" ca="1" si="80"/>
        <v>59177</v>
      </c>
      <c r="AF2459" s="6">
        <v>2.555232386102285</v>
      </c>
    </row>
    <row r="2460" spans="30:32" x14ac:dyDescent="0.2">
      <c r="AD2460" s="98">
        <f t="shared" ca="1" si="81"/>
        <v>47.088295687885008</v>
      </c>
      <c r="AE2460" s="99">
        <f t="shared" ca="1" si="80"/>
        <v>59184</v>
      </c>
      <c r="AF2460" s="6">
        <v>2.5552698239842524</v>
      </c>
    </row>
    <row r="2461" spans="30:32" x14ac:dyDescent="0.2">
      <c r="AD2461" s="98">
        <f t="shared" ca="1" si="81"/>
        <v>47.107460643394937</v>
      </c>
      <c r="AE2461" s="99">
        <f t="shared" ca="1" si="80"/>
        <v>59191</v>
      </c>
      <c r="AF2461" s="6">
        <v>2.5553075148113344</v>
      </c>
    </row>
    <row r="2462" spans="30:32" x14ac:dyDescent="0.2">
      <c r="AD2462" s="98">
        <f t="shared" ca="1" si="81"/>
        <v>47.126625598904859</v>
      </c>
      <c r="AE2462" s="99">
        <f t="shared" ca="1" si="80"/>
        <v>59198</v>
      </c>
      <c r="AF2462" s="6">
        <v>2.5553454553667572</v>
      </c>
    </row>
    <row r="2463" spans="30:32" x14ac:dyDescent="0.2">
      <c r="AD2463" s="98">
        <f t="shared" ca="1" si="81"/>
        <v>47.145790554414788</v>
      </c>
      <c r="AE2463" s="99">
        <f t="shared" ca="1" si="80"/>
        <v>59205</v>
      </c>
      <c r="AF2463" s="6">
        <v>2.5553836424329717</v>
      </c>
    </row>
    <row r="2464" spans="30:32" x14ac:dyDescent="0.2">
      <c r="AD2464" s="98">
        <f t="shared" ca="1" si="81"/>
        <v>47.16495550992471</v>
      </c>
      <c r="AE2464" s="99">
        <f t="shared" ca="1" si="80"/>
        <v>59212</v>
      </c>
      <c r="AF2464" s="6">
        <v>2.5554220727919628</v>
      </c>
    </row>
    <row r="2465" spans="30:32" x14ac:dyDescent="0.2">
      <c r="AD2465" s="98">
        <f t="shared" ca="1" si="81"/>
        <v>47.184120465434631</v>
      </c>
      <c r="AE2465" s="99">
        <f t="shared" ca="1" si="80"/>
        <v>59219</v>
      </c>
      <c r="AF2465" s="6">
        <v>2.555460743225543</v>
      </c>
    </row>
    <row r="2466" spans="30:32" x14ac:dyDescent="0.2">
      <c r="AD2466" s="98">
        <f t="shared" ca="1" si="81"/>
        <v>47.20328542094456</v>
      </c>
      <c r="AE2466" s="99">
        <f t="shared" ca="1" si="80"/>
        <v>59226</v>
      </c>
      <c r="AF2466" s="6">
        <v>2.5554996505156513</v>
      </c>
    </row>
    <row r="2467" spans="30:32" x14ac:dyDescent="0.2">
      <c r="AD2467" s="98">
        <f t="shared" ca="1" si="81"/>
        <v>47.222450376454482</v>
      </c>
      <c r="AE2467" s="99">
        <f t="shared" ca="1" si="80"/>
        <v>59233</v>
      </c>
      <c r="AF2467" s="6">
        <v>2.5555387914446479</v>
      </c>
    </row>
    <row r="2468" spans="30:32" x14ac:dyDescent="0.2">
      <c r="AD2468" s="98">
        <f t="shared" ca="1" si="81"/>
        <v>47.241615331964411</v>
      </c>
      <c r="AE2468" s="99">
        <f t="shared" ca="1" si="80"/>
        <v>59240</v>
      </c>
      <c r="AF2468" s="6">
        <v>2.5555781627956078</v>
      </c>
    </row>
    <row r="2469" spans="30:32" x14ac:dyDescent="0.2">
      <c r="AD2469" s="98">
        <f t="shared" ca="1" si="81"/>
        <v>47.260780287474333</v>
      </c>
      <c r="AE2469" s="99">
        <f t="shared" ca="1" si="80"/>
        <v>59247</v>
      </c>
      <c r="AF2469" s="6">
        <v>2.5556177613526114</v>
      </c>
    </row>
    <row r="2470" spans="30:32" x14ac:dyDescent="0.2">
      <c r="AD2470" s="98">
        <f t="shared" ca="1" si="81"/>
        <v>47.279945242984255</v>
      </c>
      <c r="AE2470" s="99">
        <f t="shared" ca="1" si="80"/>
        <v>59254</v>
      </c>
      <c r="AF2470" s="6">
        <v>2.5556575839010325</v>
      </c>
    </row>
    <row r="2471" spans="30:32" x14ac:dyDescent="0.2">
      <c r="AD2471" s="98">
        <f t="shared" ca="1" si="81"/>
        <v>47.299110198494184</v>
      </c>
      <c r="AE2471" s="99">
        <f t="shared" ca="1" si="80"/>
        <v>59261</v>
      </c>
      <c r="AF2471" s="6">
        <v>2.5556976272278296</v>
      </c>
    </row>
    <row r="2472" spans="30:32" x14ac:dyDescent="0.2">
      <c r="AD2472" s="98">
        <f t="shared" ca="1" si="81"/>
        <v>47.318275154004105</v>
      </c>
      <c r="AE2472" s="99">
        <f t="shared" ca="1" si="80"/>
        <v>59268</v>
      </c>
      <c r="AF2472" s="6">
        <v>2.5557378881218265</v>
      </c>
    </row>
    <row r="2473" spans="30:32" x14ac:dyDescent="0.2">
      <c r="AD2473" s="98">
        <f t="shared" ca="1" si="81"/>
        <v>47.337440109514034</v>
      </c>
      <c r="AE2473" s="99">
        <f t="shared" ca="1" si="80"/>
        <v>59275</v>
      </c>
      <c r="AF2473" s="6">
        <v>2.5557783633739954</v>
      </c>
    </row>
    <row r="2474" spans="30:32" x14ac:dyDescent="0.2">
      <c r="AD2474" s="98">
        <f t="shared" ca="1" si="81"/>
        <v>47.356605065023956</v>
      </c>
      <c r="AE2474" s="99">
        <f t="shared" ca="1" si="80"/>
        <v>59282</v>
      </c>
      <c r="AF2474" s="6">
        <v>2.5558190497777433</v>
      </c>
    </row>
    <row r="2475" spans="30:32" x14ac:dyDescent="0.2">
      <c r="AD2475" s="98">
        <f t="shared" ca="1" si="81"/>
        <v>47.375770020533878</v>
      </c>
      <c r="AE2475" s="99">
        <f t="shared" ca="1" si="80"/>
        <v>59289</v>
      </c>
      <c r="AF2475" s="6">
        <v>2.5558599441291836</v>
      </c>
    </row>
    <row r="2476" spans="30:32" x14ac:dyDescent="0.2">
      <c r="AD2476" s="98">
        <f t="shared" ca="1" si="81"/>
        <v>47.394934976043807</v>
      </c>
      <c r="AE2476" s="99">
        <f t="shared" ca="1" si="80"/>
        <v>59296</v>
      </c>
      <c r="AF2476" s="6">
        <v>2.5559010432274172</v>
      </c>
    </row>
    <row r="2477" spans="30:32" x14ac:dyDescent="0.2">
      <c r="AD2477" s="98">
        <f t="shared" ca="1" si="81"/>
        <v>47.414099931553729</v>
      </c>
      <c r="AE2477" s="99">
        <f t="shared" ca="1" si="80"/>
        <v>59303</v>
      </c>
      <c r="AF2477" s="6">
        <v>2.5559423438748019</v>
      </c>
    </row>
    <row r="2478" spans="30:32" x14ac:dyDescent="0.2">
      <c r="AD2478" s="98">
        <f t="shared" ca="1" si="81"/>
        <v>47.433264887063658</v>
      </c>
      <c r="AE2478" s="99">
        <f t="shared" ca="1" si="80"/>
        <v>59310</v>
      </c>
      <c r="AF2478" s="6">
        <v>2.5559838428772328</v>
      </c>
    </row>
    <row r="2479" spans="30:32" x14ac:dyDescent="0.2">
      <c r="AD2479" s="98">
        <f t="shared" ca="1" si="81"/>
        <v>47.452429842573579</v>
      </c>
      <c r="AE2479" s="99">
        <f t="shared" ca="1" si="80"/>
        <v>59317</v>
      </c>
      <c r="AF2479" s="6">
        <v>2.5560255370444023</v>
      </c>
    </row>
    <row r="2480" spans="30:32" x14ac:dyDescent="0.2">
      <c r="AD2480" s="98">
        <f t="shared" ca="1" si="81"/>
        <v>47.471594798083501</v>
      </c>
      <c r="AE2480" s="99">
        <f t="shared" ca="1" si="80"/>
        <v>59324</v>
      </c>
      <c r="AF2480" s="6">
        <v>2.5560674231900737</v>
      </c>
    </row>
    <row r="2481" spans="30:32" x14ac:dyDescent="0.2">
      <c r="AD2481" s="98">
        <f t="shared" ca="1" si="81"/>
        <v>47.49075975359343</v>
      </c>
      <c r="AE2481" s="99">
        <f t="shared" ca="1" si="80"/>
        <v>59331</v>
      </c>
      <c r="AF2481" s="6">
        <v>2.5561094981323413</v>
      </c>
    </row>
    <row r="2482" spans="30:32" x14ac:dyDescent="0.2">
      <c r="AD2482" s="98">
        <f t="shared" ca="1" si="81"/>
        <v>47.509924709103352</v>
      </c>
      <c r="AE2482" s="99">
        <f t="shared" ca="1" si="80"/>
        <v>59338</v>
      </c>
      <c r="AF2482" s="6">
        <v>2.5561517586938978</v>
      </c>
    </row>
    <row r="2483" spans="30:32" x14ac:dyDescent="0.2">
      <c r="AD2483" s="98">
        <f t="shared" ca="1" si="81"/>
        <v>47.529089664613281</v>
      </c>
      <c r="AE2483" s="99">
        <f t="shared" ca="1" si="80"/>
        <v>59345</v>
      </c>
      <c r="AF2483" s="6">
        <v>2.5561942017022883</v>
      </c>
    </row>
    <row r="2484" spans="30:32" x14ac:dyDescent="0.2">
      <c r="AD2484" s="98">
        <f t="shared" ca="1" si="81"/>
        <v>47.548254620123203</v>
      </c>
      <c r="AE2484" s="99">
        <f t="shared" ca="1" si="80"/>
        <v>59352</v>
      </c>
      <c r="AF2484" s="6">
        <v>2.5562368239901754</v>
      </c>
    </row>
    <row r="2485" spans="30:32" x14ac:dyDescent="0.2">
      <c r="AD2485" s="98">
        <f t="shared" ca="1" si="81"/>
        <v>47.567419575633132</v>
      </c>
      <c r="AE2485" s="99">
        <f t="shared" ca="1" si="80"/>
        <v>59359</v>
      </c>
      <c r="AF2485" s="6">
        <v>2.5562796223955857</v>
      </c>
    </row>
    <row r="2486" spans="30:32" x14ac:dyDescent="0.2">
      <c r="AD2486" s="98">
        <f t="shared" ca="1" si="81"/>
        <v>47.586584531143053</v>
      </c>
      <c r="AE2486" s="99">
        <f t="shared" ca="1" si="80"/>
        <v>59366</v>
      </c>
      <c r="AF2486" s="6">
        <v>2.5563225937621685</v>
      </c>
    </row>
    <row r="2487" spans="30:32" x14ac:dyDescent="0.2">
      <c r="AD2487" s="98">
        <f t="shared" ca="1" si="81"/>
        <v>47.605749486652975</v>
      </c>
      <c r="AE2487" s="99">
        <f t="shared" ca="1" si="80"/>
        <v>59373</v>
      </c>
      <c r="AF2487" s="6">
        <v>2.5563657349394426</v>
      </c>
    </row>
    <row r="2488" spans="30:32" x14ac:dyDescent="0.2">
      <c r="AD2488" s="98">
        <f t="shared" ca="1" si="81"/>
        <v>47.624914442162904</v>
      </c>
      <c r="AE2488" s="99">
        <f t="shared" ca="1" si="80"/>
        <v>59380</v>
      </c>
      <c r="AF2488" s="6">
        <v>2.5564090427830437</v>
      </c>
    </row>
    <row r="2489" spans="30:32" x14ac:dyDescent="0.2">
      <c r="AD2489" s="98">
        <f t="shared" ca="1" si="81"/>
        <v>47.644079397672826</v>
      </c>
      <c r="AE2489" s="99">
        <f t="shared" ca="1" si="80"/>
        <v>59387</v>
      </c>
      <c r="AF2489" s="6">
        <v>2.5564525141549685</v>
      </c>
    </row>
    <row r="2490" spans="30:32" x14ac:dyDescent="0.2">
      <c r="AD2490" s="98">
        <f t="shared" ca="1" si="81"/>
        <v>47.663244353182755</v>
      </c>
      <c r="AE2490" s="99">
        <f t="shared" ca="1" si="80"/>
        <v>59394</v>
      </c>
      <c r="AF2490" s="6">
        <v>2.5564961459238211</v>
      </c>
    </row>
    <row r="2491" spans="30:32" x14ac:dyDescent="0.2">
      <c r="AD2491" s="98">
        <f t="shared" ca="1" si="81"/>
        <v>47.682409308692677</v>
      </c>
      <c r="AE2491" s="99">
        <f t="shared" ca="1" si="80"/>
        <v>59401</v>
      </c>
      <c r="AF2491" s="6">
        <v>2.5565399349650453</v>
      </c>
    </row>
    <row r="2492" spans="30:32" x14ac:dyDescent="0.2">
      <c r="AD2492" s="98">
        <f t="shared" ca="1" si="81"/>
        <v>47.701574264202598</v>
      </c>
      <c r="AE2492" s="99">
        <f t="shared" ca="1" si="80"/>
        <v>59408</v>
      </c>
      <c r="AF2492" s="6">
        <v>2.5565838781611658</v>
      </c>
    </row>
    <row r="2493" spans="30:32" x14ac:dyDescent="0.2">
      <c r="AD2493" s="98">
        <f t="shared" ca="1" si="81"/>
        <v>47.720739219712527</v>
      </c>
      <c r="AE2493" s="99">
        <f t="shared" ca="1" si="80"/>
        <v>59415</v>
      </c>
      <c r="AF2493" s="6">
        <v>2.5566279724020218</v>
      </c>
    </row>
    <row r="2494" spans="30:32" x14ac:dyDescent="0.2">
      <c r="AD2494" s="98">
        <f t="shared" ca="1" si="81"/>
        <v>47.739904175222449</v>
      </c>
      <c r="AE2494" s="99">
        <f t="shared" ca="1" si="80"/>
        <v>59422</v>
      </c>
      <c r="AF2494" s="6">
        <v>2.5566722145849963</v>
      </c>
    </row>
    <row r="2495" spans="30:32" x14ac:dyDescent="0.2">
      <c r="AD2495" s="98">
        <f t="shared" ca="1" si="81"/>
        <v>47.759069130732378</v>
      </c>
      <c r="AE2495" s="99">
        <f t="shared" ca="1" si="80"/>
        <v>59429</v>
      </c>
      <c r="AF2495" s="6">
        <v>2.5567166016152458</v>
      </c>
    </row>
    <row r="2496" spans="30:32" x14ac:dyDescent="0.2">
      <c r="AD2496" s="98">
        <f t="shared" ca="1" si="81"/>
        <v>47.7782340862423</v>
      </c>
      <c r="AE2496" s="99">
        <f t="shared" ca="1" si="80"/>
        <v>59436</v>
      </c>
      <c r="AF2496" s="6">
        <v>2.5567611304059272</v>
      </c>
    </row>
    <row r="2497" spans="30:32" x14ac:dyDescent="0.2">
      <c r="AD2497" s="98">
        <f t="shared" ca="1" si="81"/>
        <v>47.797399041752222</v>
      </c>
      <c r="AE2497" s="99">
        <f t="shared" ca="1" si="80"/>
        <v>59443</v>
      </c>
      <c r="AF2497" s="6">
        <v>2.5568057978784169</v>
      </c>
    </row>
    <row r="2498" spans="30:32" x14ac:dyDescent="0.2">
      <c r="AD2498" s="98">
        <f t="shared" ca="1" si="81"/>
        <v>47.816563997262151</v>
      </c>
      <c r="AE2498" s="99">
        <f t="shared" ca="1" si="80"/>
        <v>59450</v>
      </c>
      <c r="AF2498" s="6">
        <v>2.5568506009625351</v>
      </c>
    </row>
    <row r="2499" spans="30:32" x14ac:dyDescent="0.2">
      <c r="AD2499" s="98">
        <f t="shared" ca="1" si="81"/>
        <v>47.835728952772072</v>
      </c>
      <c r="AE2499" s="99">
        <f t="shared" ca="1" si="80"/>
        <v>59457</v>
      </c>
      <c r="AF2499" s="6">
        <v>2.5568955365967603</v>
      </c>
    </row>
    <row r="2500" spans="30:32" x14ac:dyDescent="0.2">
      <c r="AD2500" s="98">
        <f t="shared" ca="1" si="81"/>
        <v>47.854893908282001</v>
      </c>
      <c r="AE2500" s="99">
        <f t="shared" ref="AE2500:AE2563" ca="1" si="82">AE2499+7</f>
        <v>59464</v>
      </c>
      <c r="AF2500" s="6">
        <v>2.5569406017284444</v>
      </c>
    </row>
    <row r="2501" spans="30:32" x14ac:dyDescent="0.2">
      <c r="AD2501" s="98">
        <f t="shared" ref="AD2501:AD2564" ca="1" si="83">(AE2501-$B$3)/365.25</f>
        <v>47.874058863791923</v>
      </c>
      <c r="AE2501" s="99">
        <f t="shared" ca="1" si="82"/>
        <v>59471</v>
      </c>
      <c r="AF2501" s="6">
        <v>2.5569857933140261</v>
      </c>
    </row>
    <row r="2502" spans="30:32" x14ac:dyDescent="0.2">
      <c r="AD2502" s="98">
        <f t="shared" ca="1" si="83"/>
        <v>47.893223819301845</v>
      </c>
      <c r="AE2502" s="99">
        <f t="shared" ca="1" si="82"/>
        <v>59478</v>
      </c>
      <c r="AF2502" s="6">
        <v>2.5570311083192374</v>
      </c>
    </row>
    <row r="2503" spans="30:32" x14ac:dyDescent="0.2">
      <c r="AD2503" s="98">
        <f t="shared" ca="1" si="83"/>
        <v>47.912388774811774</v>
      </c>
      <c r="AE2503" s="99">
        <f t="shared" ca="1" si="82"/>
        <v>59485</v>
      </c>
      <c r="AF2503" s="6">
        <v>2.5570765437193081</v>
      </c>
    </row>
    <row r="2504" spans="30:32" x14ac:dyDescent="0.2">
      <c r="AD2504" s="98">
        <f t="shared" ca="1" si="83"/>
        <v>47.931553730321696</v>
      </c>
      <c r="AE2504" s="99">
        <f t="shared" ca="1" si="82"/>
        <v>59492</v>
      </c>
      <c r="AF2504" s="6">
        <v>2.5571220964991754</v>
      </c>
    </row>
    <row r="2505" spans="30:32" x14ac:dyDescent="0.2">
      <c r="AD2505" s="98">
        <f t="shared" ca="1" si="83"/>
        <v>47.950718685831625</v>
      </c>
      <c r="AE2505" s="99">
        <f t="shared" ca="1" si="82"/>
        <v>59499</v>
      </c>
      <c r="AF2505" s="6">
        <v>2.5571677636536743</v>
      </c>
    </row>
    <row r="2506" spans="30:32" x14ac:dyDescent="0.2">
      <c r="AD2506" s="98">
        <f t="shared" ca="1" si="83"/>
        <v>47.969883641341546</v>
      </c>
      <c r="AE2506" s="99">
        <f t="shared" ca="1" si="82"/>
        <v>59506</v>
      </c>
      <c r="AF2506" s="6">
        <v>2.5572135421877449</v>
      </c>
    </row>
    <row r="2507" spans="30:32" x14ac:dyDescent="0.2">
      <c r="AD2507" s="98">
        <f t="shared" ca="1" si="83"/>
        <v>47.989048596851468</v>
      </c>
      <c r="AE2507" s="99">
        <f t="shared" ca="1" si="82"/>
        <v>59513</v>
      </c>
      <c r="AF2507" s="6">
        <v>2.5572594291166189</v>
      </c>
    </row>
    <row r="2508" spans="30:32" x14ac:dyDescent="0.2">
      <c r="AD2508" s="98">
        <f t="shared" ca="1" si="83"/>
        <v>48.008213552361397</v>
      </c>
      <c r="AE2508" s="99">
        <f t="shared" ca="1" si="82"/>
        <v>59520</v>
      </c>
      <c r="AF2508" s="6">
        <v>2.5573054214660131</v>
      </c>
    </row>
    <row r="2509" spans="30:32" x14ac:dyDescent="0.2">
      <c r="AD2509" s="98">
        <f t="shared" ca="1" si="83"/>
        <v>48.027378507871319</v>
      </c>
      <c r="AE2509" s="99">
        <f t="shared" ca="1" si="82"/>
        <v>59527</v>
      </c>
      <c r="AF2509" s="6">
        <v>2.5573515162723219</v>
      </c>
    </row>
    <row r="2510" spans="30:32" x14ac:dyDescent="0.2">
      <c r="AD2510" s="98">
        <f t="shared" ca="1" si="83"/>
        <v>48.046543463381248</v>
      </c>
      <c r="AE2510" s="99">
        <f t="shared" ca="1" si="82"/>
        <v>59534</v>
      </c>
      <c r="AF2510" s="6">
        <v>2.557397710582797</v>
      </c>
    </row>
    <row r="2511" spans="30:32" x14ac:dyDescent="0.2">
      <c r="AD2511" s="98">
        <f t="shared" ca="1" si="83"/>
        <v>48.06570841889117</v>
      </c>
      <c r="AE2511" s="99">
        <f t="shared" ca="1" si="82"/>
        <v>59541</v>
      </c>
      <c r="AF2511" s="6">
        <v>2.5574440014557331</v>
      </c>
    </row>
    <row r="2512" spans="30:32" x14ac:dyDescent="0.2">
      <c r="AD2512" s="98">
        <f t="shared" ca="1" si="83"/>
        <v>48.084873374401099</v>
      </c>
      <c r="AE2512" s="99">
        <f t="shared" ca="1" si="82"/>
        <v>59548</v>
      </c>
      <c r="AF2512" s="6">
        <v>2.5574903859606488</v>
      </c>
    </row>
    <row r="2513" spans="30:32" x14ac:dyDescent="0.2">
      <c r="AD2513" s="98">
        <f t="shared" ca="1" si="83"/>
        <v>48.10403832991102</v>
      </c>
      <c r="AE2513" s="99">
        <f t="shared" ca="1" si="82"/>
        <v>59555</v>
      </c>
      <c r="AF2513" s="6">
        <v>2.5575368611784581</v>
      </c>
    </row>
    <row r="2514" spans="30:32" x14ac:dyDescent="0.2">
      <c r="AD2514" s="98">
        <f t="shared" ca="1" si="83"/>
        <v>48.123203285420942</v>
      </c>
      <c r="AE2514" s="99">
        <f t="shared" ca="1" si="82"/>
        <v>59562</v>
      </c>
      <c r="AF2514" s="6">
        <v>2.55758342420165</v>
      </c>
    </row>
    <row r="2515" spans="30:32" x14ac:dyDescent="0.2">
      <c r="AD2515" s="98">
        <f t="shared" ca="1" si="83"/>
        <v>48.142368240930871</v>
      </c>
      <c r="AE2515" s="99">
        <f t="shared" ca="1" si="82"/>
        <v>59569</v>
      </c>
      <c r="AF2515" s="6">
        <v>2.5576300721344563</v>
      </c>
    </row>
    <row r="2516" spans="30:32" x14ac:dyDescent="0.2">
      <c r="AD2516" s="98">
        <f t="shared" ca="1" si="83"/>
        <v>48.161533196440793</v>
      </c>
      <c r="AE2516" s="99">
        <f t="shared" ca="1" si="82"/>
        <v>59576</v>
      </c>
      <c r="AF2516" s="6">
        <v>2.5576768020930207</v>
      </c>
    </row>
    <row r="2517" spans="30:32" x14ac:dyDescent="0.2">
      <c r="AD2517" s="98">
        <f t="shared" ca="1" si="83"/>
        <v>48.180698151950722</v>
      </c>
      <c r="AE2517" s="99">
        <f t="shared" ca="1" si="82"/>
        <v>59583</v>
      </c>
      <c r="AF2517" s="6">
        <v>2.5577236112055615</v>
      </c>
    </row>
    <row r="2518" spans="30:32" x14ac:dyDescent="0.2">
      <c r="AD2518" s="98">
        <f t="shared" ca="1" si="83"/>
        <v>48.199863107460644</v>
      </c>
      <c r="AE2518" s="99">
        <f t="shared" ca="1" si="82"/>
        <v>59590</v>
      </c>
      <c r="AF2518" s="6">
        <v>2.5577704966125347</v>
      </c>
    </row>
    <row r="2519" spans="30:32" x14ac:dyDescent="0.2">
      <c r="AD2519" s="98">
        <f t="shared" ca="1" si="83"/>
        <v>48.219028062970565</v>
      </c>
      <c r="AE2519" s="99">
        <f t="shared" ca="1" si="82"/>
        <v>59597</v>
      </c>
      <c r="AF2519" s="6">
        <v>2.5578174554667936</v>
      </c>
    </row>
    <row r="2520" spans="30:32" x14ac:dyDescent="0.2">
      <c r="AD2520" s="98">
        <f t="shared" ca="1" si="83"/>
        <v>48.238193018480494</v>
      </c>
      <c r="AE2520" s="99">
        <f t="shared" ca="1" si="82"/>
        <v>59604</v>
      </c>
      <c r="AF2520" s="6">
        <v>2.5578644849337464</v>
      </c>
    </row>
    <row r="2521" spans="30:32" x14ac:dyDescent="0.2">
      <c r="AD2521" s="98">
        <f t="shared" ca="1" si="83"/>
        <v>48.257357973990416</v>
      </c>
      <c r="AE2521" s="99">
        <f t="shared" ca="1" si="82"/>
        <v>59611</v>
      </c>
      <c r="AF2521" s="6">
        <v>2.5579115821915051</v>
      </c>
    </row>
    <row r="2522" spans="30:32" x14ac:dyDescent="0.2">
      <c r="AD2522" s="98">
        <f t="shared" ca="1" si="83"/>
        <v>48.276522929500345</v>
      </c>
      <c r="AE2522" s="99">
        <f t="shared" ca="1" si="82"/>
        <v>59618</v>
      </c>
      <c r="AF2522" s="6">
        <v>2.5579587444310374</v>
      </c>
    </row>
    <row r="2523" spans="30:32" x14ac:dyDescent="0.2">
      <c r="AD2523" s="98">
        <f t="shared" ca="1" si="83"/>
        <v>48.295687885010267</v>
      </c>
      <c r="AE2523" s="99">
        <f t="shared" ca="1" si="82"/>
        <v>59625</v>
      </c>
      <c r="AF2523" s="6">
        <v>2.5580059688563153</v>
      </c>
    </row>
    <row r="2524" spans="30:32" x14ac:dyDescent="0.2">
      <c r="AD2524" s="98">
        <f t="shared" ca="1" si="83"/>
        <v>48.314852840520189</v>
      </c>
      <c r="AE2524" s="99">
        <f t="shared" ca="1" si="82"/>
        <v>59632</v>
      </c>
      <c r="AF2524" s="6">
        <v>2.5580532526844579</v>
      </c>
    </row>
    <row r="2525" spans="30:32" x14ac:dyDescent="0.2">
      <c r="AD2525" s="98">
        <f t="shared" ca="1" si="83"/>
        <v>48.334017796030118</v>
      </c>
      <c r="AE2525" s="99">
        <f t="shared" ca="1" si="82"/>
        <v>59639</v>
      </c>
      <c r="AF2525" s="6">
        <v>2.5581005931458707</v>
      </c>
    </row>
    <row r="2526" spans="30:32" x14ac:dyDescent="0.2">
      <c r="AD2526" s="98">
        <f t="shared" ca="1" si="83"/>
        <v>48.353182751540039</v>
      </c>
      <c r="AE2526" s="99">
        <f t="shared" ca="1" si="82"/>
        <v>59646</v>
      </c>
      <c r="AF2526" s="6">
        <v>2.5581479874843907</v>
      </c>
    </row>
    <row r="2527" spans="30:32" x14ac:dyDescent="0.2">
      <c r="AD2527" s="98">
        <f t="shared" ca="1" si="83"/>
        <v>48.372347707049968</v>
      </c>
      <c r="AE2527" s="99">
        <f t="shared" ca="1" si="82"/>
        <v>59653</v>
      </c>
      <c r="AF2527" s="6">
        <v>2.558195432957413</v>
      </c>
    </row>
    <row r="2528" spans="30:32" x14ac:dyDescent="0.2">
      <c r="AD2528" s="98">
        <f t="shared" ca="1" si="83"/>
        <v>48.39151266255989</v>
      </c>
      <c r="AE2528" s="99">
        <f t="shared" ca="1" si="82"/>
        <v>59660</v>
      </c>
      <c r="AF2528" s="6">
        <v>2.5582429268360283</v>
      </c>
    </row>
    <row r="2529" spans="30:32" x14ac:dyDescent="0.2">
      <c r="AD2529" s="98">
        <f t="shared" ca="1" si="83"/>
        <v>48.410677618069812</v>
      </c>
      <c r="AE2529" s="99">
        <f t="shared" ca="1" si="82"/>
        <v>59667</v>
      </c>
      <c r="AF2529" s="6">
        <v>2.5582904664051522</v>
      </c>
    </row>
    <row r="2530" spans="30:32" x14ac:dyDescent="0.2">
      <c r="AD2530" s="98">
        <f t="shared" ca="1" si="83"/>
        <v>48.429842573579741</v>
      </c>
      <c r="AE2530" s="99">
        <f t="shared" ca="1" si="82"/>
        <v>59674</v>
      </c>
      <c r="AF2530" s="6">
        <v>2.5583380489636505</v>
      </c>
    </row>
    <row r="2531" spans="30:32" x14ac:dyDescent="0.2">
      <c r="AD2531" s="98">
        <f t="shared" ca="1" si="83"/>
        <v>48.449007529089663</v>
      </c>
      <c r="AE2531" s="99">
        <f t="shared" ca="1" si="82"/>
        <v>59681</v>
      </c>
      <c r="AF2531" s="6">
        <v>2.5583856718244631</v>
      </c>
    </row>
    <row r="2532" spans="30:32" x14ac:dyDescent="0.2">
      <c r="AD2532" s="98">
        <f t="shared" ca="1" si="83"/>
        <v>48.468172484599592</v>
      </c>
      <c r="AE2532" s="99">
        <f t="shared" ca="1" si="82"/>
        <v>59688</v>
      </c>
      <c r="AF2532" s="6">
        <v>2.5584333323147281</v>
      </c>
    </row>
    <row r="2533" spans="30:32" x14ac:dyDescent="0.2">
      <c r="AD2533" s="98">
        <f t="shared" ca="1" si="83"/>
        <v>48.487337440109513</v>
      </c>
      <c r="AE2533" s="99">
        <f t="shared" ca="1" si="82"/>
        <v>59695</v>
      </c>
      <c r="AF2533" s="6">
        <v>2.5584810277758909</v>
      </c>
    </row>
    <row r="2534" spans="30:32" x14ac:dyDescent="0.2">
      <c r="AD2534" s="98">
        <f t="shared" ca="1" si="83"/>
        <v>48.506502395619435</v>
      </c>
      <c r="AE2534" s="99">
        <f t="shared" ca="1" si="82"/>
        <v>59702</v>
      </c>
      <c r="AF2534" s="6">
        <v>2.558528755563831</v>
      </c>
    </row>
    <row r="2535" spans="30:32" x14ac:dyDescent="0.2">
      <c r="AD2535" s="98">
        <f t="shared" ca="1" si="83"/>
        <v>48.525667351129364</v>
      </c>
      <c r="AE2535" s="99">
        <f t="shared" ca="1" si="82"/>
        <v>59709</v>
      </c>
      <c r="AF2535" s="6">
        <v>2.5585765130489655</v>
      </c>
    </row>
    <row r="2536" spans="30:32" x14ac:dyDescent="0.2">
      <c r="AD2536" s="98">
        <f t="shared" ca="1" si="83"/>
        <v>48.544832306639286</v>
      </c>
      <c r="AE2536" s="99">
        <f t="shared" ca="1" si="82"/>
        <v>59716</v>
      </c>
      <c r="AF2536" s="6">
        <v>2.5586242976163613</v>
      </c>
    </row>
    <row r="2537" spans="30:32" x14ac:dyDescent="0.2">
      <c r="AD2537" s="98">
        <f t="shared" ca="1" si="83"/>
        <v>48.563997262149215</v>
      </c>
      <c r="AE2537" s="99">
        <f t="shared" ca="1" si="82"/>
        <v>59723</v>
      </c>
      <c r="AF2537" s="6">
        <v>2.558672106665842</v>
      </c>
    </row>
    <row r="2538" spans="30:32" x14ac:dyDescent="0.2">
      <c r="AD2538" s="98">
        <f t="shared" ca="1" si="83"/>
        <v>48.583162217659137</v>
      </c>
      <c r="AE2538" s="99">
        <f t="shared" ca="1" si="82"/>
        <v>59730</v>
      </c>
      <c r="AF2538" s="6">
        <v>2.5587199376120902</v>
      </c>
    </row>
    <row r="2539" spans="30:32" x14ac:dyDescent="0.2">
      <c r="AD2539" s="98">
        <f t="shared" ca="1" si="83"/>
        <v>48.602327173169066</v>
      </c>
      <c r="AE2539" s="99">
        <f t="shared" ca="1" si="82"/>
        <v>59737</v>
      </c>
      <c r="AF2539" s="6">
        <v>2.5587677878847495</v>
      </c>
    </row>
    <row r="2540" spans="30:32" x14ac:dyDescent="0.2">
      <c r="AD2540" s="98">
        <f t="shared" ca="1" si="83"/>
        <v>48.621492128678987</v>
      </c>
      <c r="AE2540" s="99">
        <f t="shared" ca="1" si="82"/>
        <v>59744</v>
      </c>
      <c r="AF2540" s="6">
        <v>2.5588156549285239</v>
      </c>
    </row>
    <row r="2541" spans="30:32" x14ac:dyDescent="0.2">
      <c r="AD2541" s="98">
        <f t="shared" ca="1" si="83"/>
        <v>48.640657084188909</v>
      </c>
      <c r="AE2541" s="99">
        <f t="shared" ca="1" si="82"/>
        <v>59751</v>
      </c>
      <c r="AF2541" s="6">
        <v>2.5588635362032681</v>
      </c>
    </row>
    <row r="2542" spans="30:32" x14ac:dyDescent="0.2">
      <c r="AD2542" s="98">
        <f t="shared" ca="1" si="83"/>
        <v>48.659822039698838</v>
      </c>
      <c r="AE2542" s="99">
        <f t="shared" ca="1" si="82"/>
        <v>59758</v>
      </c>
      <c r="AF2542" s="6">
        <v>2.558911429184084</v>
      </c>
    </row>
    <row r="2543" spans="30:32" x14ac:dyDescent="0.2">
      <c r="AD2543" s="98">
        <f t="shared" ca="1" si="83"/>
        <v>48.67898699520876</v>
      </c>
      <c r="AE2543" s="99">
        <f t="shared" ca="1" si="82"/>
        <v>59765</v>
      </c>
      <c r="AF2543" s="6">
        <v>2.5589593313614123</v>
      </c>
    </row>
    <row r="2544" spans="30:32" x14ac:dyDescent="0.2">
      <c r="AD2544" s="98">
        <f t="shared" ca="1" si="83"/>
        <v>48.698151950718689</v>
      </c>
      <c r="AE2544" s="99">
        <f t="shared" ca="1" si="82"/>
        <v>59772</v>
      </c>
      <c r="AF2544" s="6">
        <v>2.5590072402411117</v>
      </c>
    </row>
    <row r="2545" spans="30:32" x14ac:dyDescent="0.2">
      <c r="AD2545" s="98">
        <f t="shared" ca="1" si="83"/>
        <v>48.717316906228611</v>
      </c>
      <c r="AE2545" s="99">
        <f t="shared" ca="1" si="82"/>
        <v>59779</v>
      </c>
      <c r="AF2545" s="6">
        <v>2.5590551533445511</v>
      </c>
    </row>
    <row r="2546" spans="30:32" x14ac:dyDescent="0.2">
      <c r="AD2546" s="98">
        <f t="shared" ca="1" si="83"/>
        <v>48.736481861738532</v>
      </c>
      <c r="AE2546" s="99">
        <f t="shared" ca="1" si="82"/>
        <v>59786</v>
      </c>
      <c r="AF2546" s="6">
        <v>2.5591030682086884</v>
      </c>
    </row>
    <row r="2547" spans="30:32" x14ac:dyDescent="0.2">
      <c r="AD2547" s="98">
        <f t="shared" ca="1" si="83"/>
        <v>48.755646817248461</v>
      </c>
      <c r="AE2547" s="99">
        <f t="shared" ca="1" si="82"/>
        <v>59793</v>
      </c>
      <c r="AF2547" s="6">
        <v>2.5591509823861456</v>
      </c>
    </row>
    <row r="2548" spans="30:32" x14ac:dyDescent="0.2">
      <c r="AD2548" s="98">
        <f t="shared" ca="1" si="83"/>
        <v>48.774811772758383</v>
      </c>
      <c r="AE2548" s="99">
        <f t="shared" ca="1" si="82"/>
        <v>59800</v>
      </c>
      <c r="AF2548" s="6">
        <v>2.5591988934452896</v>
      </c>
    </row>
    <row r="2549" spans="30:32" x14ac:dyDescent="0.2">
      <c r="AD2549" s="98">
        <f t="shared" ca="1" si="83"/>
        <v>48.793976728268312</v>
      </c>
      <c r="AE2549" s="99">
        <f t="shared" ca="1" si="82"/>
        <v>59807</v>
      </c>
      <c r="AF2549" s="6">
        <v>2.559246798970304</v>
      </c>
    </row>
    <row r="2550" spans="30:32" x14ac:dyDescent="0.2">
      <c r="AD2550" s="98">
        <f t="shared" ca="1" si="83"/>
        <v>48.813141683778234</v>
      </c>
      <c r="AE2550" s="99">
        <f t="shared" ca="1" si="82"/>
        <v>59814</v>
      </c>
      <c r="AF2550" s="6">
        <v>2.5592946965612606</v>
      </c>
    </row>
    <row r="2551" spans="30:32" x14ac:dyDescent="0.2">
      <c r="AD2551" s="98">
        <f t="shared" ca="1" si="83"/>
        <v>48.832306639288156</v>
      </c>
      <c r="AE2551" s="99">
        <f t="shared" ca="1" si="82"/>
        <v>59821</v>
      </c>
      <c r="AF2551" s="6">
        <v>2.5593425838341854</v>
      </c>
    </row>
    <row r="2552" spans="30:32" x14ac:dyDescent="0.2">
      <c r="AD2552" s="98">
        <f t="shared" ca="1" si="83"/>
        <v>48.851471594798085</v>
      </c>
      <c r="AE2552" s="99">
        <f t="shared" ca="1" si="82"/>
        <v>59828</v>
      </c>
      <c r="AF2552" s="6">
        <v>2.5593904584211256</v>
      </c>
    </row>
    <row r="2553" spans="30:32" x14ac:dyDescent="0.2">
      <c r="AD2553" s="98">
        <f t="shared" ca="1" si="83"/>
        <v>48.870636550308006</v>
      </c>
      <c r="AE2553" s="99">
        <f t="shared" ca="1" si="82"/>
        <v>59835</v>
      </c>
      <c r="AF2553" s="6">
        <v>2.5594383179702098</v>
      </c>
    </row>
    <row r="2554" spans="30:32" x14ac:dyDescent="0.2">
      <c r="AD2554" s="98">
        <f t="shared" ca="1" si="83"/>
        <v>48.889801505817935</v>
      </c>
      <c r="AE2554" s="99">
        <f t="shared" ca="1" si="82"/>
        <v>59842</v>
      </c>
      <c r="AF2554" s="6">
        <v>2.5594861601457173</v>
      </c>
    </row>
    <row r="2555" spans="30:32" x14ac:dyDescent="0.2">
      <c r="AD2555" s="98">
        <f t="shared" ca="1" si="83"/>
        <v>48.908966461327857</v>
      </c>
      <c r="AE2555" s="99">
        <f t="shared" ca="1" si="82"/>
        <v>59849</v>
      </c>
      <c r="AF2555" s="6">
        <v>2.5595339826281229</v>
      </c>
    </row>
    <row r="2556" spans="30:32" x14ac:dyDescent="0.2">
      <c r="AD2556" s="98">
        <f t="shared" ca="1" si="83"/>
        <v>48.928131416837779</v>
      </c>
      <c r="AE2556" s="99">
        <f t="shared" ca="1" si="82"/>
        <v>59856</v>
      </c>
      <c r="AF2556" s="6">
        <v>2.559581783114159</v>
      </c>
    </row>
    <row r="2557" spans="30:32" x14ac:dyDescent="0.2">
      <c r="AD2557" s="98">
        <f t="shared" ca="1" si="83"/>
        <v>48.947296372347708</v>
      </c>
      <c r="AE2557" s="99">
        <f t="shared" ca="1" si="82"/>
        <v>59863</v>
      </c>
      <c r="AF2557" s="6">
        <v>2.5596295593168699</v>
      </c>
    </row>
    <row r="2558" spans="30:32" x14ac:dyDescent="0.2">
      <c r="AD2558" s="98">
        <f t="shared" ca="1" si="83"/>
        <v>48.96646132785763</v>
      </c>
      <c r="AE2558" s="99">
        <f t="shared" ca="1" si="82"/>
        <v>59870</v>
      </c>
      <c r="AF2558" s="6">
        <v>2.5596773089656595</v>
      </c>
    </row>
    <row r="2559" spans="30:32" x14ac:dyDescent="0.2">
      <c r="AD2559" s="98">
        <f t="shared" ca="1" si="83"/>
        <v>48.985626283367559</v>
      </c>
      <c r="AE2559" s="99">
        <f t="shared" ca="1" si="82"/>
        <v>59877</v>
      </c>
      <c r="AF2559" s="6">
        <v>2.5597250298063381</v>
      </c>
    </row>
    <row r="2560" spans="30:32" x14ac:dyDescent="0.2">
      <c r="AD2560" s="98">
        <f t="shared" ca="1" si="83"/>
        <v>49.00479123887748</v>
      </c>
      <c r="AE2560" s="99">
        <f t="shared" ca="1" si="82"/>
        <v>59884</v>
      </c>
      <c r="AF2560" s="6">
        <v>2.559772719601169</v>
      </c>
    </row>
    <row r="2561" spans="30:32" x14ac:dyDescent="0.2">
      <c r="AD2561" s="98">
        <f t="shared" ca="1" si="83"/>
        <v>49.023956194387409</v>
      </c>
      <c r="AE2561" s="99">
        <f t="shared" ca="1" si="82"/>
        <v>59891</v>
      </c>
      <c r="AF2561" s="6">
        <v>2.5598203761289122</v>
      </c>
    </row>
    <row r="2562" spans="30:32" x14ac:dyDescent="0.2">
      <c r="AD2562" s="98">
        <f t="shared" ca="1" si="83"/>
        <v>49.043121149897331</v>
      </c>
      <c r="AE2562" s="99">
        <f t="shared" ca="1" si="82"/>
        <v>59898</v>
      </c>
      <c r="AF2562" s="6">
        <v>2.5598679971848601</v>
      </c>
    </row>
    <row r="2563" spans="30:32" x14ac:dyDescent="0.2">
      <c r="AD2563" s="98">
        <f t="shared" ca="1" si="83"/>
        <v>49.062286105407253</v>
      </c>
      <c r="AE2563" s="99">
        <f t="shared" ca="1" si="82"/>
        <v>59905</v>
      </c>
      <c r="AF2563" s="6">
        <v>2.559915580580884</v>
      </c>
    </row>
    <row r="2564" spans="30:32" x14ac:dyDescent="0.2">
      <c r="AD2564" s="98">
        <f t="shared" ca="1" si="83"/>
        <v>49.081451060917182</v>
      </c>
      <c r="AE2564" s="99">
        <f t="shared" ref="AE2564:AE2612" ca="1" si="84">AE2563+7</f>
        <v>59912</v>
      </c>
      <c r="AF2564" s="6">
        <v>2.5599631241454603</v>
      </c>
    </row>
    <row r="2565" spans="30:32" x14ac:dyDescent="0.2">
      <c r="AD2565" s="98">
        <f t="shared" ref="AD2565:AD2612" ca="1" si="85">(AE2565-$B$3)/365.25</f>
        <v>49.100616016427104</v>
      </c>
      <c r="AE2565" s="99">
        <f t="shared" ca="1" si="84"/>
        <v>59919</v>
      </c>
      <c r="AF2565" s="6">
        <v>2.5600106257237103</v>
      </c>
    </row>
    <row r="2566" spans="30:32" x14ac:dyDescent="0.2">
      <c r="AD2566" s="98">
        <f t="shared" ca="1" si="85"/>
        <v>49.119780971937033</v>
      </c>
      <c r="AE2566" s="99">
        <f t="shared" ca="1" si="84"/>
        <v>59926</v>
      </c>
      <c r="AF2566" s="6">
        <v>2.5600580831774273</v>
      </c>
    </row>
    <row r="2567" spans="30:32" x14ac:dyDescent="0.2">
      <c r="AD2567" s="98">
        <f t="shared" ca="1" si="85"/>
        <v>49.138945927446954</v>
      </c>
      <c r="AE2567" s="99">
        <f t="shared" ca="1" si="84"/>
        <v>59933</v>
      </c>
      <c r="AF2567" s="6">
        <v>2.560105494385108</v>
      </c>
    </row>
    <row r="2568" spans="30:32" x14ac:dyDescent="0.2">
      <c r="AD2568" s="98">
        <f t="shared" ca="1" si="85"/>
        <v>49.158110882956876</v>
      </c>
      <c r="AE2568" s="99">
        <f t="shared" ca="1" si="84"/>
        <v>59940</v>
      </c>
      <c r="AF2568" s="6">
        <v>2.5601528572419783</v>
      </c>
    </row>
    <row r="2569" spans="30:32" x14ac:dyDescent="0.2">
      <c r="AD2569" s="98">
        <f t="shared" ca="1" si="85"/>
        <v>49.177275838466805</v>
      </c>
      <c r="AE2569" s="99">
        <f t="shared" ca="1" si="84"/>
        <v>59947</v>
      </c>
      <c r="AF2569" s="6">
        <v>2.5602001696600136</v>
      </c>
    </row>
    <row r="2570" spans="30:32" x14ac:dyDescent="0.2">
      <c r="AD2570" s="98">
        <f t="shared" ca="1" si="85"/>
        <v>49.196440793976727</v>
      </c>
      <c r="AE2570" s="99">
        <f t="shared" ca="1" si="84"/>
        <v>59954</v>
      </c>
      <c r="AF2570" s="6">
        <v>2.5602474295679665</v>
      </c>
    </row>
    <row r="2571" spans="30:32" x14ac:dyDescent="0.2">
      <c r="AD2571" s="98">
        <f t="shared" ca="1" si="85"/>
        <v>49.215605749486656</v>
      </c>
      <c r="AE2571" s="99">
        <f t="shared" ca="1" si="84"/>
        <v>59961</v>
      </c>
      <c r="AF2571" s="6">
        <v>2.560294634911382</v>
      </c>
    </row>
    <row r="2572" spans="30:32" x14ac:dyDescent="0.2">
      <c r="AD2572" s="98">
        <f t="shared" ca="1" si="85"/>
        <v>49.234770704996578</v>
      </c>
      <c r="AE2572" s="99">
        <f t="shared" ca="1" si="84"/>
        <v>59968</v>
      </c>
      <c r="AF2572" s="6">
        <v>2.5603417836526168</v>
      </c>
    </row>
    <row r="2573" spans="30:32" x14ac:dyDescent="0.2">
      <c r="AD2573" s="98">
        <f t="shared" ca="1" si="85"/>
        <v>49.2539356605065</v>
      </c>
      <c r="AE2573" s="99">
        <f t="shared" ca="1" si="84"/>
        <v>59975</v>
      </c>
      <c r="AF2573" s="6">
        <v>2.5603888737708527</v>
      </c>
    </row>
    <row r="2574" spans="30:32" x14ac:dyDescent="0.2">
      <c r="AD2574" s="98">
        <f t="shared" ca="1" si="85"/>
        <v>49.273100616016428</v>
      </c>
      <c r="AE2574" s="99">
        <f t="shared" ca="1" si="84"/>
        <v>59982</v>
      </c>
      <c r="AF2574" s="6">
        <v>2.5604359032621158</v>
      </c>
    </row>
    <row r="2575" spans="30:32" x14ac:dyDescent="0.2">
      <c r="AD2575" s="98">
        <f t="shared" ca="1" si="85"/>
        <v>49.29226557152635</v>
      </c>
      <c r="AE2575" s="99">
        <f t="shared" ca="1" si="84"/>
        <v>59989</v>
      </c>
      <c r="AF2575" s="6">
        <v>2.5604828701392752</v>
      </c>
    </row>
    <row r="2576" spans="30:32" x14ac:dyDescent="0.2">
      <c r="AD2576" s="98">
        <f t="shared" ca="1" si="85"/>
        <v>49.311430527036279</v>
      </c>
      <c r="AE2576" s="99">
        <f t="shared" ca="1" si="84"/>
        <v>59996</v>
      </c>
      <c r="AF2576" s="6">
        <v>2.5605297724320657</v>
      </c>
    </row>
    <row r="2577" spans="30:32" x14ac:dyDescent="0.2">
      <c r="AD2577" s="98">
        <f t="shared" ca="1" si="85"/>
        <v>49.330595482546201</v>
      </c>
      <c r="AE2577" s="99">
        <f t="shared" ca="1" si="84"/>
        <v>60003</v>
      </c>
      <c r="AF2577" s="6">
        <v>2.5605766081870853</v>
      </c>
    </row>
    <row r="2578" spans="30:32" x14ac:dyDescent="0.2">
      <c r="AD2578" s="98">
        <f t="shared" ca="1" si="85"/>
        <v>49.349760438056123</v>
      </c>
      <c r="AE2578" s="99">
        <f t="shared" ca="1" si="84"/>
        <v>60010</v>
      </c>
      <c r="AF2578" s="6">
        <v>2.5606233754678049</v>
      </c>
    </row>
    <row r="2579" spans="30:32" x14ac:dyDescent="0.2">
      <c r="AD2579" s="98">
        <f t="shared" ca="1" si="85"/>
        <v>49.368925393566052</v>
      </c>
      <c r="AE2579" s="99">
        <f t="shared" ca="1" si="84"/>
        <v>60017</v>
      </c>
      <c r="AF2579" s="6">
        <v>2.5606700723545646</v>
      </c>
    </row>
    <row r="2580" spans="30:32" x14ac:dyDescent="0.2">
      <c r="AD2580" s="98">
        <f t="shared" ca="1" si="85"/>
        <v>49.388090349075974</v>
      </c>
      <c r="AE2580" s="99">
        <f t="shared" ca="1" si="84"/>
        <v>60024</v>
      </c>
      <c r="AF2580" s="6">
        <v>2.5607166969445845</v>
      </c>
    </row>
    <row r="2581" spans="30:32" x14ac:dyDescent="0.2">
      <c r="AD2581" s="98">
        <f t="shared" ca="1" si="85"/>
        <v>49.407255304585902</v>
      </c>
      <c r="AE2581" s="99">
        <f t="shared" ca="1" si="84"/>
        <v>60031</v>
      </c>
      <c r="AF2581" s="6">
        <v>2.5607632473519537</v>
      </c>
    </row>
    <row r="2582" spans="30:32" x14ac:dyDescent="0.2">
      <c r="AD2582" s="98">
        <f t="shared" ca="1" si="85"/>
        <v>49.426420260095824</v>
      </c>
      <c r="AE2582" s="99">
        <f t="shared" ca="1" si="84"/>
        <v>60038</v>
      </c>
      <c r="AF2582" s="6">
        <v>2.5608097217076331</v>
      </c>
    </row>
    <row r="2583" spans="30:32" x14ac:dyDescent="0.2">
      <c r="AD2583" s="98">
        <f t="shared" ca="1" si="85"/>
        <v>49.445585215605746</v>
      </c>
      <c r="AE2583" s="99">
        <f t="shared" ca="1" si="84"/>
        <v>60045</v>
      </c>
      <c r="AF2583" s="6">
        <v>2.560856118159446</v>
      </c>
    </row>
    <row r="2584" spans="30:32" x14ac:dyDescent="0.2">
      <c r="AD2584" s="98">
        <f t="shared" ca="1" si="85"/>
        <v>49.464750171115675</v>
      </c>
      <c r="AE2584" s="99">
        <f t="shared" ca="1" si="84"/>
        <v>60052</v>
      </c>
      <c r="AF2584" s="6">
        <v>2.5609024348720761</v>
      </c>
    </row>
    <row r="2585" spans="30:32" x14ac:dyDescent="0.2">
      <c r="AD2585" s="98">
        <f t="shared" ca="1" si="85"/>
        <v>49.483915126625597</v>
      </c>
      <c r="AE2585" s="99">
        <f t="shared" ca="1" si="84"/>
        <v>60059</v>
      </c>
      <c r="AF2585" s="6">
        <v>2.5609486700270558</v>
      </c>
    </row>
    <row r="2586" spans="30:32" x14ac:dyDescent="0.2">
      <c r="AD2586" s="98">
        <f t="shared" ca="1" si="85"/>
        <v>49.503080082135526</v>
      </c>
      <c r="AE2586" s="99">
        <f t="shared" ca="1" si="84"/>
        <v>60066</v>
      </c>
      <c r="AF2586" s="6">
        <v>2.5609948218227503</v>
      </c>
    </row>
    <row r="2587" spans="30:32" x14ac:dyDescent="0.2">
      <c r="AD2587" s="98">
        <f t="shared" ca="1" si="85"/>
        <v>49.522245037645447</v>
      </c>
      <c r="AE2587" s="99">
        <f t="shared" ca="1" si="84"/>
        <v>60073</v>
      </c>
      <c r="AF2587" s="6">
        <v>2.5610408884743565</v>
      </c>
    </row>
    <row r="2588" spans="30:32" x14ac:dyDescent="0.2">
      <c r="AD2588" s="98">
        <f t="shared" ca="1" si="85"/>
        <v>49.541409993155376</v>
      </c>
      <c r="AE2588" s="99">
        <f t="shared" ca="1" si="84"/>
        <v>60080</v>
      </c>
      <c r="AF2588" s="6">
        <v>2.561086868213879</v>
      </c>
    </row>
    <row r="2589" spans="30:32" x14ac:dyDescent="0.2">
      <c r="AD2589" s="98">
        <f t="shared" ca="1" si="85"/>
        <v>49.560574948665298</v>
      </c>
      <c r="AE2589" s="99">
        <f t="shared" ca="1" si="84"/>
        <v>60087</v>
      </c>
      <c r="AF2589" s="6">
        <v>2.5611327592901167</v>
      </c>
    </row>
    <row r="2590" spans="30:32" x14ac:dyDescent="0.2">
      <c r="AD2590" s="98">
        <f t="shared" ca="1" si="85"/>
        <v>49.57973990417522</v>
      </c>
      <c r="AE2590" s="99">
        <f t="shared" ca="1" si="84"/>
        <v>60094</v>
      </c>
      <c r="AF2590" s="6">
        <v>2.5611785599686452</v>
      </c>
    </row>
    <row r="2591" spans="30:32" x14ac:dyDescent="0.2">
      <c r="AD2591" s="98">
        <f t="shared" ca="1" si="85"/>
        <v>49.598904859685149</v>
      </c>
      <c r="AE2591" s="99">
        <f t="shared" ca="1" si="84"/>
        <v>60101</v>
      </c>
      <c r="AF2591" s="6">
        <v>2.5612242685318001</v>
      </c>
    </row>
    <row r="2592" spans="30:32" x14ac:dyDescent="0.2">
      <c r="AD2592" s="98">
        <f t="shared" ca="1" si="85"/>
        <v>49.618069815195071</v>
      </c>
      <c r="AE2592" s="99">
        <f t="shared" ca="1" si="84"/>
        <v>60108</v>
      </c>
      <c r="AF2592" s="6">
        <v>2.5612698832786482</v>
      </c>
    </row>
    <row r="2593" spans="30:32" x14ac:dyDescent="0.2">
      <c r="AD2593" s="98">
        <f t="shared" ca="1" si="85"/>
        <v>49.637234770705</v>
      </c>
      <c r="AE2593" s="99">
        <f t="shared" ca="1" si="84"/>
        <v>60115</v>
      </c>
      <c r="AF2593" s="6">
        <v>2.5613154025249716</v>
      </c>
    </row>
    <row r="2594" spans="30:32" x14ac:dyDescent="0.2">
      <c r="AD2594" s="98">
        <f t="shared" ca="1" si="85"/>
        <v>49.656399726214921</v>
      </c>
      <c r="AE2594" s="99">
        <f t="shared" ca="1" si="84"/>
        <v>60122</v>
      </c>
      <c r="AF2594" s="6">
        <v>2.5613608246032395</v>
      </c>
    </row>
    <row r="2595" spans="30:32" x14ac:dyDescent="0.2">
      <c r="AD2595" s="98">
        <f t="shared" ca="1" si="85"/>
        <v>49.675564681724843</v>
      </c>
      <c r="AE2595" s="99">
        <f t="shared" ca="1" si="84"/>
        <v>60129</v>
      </c>
      <c r="AF2595" s="6">
        <v>2.5614061478625842</v>
      </c>
    </row>
    <row r="2596" spans="30:32" x14ac:dyDescent="0.2">
      <c r="AD2596" s="98">
        <f t="shared" ca="1" si="85"/>
        <v>49.694729637234772</v>
      </c>
      <c r="AE2596" s="99">
        <f t="shared" ca="1" si="84"/>
        <v>60136</v>
      </c>
      <c r="AF2596" s="6">
        <v>2.5614513706687689</v>
      </c>
    </row>
    <row r="2597" spans="30:32" x14ac:dyDescent="0.2">
      <c r="AD2597" s="98">
        <f t="shared" ca="1" si="85"/>
        <v>49.713894592744694</v>
      </c>
      <c r="AE2597" s="99">
        <f t="shared" ca="1" si="84"/>
        <v>60143</v>
      </c>
      <c r="AF2597" s="6">
        <v>2.5614964914041614</v>
      </c>
    </row>
    <row r="2598" spans="30:32" x14ac:dyDescent="0.2">
      <c r="AD2598" s="98">
        <f t="shared" ca="1" si="85"/>
        <v>49.733059548254623</v>
      </c>
      <c r="AE2598" s="99">
        <f t="shared" ca="1" si="84"/>
        <v>60150</v>
      </c>
      <c r="AF2598" s="6">
        <v>2.5615415084677058</v>
      </c>
    </row>
    <row r="2599" spans="30:32" x14ac:dyDescent="0.2">
      <c r="AD2599" s="98">
        <f t="shared" ca="1" si="85"/>
        <v>49.752224503764545</v>
      </c>
      <c r="AE2599" s="99">
        <f t="shared" ca="1" si="84"/>
        <v>60157</v>
      </c>
      <c r="AF2599" s="6">
        <v>2.5615864202748813</v>
      </c>
    </row>
    <row r="2600" spans="30:32" x14ac:dyDescent="0.2">
      <c r="AD2600" s="98">
        <f t="shared" ca="1" si="85"/>
        <v>49.771389459274467</v>
      </c>
      <c r="AE2600" s="99">
        <f t="shared" ca="1" si="84"/>
        <v>60164</v>
      </c>
      <c r="AF2600" s="6">
        <v>2.5616312252576781</v>
      </c>
    </row>
    <row r="2601" spans="30:32" x14ac:dyDescent="0.2">
      <c r="AD2601" s="98">
        <f t="shared" ca="1" si="85"/>
        <v>49.790554414784395</v>
      </c>
      <c r="AE2601" s="99">
        <f t="shared" ca="1" si="84"/>
        <v>60171</v>
      </c>
      <c r="AF2601" s="6">
        <v>2.5616759218645564</v>
      </c>
    </row>
    <row r="2602" spans="30:32" x14ac:dyDescent="0.2">
      <c r="AD2602" s="98">
        <f t="shared" ca="1" si="85"/>
        <v>49.809719370294317</v>
      </c>
      <c r="AE2602" s="99">
        <f t="shared" ca="1" si="84"/>
        <v>60178</v>
      </c>
      <c r="AF2602" s="6">
        <v>2.5617205085604078</v>
      </c>
    </row>
    <row r="2603" spans="30:32" x14ac:dyDescent="0.2">
      <c r="AD2603" s="98">
        <f t="shared" ca="1" si="85"/>
        <v>49.828884325804246</v>
      </c>
      <c r="AE2603" s="99">
        <f t="shared" ca="1" si="84"/>
        <v>60185</v>
      </c>
      <c r="AF2603" s="6">
        <v>2.5617649838265191</v>
      </c>
    </row>
    <row r="2604" spans="30:32" x14ac:dyDescent="0.2">
      <c r="AD2604" s="98">
        <f t="shared" ca="1" si="85"/>
        <v>49.848049281314168</v>
      </c>
      <c r="AE2604" s="99">
        <f t="shared" ca="1" si="84"/>
        <v>60192</v>
      </c>
      <c r="AF2604" s="6">
        <v>2.5618093461605365</v>
      </c>
    </row>
    <row r="2605" spans="30:32" x14ac:dyDescent="0.2">
      <c r="AD2605" s="98">
        <f t="shared" ca="1" si="85"/>
        <v>49.86721423682409</v>
      </c>
      <c r="AE2605" s="99">
        <f t="shared" ca="1" si="84"/>
        <v>60199</v>
      </c>
      <c r="AF2605" s="6">
        <v>2.5618535940764167</v>
      </c>
    </row>
    <row r="2606" spans="30:32" x14ac:dyDescent="0.2">
      <c r="AD2606" s="98">
        <f t="shared" ca="1" si="85"/>
        <v>49.886379192334019</v>
      </c>
      <c r="AE2606" s="99">
        <f t="shared" ca="1" si="84"/>
        <v>60206</v>
      </c>
      <c r="AF2606" s="6">
        <v>2.5618977261043878</v>
      </c>
    </row>
    <row r="2607" spans="30:32" x14ac:dyDescent="0.2">
      <c r="AD2607" s="98">
        <f t="shared" ca="1" si="85"/>
        <v>49.905544147843941</v>
      </c>
      <c r="AE2607" s="99">
        <f t="shared" ca="1" si="84"/>
        <v>60213</v>
      </c>
      <c r="AF2607" s="6">
        <v>2.5619417407909086</v>
      </c>
    </row>
    <row r="2608" spans="30:32" x14ac:dyDescent="0.2">
      <c r="AD2608" s="98">
        <f t="shared" ca="1" si="85"/>
        <v>49.924709103353869</v>
      </c>
      <c r="AE2608" s="99">
        <f t="shared" ca="1" si="84"/>
        <v>60220</v>
      </c>
      <c r="AF2608" s="6">
        <v>2.5619856366986187</v>
      </c>
    </row>
    <row r="2609" spans="30:32" x14ac:dyDescent="0.2">
      <c r="AD2609" s="98">
        <f t="shared" ca="1" si="85"/>
        <v>49.943874058863791</v>
      </c>
      <c r="AE2609" s="99">
        <f t="shared" ca="1" si="84"/>
        <v>60227</v>
      </c>
      <c r="AF2609" s="6">
        <v>2.5620294124062917</v>
      </c>
    </row>
    <row r="2610" spans="30:32" x14ac:dyDescent="0.2">
      <c r="AD2610" s="98">
        <f t="shared" ca="1" si="85"/>
        <v>49.963039014373713</v>
      </c>
      <c r="AE2610" s="99">
        <f t="shared" ca="1" si="84"/>
        <v>60234</v>
      </c>
      <c r="AF2610" s="6">
        <v>2.5620730665087925</v>
      </c>
    </row>
    <row r="2611" spans="30:32" x14ac:dyDescent="0.2">
      <c r="AD2611" s="98">
        <f t="shared" ca="1" si="85"/>
        <v>49.982203969883642</v>
      </c>
      <c r="AE2611" s="99">
        <f t="shared" ca="1" si="84"/>
        <v>60241</v>
      </c>
      <c r="AF2611" s="6">
        <v>2.562116597617023</v>
      </c>
    </row>
    <row r="2612" spans="30:32" x14ac:dyDescent="0.2">
      <c r="AD2612" s="101">
        <f t="shared" ca="1" si="85"/>
        <v>50.001368925393564</v>
      </c>
      <c r="AE2612" s="102">
        <f t="shared" ca="1" si="84"/>
        <v>60248</v>
      </c>
      <c r="AF2612" s="7">
        <v>2.5621600052776268</v>
      </c>
    </row>
  </sheetData>
  <dataValidations count="1">
    <dataValidation type="list" allowBlank="1" showInputMessage="1" showErrorMessage="1" sqref="B6 H9:I48">
      <formula1>$N$2:$N$3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954C945C-D6CC-4CA6-9B69-F9FF1D51BFC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EC55C429-B048-4169-B345-0D97ED47D36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Bonds</vt:lpstr>
      <vt:lpstr>FittedCurve</vt:lpstr>
      <vt:lpstr>Bond Diagnostics</vt:lpstr>
      <vt:lpstr>Misc</vt:lpstr>
      <vt:lpstr>Numerics</vt:lpstr>
      <vt:lpstr>Autofit</vt:lpstr>
      <vt:lpstr>AutoFitObject</vt:lpstr>
      <vt:lpstr>BondObjs</vt:lpstr>
      <vt:lpstr>FitConvergenceError</vt:lpstr>
      <vt:lpstr>FitCost</vt:lpstr>
      <vt:lpstr>FitOutput</vt:lpstr>
      <vt:lpstr>FitParamChangeError</vt:lpstr>
      <vt:lpstr>FitterChoice</vt:lpstr>
      <vt:lpstr>InitialVector</vt:lpstr>
      <vt:lpstr>LiveMarketData</vt:lpstr>
      <vt:lpstr>LowerBound</vt:lpstr>
      <vt:lpstr>MaxIterations</vt:lpstr>
      <vt:lpstr>ShowFitterDetails</vt:lpstr>
      <vt:lpstr>UpperBound</vt:lpstr>
      <vt:lpstr>YieldCrvObj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 Yu</dc:creator>
  <cp:lastModifiedBy>Kin Yu</cp:lastModifiedBy>
  <dcterms:created xsi:type="dcterms:W3CDTF">2014-10-05T17:22:59Z</dcterms:created>
  <dcterms:modified xsi:type="dcterms:W3CDTF">2014-12-12T20:46:52Z</dcterms:modified>
</cp:coreProperties>
</file>